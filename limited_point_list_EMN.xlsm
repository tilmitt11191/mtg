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0" yWindow="30" windowWidth="19200" windowHeight="12090" activeTab="3"/>
  </bookViews>
  <sheets>
    <sheet name="score" sheetId="1" r:id="rId1"/>
    <sheet name="channelfireball" sheetId="2" r:id="rId2"/>
    <sheet name="smds" sheetId="3" r:id="rId3"/>
    <sheet name="oracle" sheetId="4" r:id="rId4"/>
  </sheets>
  <calcPr calcId="125725"/>
</workbook>
</file>

<file path=xl/calcChain.xml><?xml version="1.0" encoding="utf-8"?>
<calcChain xmlns="http://schemas.openxmlformats.org/spreadsheetml/2006/main">
  <c r="F20" i="1"/>
  <c r="F18"/>
  <c r="E18"/>
  <c r="F15"/>
  <c r="F13"/>
  <c r="E13"/>
  <c r="F10"/>
  <c r="F8"/>
  <c r="E8"/>
  <c r="E3"/>
  <c r="F3"/>
  <c r="F5"/>
  <c r="D3"/>
  <c r="C1126"/>
  <c r="C1124"/>
  <c r="D1123"/>
  <c r="C1122"/>
  <c r="C1121"/>
  <c r="C1119"/>
  <c r="D1118"/>
  <c r="C1117"/>
  <c r="C1116"/>
  <c r="C1114"/>
  <c r="D1113"/>
  <c r="C1112"/>
  <c r="C1111"/>
  <c r="C1109"/>
  <c r="D1108"/>
  <c r="C1107"/>
  <c r="C1106"/>
  <c r="C1104"/>
  <c r="D1103"/>
  <c r="C1102"/>
  <c r="C1101"/>
  <c r="C1099"/>
  <c r="D1098"/>
  <c r="C1097"/>
  <c r="C1096"/>
  <c r="C1094"/>
  <c r="D1093"/>
  <c r="C1092"/>
  <c r="C1091"/>
  <c r="C1089"/>
  <c r="D1088"/>
  <c r="C1087"/>
  <c r="C1086"/>
  <c r="C1084"/>
  <c r="D1083"/>
  <c r="C1082"/>
  <c r="C1081"/>
  <c r="C1079"/>
  <c r="D1078"/>
  <c r="C1077"/>
  <c r="C1076"/>
  <c r="C1074"/>
  <c r="D1073"/>
  <c r="C1072"/>
  <c r="C1071"/>
  <c r="C1069"/>
  <c r="D1068"/>
  <c r="C1067"/>
  <c r="C1066"/>
  <c r="C1064"/>
  <c r="D1063"/>
  <c r="C1062"/>
  <c r="C1061"/>
  <c r="C1059"/>
  <c r="D1058"/>
  <c r="C1057"/>
  <c r="C1056"/>
  <c r="C1054"/>
  <c r="D1053"/>
  <c r="C1052"/>
  <c r="C1051"/>
  <c r="C1049"/>
  <c r="D1048"/>
  <c r="C1047"/>
  <c r="C1046"/>
  <c r="C1044"/>
  <c r="D1043"/>
  <c r="C1042"/>
  <c r="C1041"/>
  <c r="C1039"/>
  <c r="D1038"/>
  <c r="C1037"/>
  <c r="C1036"/>
  <c r="C1034"/>
  <c r="D1033"/>
  <c r="C1032"/>
  <c r="C1031"/>
  <c r="C1029"/>
  <c r="D1028"/>
  <c r="C1027"/>
  <c r="C1026"/>
  <c r="C1024"/>
  <c r="D1023"/>
  <c r="C1022"/>
  <c r="C1021"/>
  <c r="C1019"/>
  <c r="D1018"/>
  <c r="C1017"/>
  <c r="C1016"/>
  <c r="C1014"/>
  <c r="D1013"/>
  <c r="C1012"/>
  <c r="C1011"/>
  <c r="C1009"/>
  <c r="D1008"/>
  <c r="C1007"/>
  <c r="C1006"/>
  <c r="C1004"/>
  <c r="D1003"/>
  <c r="C1002"/>
  <c r="C1001"/>
  <c r="C999"/>
  <c r="D998"/>
  <c r="C997"/>
  <c r="C996"/>
  <c r="C994"/>
  <c r="D993"/>
  <c r="C992"/>
  <c r="C991"/>
  <c r="C989"/>
  <c r="D988"/>
  <c r="C987"/>
  <c r="C986"/>
  <c r="C984"/>
  <c r="D983"/>
  <c r="C982"/>
  <c r="C981"/>
  <c r="C979"/>
  <c r="D978"/>
  <c r="C977"/>
  <c r="C976"/>
  <c r="C974"/>
  <c r="D973"/>
  <c r="C972"/>
  <c r="C971"/>
  <c r="C969"/>
  <c r="D968"/>
  <c r="C967"/>
  <c r="C966"/>
  <c r="C964"/>
  <c r="D963"/>
  <c r="C962"/>
  <c r="C961"/>
  <c r="C959"/>
  <c r="D958"/>
  <c r="C957"/>
  <c r="C956"/>
  <c r="C954"/>
  <c r="D953"/>
  <c r="C952"/>
  <c r="C951"/>
  <c r="C949"/>
  <c r="D948"/>
  <c r="C947"/>
  <c r="C946"/>
  <c r="C944"/>
  <c r="D943"/>
  <c r="C942"/>
  <c r="C941"/>
  <c r="C939"/>
  <c r="D938"/>
  <c r="C937"/>
  <c r="C936"/>
  <c r="C934"/>
  <c r="D933"/>
  <c r="C932"/>
  <c r="C931"/>
  <c r="C929"/>
  <c r="D928"/>
  <c r="C927"/>
  <c r="C926"/>
  <c r="C924"/>
  <c r="D923"/>
  <c r="C922"/>
  <c r="C921"/>
  <c r="C919"/>
  <c r="D918"/>
  <c r="C917"/>
  <c r="C916"/>
  <c r="C914"/>
  <c r="D913"/>
  <c r="C912"/>
  <c r="C911"/>
  <c r="C909"/>
  <c r="D908"/>
  <c r="C907"/>
  <c r="C906"/>
  <c r="C904"/>
  <c r="D903"/>
  <c r="C902"/>
  <c r="C901"/>
  <c r="C899"/>
  <c r="D898"/>
  <c r="C897"/>
  <c r="C896"/>
  <c r="C894"/>
  <c r="D893"/>
  <c r="C892"/>
  <c r="C891"/>
  <c r="C889"/>
  <c r="D888"/>
  <c r="C887"/>
  <c r="C886"/>
  <c r="C884"/>
  <c r="D883"/>
  <c r="C882"/>
  <c r="C881"/>
  <c r="C879"/>
  <c r="D878"/>
  <c r="C877"/>
  <c r="C876"/>
  <c r="C874"/>
  <c r="D873"/>
  <c r="C872"/>
  <c r="C871"/>
  <c r="C869"/>
  <c r="D868"/>
  <c r="C867"/>
  <c r="C866"/>
  <c r="C864"/>
  <c r="D863"/>
  <c r="C862"/>
  <c r="C861"/>
  <c r="C859"/>
  <c r="D858"/>
  <c r="C857"/>
  <c r="C856"/>
  <c r="C854"/>
  <c r="D853"/>
  <c r="C852"/>
  <c r="C851"/>
  <c r="C849"/>
  <c r="D848"/>
  <c r="C847"/>
  <c r="C846"/>
  <c r="C844"/>
  <c r="D843"/>
  <c r="C842"/>
  <c r="C841"/>
  <c r="C839"/>
  <c r="D838"/>
  <c r="C837"/>
  <c r="C836"/>
  <c r="C834"/>
  <c r="D833"/>
  <c r="C832"/>
  <c r="C831"/>
  <c r="C829"/>
  <c r="D828"/>
  <c r="C827"/>
  <c r="C826"/>
  <c r="C824"/>
  <c r="D823"/>
  <c r="C822"/>
  <c r="C821"/>
  <c r="C819"/>
  <c r="D818"/>
  <c r="C817"/>
  <c r="C816"/>
  <c r="C814"/>
  <c r="D813"/>
  <c r="C812"/>
  <c r="C811"/>
  <c r="C809"/>
  <c r="D808"/>
  <c r="C807"/>
  <c r="C806"/>
  <c r="C804"/>
  <c r="D803"/>
  <c r="C802"/>
  <c r="C801"/>
  <c r="C799"/>
  <c r="D798"/>
  <c r="C797"/>
  <c r="C796"/>
  <c r="C794"/>
  <c r="D793"/>
  <c r="C792"/>
  <c r="C791"/>
  <c r="C789"/>
  <c r="D788"/>
  <c r="C787"/>
  <c r="C786"/>
  <c r="C784"/>
  <c r="D783"/>
  <c r="C782"/>
  <c r="C781"/>
  <c r="C779"/>
  <c r="D778"/>
  <c r="C777"/>
  <c r="C776"/>
  <c r="C774"/>
  <c r="D773"/>
  <c r="C772"/>
  <c r="C771"/>
  <c r="C769"/>
  <c r="D768"/>
  <c r="C767"/>
  <c r="C766"/>
  <c r="C764"/>
  <c r="D763"/>
  <c r="C762"/>
  <c r="C761"/>
  <c r="C759"/>
  <c r="D758"/>
  <c r="C757"/>
  <c r="C756"/>
  <c r="C754"/>
  <c r="D753"/>
  <c r="C752"/>
  <c r="C751"/>
  <c r="C749"/>
  <c r="D748"/>
  <c r="C747"/>
  <c r="C746"/>
  <c r="C744"/>
  <c r="D743"/>
  <c r="C742"/>
  <c r="C741"/>
  <c r="C739"/>
  <c r="D738"/>
  <c r="C737"/>
  <c r="C736"/>
  <c r="C734"/>
  <c r="D733"/>
  <c r="C732"/>
  <c r="C731"/>
  <c r="C729"/>
  <c r="D728"/>
  <c r="C727"/>
  <c r="C726"/>
  <c r="C724"/>
  <c r="D723"/>
  <c r="C722"/>
  <c r="C721"/>
  <c r="C719"/>
  <c r="D718"/>
  <c r="C717"/>
  <c r="C716"/>
  <c r="C714"/>
  <c r="D713"/>
  <c r="C712"/>
  <c r="C711"/>
  <c r="C709"/>
  <c r="D708"/>
  <c r="C707"/>
  <c r="C706"/>
  <c r="C704"/>
  <c r="D703"/>
  <c r="C702"/>
  <c r="C701"/>
  <c r="C699"/>
  <c r="D698"/>
  <c r="C697"/>
  <c r="C696"/>
  <c r="C694"/>
  <c r="D693"/>
  <c r="C692"/>
  <c r="C691"/>
  <c r="C689"/>
  <c r="D688"/>
  <c r="C687"/>
  <c r="C686"/>
  <c r="C684"/>
  <c r="D683"/>
  <c r="C682"/>
  <c r="C681"/>
  <c r="C679"/>
  <c r="D678"/>
  <c r="C677"/>
  <c r="C676"/>
  <c r="C674"/>
  <c r="D673"/>
  <c r="C672"/>
  <c r="C671"/>
  <c r="C669"/>
  <c r="D668"/>
  <c r="C667"/>
  <c r="C666"/>
  <c r="C664"/>
  <c r="D663"/>
  <c r="C662"/>
  <c r="C661"/>
  <c r="C659"/>
  <c r="D658"/>
  <c r="C657"/>
  <c r="C656"/>
  <c r="C654"/>
  <c r="D653"/>
  <c r="C652"/>
  <c r="C651"/>
  <c r="C649"/>
  <c r="D648"/>
  <c r="C647"/>
  <c r="C646"/>
  <c r="C644"/>
  <c r="D643"/>
  <c r="C642"/>
  <c r="C641"/>
  <c r="C639"/>
  <c r="D638"/>
  <c r="C637"/>
  <c r="C636"/>
  <c r="C634"/>
  <c r="D633"/>
  <c r="C632"/>
  <c r="C631"/>
  <c r="C629"/>
  <c r="D628"/>
  <c r="C627"/>
  <c r="C626"/>
  <c r="C624"/>
  <c r="D623"/>
  <c r="C622"/>
  <c r="C621"/>
  <c r="C619"/>
  <c r="D618"/>
  <c r="C617"/>
  <c r="C616"/>
  <c r="C614"/>
  <c r="D613"/>
  <c r="C612"/>
  <c r="C611"/>
  <c r="C609"/>
  <c r="D608"/>
  <c r="C607"/>
  <c r="C606"/>
  <c r="C604"/>
  <c r="D603"/>
  <c r="C602"/>
  <c r="C601"/>
  <c r="C599"/>
  <c r="D598"/>
  <c r="C597"/>
  <c r="C596"/>
  <c r="C594"/>
  <c r="D593"/>
  <c r="C592"/>
  <c r="C591"/>
  <c r="C589"/>
  <c r="D588"/>
  <c r="C587"/>
  <c r="C586"/>
  <c r="C584"/>
  <c r="D583"/>
  <c r="C582"/>
  <c r="C581"/>
  <c r="C579"/>
  <c r="D578"/>
  <c r="C577"/>
  <c r="C576"/>
  <c r="C574"/>
  <c r="D573"/>
  <c r="C572"/>
  <c r="C571"/>
  <c r="C569"/>
  <c r="D568"/>
  <c r="C567"/>
  <c r="C566"/>
  <c r="C564"/>
  <c r="D563"/>
  <c r="C562"/>
  <c r="C561"/>
  <c r="C559"/>
  <c r="D558"/>
  <c r="C557"/>
  <c r="C556"/>
  <c r="C554"/>
  <c r="D553"/>
  <c r="C552"/>
  <c r="C551"/>
  <c r="C549"/>
  <c r="D548"/>
  <c r="C547"/>
  <c r="C546"/>
  <c r="C544"/>
  <c r="D543"/>
  <c r="C542"/>
  <c r="C541"/>
  <c r="C539"/>
  <c r="D538"/>
  <c r="C537"/>
  <c r="C536"/>
  <c r="C534"/>
  <c r="D533"/>
  <c r="C532"/>
  <c r="C531"/>
  <c r="C529"/>
  <c r="D528"/>
  <c r="C527"/>
  <c r="C526"/>
  <c r="C524"/>
  <c r="D523"/>
  <c r="C522"/>
  <c r="C521"/>
  <c r="C519"/>
  <c r="D518"/>
  <c r="C517"/>
  <c r="C516"/>
  <c r="C514"/>
  <c r="D513"/>
  <c r="C512"/>
  <c r="C511"/>
  <c r="C509"/>
  <c r="D508"/>
  <c r="C507"/>
  <c r="C506"/>
  <c r="C504"/>
  <c r="D503"/>
  <c r="C502"/>
  <c r="C501"/>
  <c r="C499"/>
  <c r="D498"/>
  <c r="C497"/>
  <c r="C496"/>
  <c r="C494"/>
  <c r="D493"/>
  <c r="C492"/>
  <c r="C491"/>
  <c r="C489"/>
  <c r="D488"/>
  <c r="C487"/>
  <c r="C486"/>
  <c r="C484"/>
  <c r="D483"/>
  <c r="C482"/>
  <c r="C481"/>
  <c r="C479"/>
  <c r="D478"/>
  <c r="C477"/>
  <c r="C476"/>
  <c r="C474"/>
  <c r="D473"/>
  <c r="C472"/>
  <c r="C471"/>
  <c r="C469"/>
  <c r="D468"/>
  <c r="C467"/>
  <c r="C466"/>
  <c r="C464"/>
  <c r="D463"/>
  <c r="C462"/>
  <c r="C461"/>
  <c r="C459"/>
  <c r="D458"/>
  <c r="C457"/>
  <c r="C456"/>
  <c r="C454"/>
  <c r="D453"/>
  <c r="C452"/>
  <c r="C451"/>
  <c r="C449"/>
  <c r="D448"/>
  <c r="C447"/>
  <c r="C446"/>
  <c r="C444"/>
  <c r="D443"/>
  <c r="C442"/>
  <c r="C441"/>
  <c r="C439"/>
  <c r="D438"/>
  <c r="C437"/>
  <c r="C436"/>
  <c r="C434"/>
  <c r="D433"/>
  <c r="C432"/>
  <c r="C431"/>
  <c r="C429"/>
  <c r="D428"/>
  <c r="C427"/>
  <c r="C426"/>
  <c r="C424"/>
  <c r="D423"/>
  <c r="C422"/>
  <c r="C421"/>
  <c r="C419"/>
  <c r="D418"/>
  <c r="C417"/>
  <c r="C416"/>
  <c r="C414"/>
  <c r="D413"/>
  <c r="C412"/>
  <c r="C411"/>
  <c r="C409"/>
  <c r="D408"/>
  <c r="C407"/>
  <c r="C406"/>
  <c r="C404"/>
  <c r="D403"/>
  <c r="C402"/>
  <c r="C401"/>
  <c r="C399"/>
  <c r="D398"/>
  <c r="C397"/>
  <c r="C396"/>
  <c r="C394"/>
  <c r="D393"/>
  <c r="C392"/>
  <c r="C391"/>
  <c r="C389"/>
  <c r="D388"/>
  <c r="C387"/>
  <c r="C386"/>
  <c r="C384"/>
  <c r="D383"/>
  <c r="C382"/>
  <c r="C381"/>
  <c r="C379"/>
  <c r="D378"/>
  <c r="C377"/>
  <c r="C376"/>
  <c r="C374"/>
  <c r="D373"/>
  <c r="C372"/>
  <c r="C371"/>
  <c r="C369"/>
  <c r="D368"/>
  <c r="C367"/>
  <c r="C366"/>
  <c r="C364"/>
  <c r="D363"/>
  <c r="C362"/>
  <c r="C361"/>
  <c r="C359"/>
  <c r="D358"/>
  <c r="C357"/>
  <c r="C356"/>
  <c r="C354"/>
  <c r="D353"/>
  <c r="C352"/>
  <c r="C351"/>
  <c r="C349"/>
  <c r="D348"/>
  <c r="C347"/>
  <c r="C346"/>
  <c r="C344"/>
  <c r="D343"/>
  <c r="C342"/>
  <c r="C341"/>
  <c r="C339"/>
  <c r="D338"/>
  <c r="C337"/>
  <c r="C336"/>
  <c r="C334"/>
  <c r="D333"/>
  <c r="C332"/>
  <c r="C331"/>
  <c r="C329"/>
  <c r="D328"/>
  <c r="C327"/>
  <c r="C326"/>
  <c r="C324"/>
  <c r="D323"/>
  <c r="C322"/>
  <c r="C321"/>
  <c r="C319"/>
  <c r="D318"/>
  <c r="C317"/>
  <c r="C316"/>
  <c r="C314"/>
  <c r="D313"/>
  <c r="C312"/>
  <c r="C311"/>
  <c r="C309"/>
  <c r="D308"/>
  <c r="C307"/>
  <c r="C306"/>
  <c r="C304"/>
  <c r="D303"/>
  <c r="C302"/>
  <c r="C301"/>
  <c r="C299"/>
  <c r="D298"/>
  <c r="C297"/>
  <c r="C296"/>
  <c r="C294"/>
  <c r="D293"/>
  <c r="C292"/>
  <c r="C291"/>
  <c r="C289"/>
  <c r="D288"/>
  <c r="C287"/>
  <c r="C286"/>
  <c r="C284"/>
  <c r="D283"/>
  <c r="C282"/>
  <c r="C281"/>
  <c r="C279"/>
  <c r="D278"/>
  <c r="C277"/>
  <c r="C276"/>
  <c r="C274"/>
  <c r="D273"/>
  <c r="C272"/>
  <c r="C271"/>
  <c r="C269"/>
  <c r="D268"/>
  <c r="C267"/>
  <c r="C266"/>
  <c r="C264"/>
  <c r="D263"/>
  <c r="C262"/>
  <c r="C261"/>
  <c r="C259"/>
  <c r="D258"/>
  <c r="C257"/>
  <c r="C256"/>
  <c r="C254"/>
  <c r="D253"/>
  <c r="C252"/>
  <c r="C251"/>
  <c r="C249"/>
  <c r="D248"/>
  <c r="C247"/>
  <c r="C246"/>
  <c r="C244"/>
  <c r="D243"/>
  <c r="C242"/>
  <c r="C241"/>
  <c r="C239"/>
  <c r="D238"/>
  <c r="C237"/>
  <c r="C236"/>
  <c r="C234"/>
  <c r="D233"/>
  <c r="C232"/>
  <c r="C231"/>
  <c r="C229"/>
  <c r="D228"/>
  <c r="C227"/>
  <c r="C226"/>
  <c r="C224"/>
  <c r="D223"/>
  <c r="C222"/>
  <c r="C221"/>
  <c r="C219"/>
  <c r="D218"/>
  <c r="C217"/>
  <c r="C216"/>
  <c r="C214"/>
  <c r="D213"/>
  <c r="C212"/>
  <c r="C211"/>
  <c r="C209"/>
  <c r="D208"/>
  <c r="C207"/>
  <c r="C206"/>
  <c r="C204"/>
  <c r="D203"/>
  <c r="C202"/>
  <c r="C201"/>
  <c r="C199"/>
  <c r="D198"/>
  <c r="C197"/>
  <c r="C196"/>
  <c r="C194"/>
  <c r="D193"/>
  <c r="C192"/>
  <c r="C191"/>
  <c r="C189"/>
  <c r="D188"/>
  <c r="C187"/>
  <c r="C186"/>
  <c r="C184"/>
  <c r="D183"/>
  <c r="C182"/>
  <c r="C181"/>
  <c r="C179"/>
  <c r="D178"/>
  <c r="C177"/>
  <c r="C176"/>
  <c r="C174"/>
  <c r="D173"/>
  <c r="C172"/>
  <c r="C171"/>
  <c r="C169"/>
  <c r="D168"/>
  <c r="C167"/>
  <c r="C166"/>
  <c r="C164"/>
  <c r="D163"/>
  <c r="C162"/>
  <c r="C161"/>
  <c r="C159"/>
  <c r="D158"/>
  <c r="C157"/>
  <c r="C156"/>
  <c r="C154"/>
  <c r="D153"/>
  <c r="C152"/>
  <c r="C151"/>
  <c r="C149"/>
  <c r="D148"/>
  <c r="C147"/>
  <c r="C146"/>
  <c r="C144"/>
  <c r="D143"/>
  <c r="C142"/>
  <c r="C141"/>
  <c r="C139"/>
  <c r="D138"/>
  <c r="C137"/>
  <c r="C136"/>
  <c r="C134"/>
  <c r="D133"/>
  <c r="C132"/>
  <c r="C131"/>
  <c r="C129"/>
  <c r="D128"/>
  <c r="C127"/>
  <c r="C126"/>
  <c r="C124"/>
  <c r="D123"/>
  <c r="C122"/>
  <c r="C121"/>
  <c r="C119"/>
  <c r="D118"/>
  <c r="C117"/>
  <c r="C116"/>
  <c r="C114"/>
  <c r="D113"/>
  <c r="C112"/>
  <c r="C111"/>
  <c r="C109"/>
  <c r="D108"/>
  <c r="C107"/>
  <c r="C106"/>
  <c r="C104"/>
  <c r="D103"/>
  <c r="C102"/>
  <c r="C101"/>
  <c r="C99"/>
  <c r="D98"/>
  <c r="C97"/>
  <c r="C96"/>
  <c r="C94"/>
  <c r="D93"/>
  <c r="C92"/>
  <c r="C91"/>
  <c r="C89"/>
  <c r="D88"/>
  <c r="C87"/>
  <c r="C86"/>
  <c r="C84"/>
  <c r="D83"/>
  <c r="C82"/>
  <c r="C81"/>
  <c r="C79"/>
  <c r="D78"/>
  <c r="C77"/>
  <c r="C76"/>
  <c r="C74"/>
  <c r="D73"/>
  <c r="C72"/>
  <c r="C71"/>
  <c r="C69"/>
  <c r="D68"/>
  <c r="C67"/>
  <c r="C66"/>
  <c r="C64"/>
  <c r="D63"/>
  <c r="C62"/>
  <c r="C61"/>
  <c r="C59"/>
  <c r="D58"/>
  <c r="C57"/>
  <c r="C56"/>
  <c r="C54"/>
  <c r="D53"/>
  <c r="C52"/>
  <c r="C51"/>
  <c r="C49"/>
  <c r="D48"/>
  <c r="C47"/>
  <c r="C46"/>
  <c r="C44"/>
  <c r="D43"/>
  <c r="C42"/>
  <c r="C41"/>
  <c r="C39"/>
  <c r="D38"/>
  <c r="C37"/>
  <c r="C36"/>
  <c r="C34"/>
  <c r="D33"/>
  <c r="C32"/>
  <c r="C31"/>
  <c r="C29"/>
  <c r="D28"/>
  <c r="C27"/>
  <c r="B12"/>
  <c r="C26" l="1"/>
  <c r="C24"/>
  <c r="D23"/>
  <c r="C22"/>
  <c r="C21"/>
  <c r="C19"/>
  <c r="D18"/>
  <c r="C17"/>
  <c r="C16"/>
  <c r="C14"/>
  <c r="D13"/>
  <c r="C12"/>
  <c r="C11"/>
  <c r="C9"/>
  <c r="D8"/>
  <c r="C7"/>
  <c r="C4"/>
  <c r="C2"/>
  <c r="C6"/>
</calcChain>
</file>

<file path=xl/sharedStrings.xml><?xml version="1.0" encoding="utf-8"?>
<sst xmlns="http://schemas.openxmlformats.org/spreadsheetml/2006/main" count="2108" uniqueCount="737">
  <si>
    <t>Liliana, the Last Hope</t>
  </si>
  <si>
    <t>Channelfireball</t>
    <phoneticPr fontId="4"/>
  </si>
  <si>
    <t>SMDS</t>
    <phoneticPr fontId="4"/>
  </si>
  <si>
    <t>Channelfireball comment</t>
    <phoneticPr fontId="4"/>
  </si>
  <si>
    <t>Blessed Alliance</t>
  </si>
  <si>
    <t>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t>
  </si>
  <si>
    <t>Borrowed Grace</t>
  </si>
  <si>
    <t>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t>
  </si>
  <si>
    <t>Bruna, the Fading Light // Brisela, Voice of Nightmares</t>
  </si>
  <si>
    <t>When you can spend 7 mana on a 5/7 flyer plus another relevant body, you have a Limited bomb. The only reason Bruna doesn’t earn a 4.5 rating is because every once in a while you won’t have an Angel or Human in your graveyard to return.Still, I think you’ll get max value from Bruna often enough that you should pick her highly, and not worry too much about drafting around her.Oh, also, she can meld with a mythic rare bomb when you draft both, draw them both together, and they both survive. This should not factor into your Limited evaluation.</t>
  </si>
  <si>
    <t>Choking Restraints</t>
  </si>
  <si>
    <t>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t>
  </si>
  <si>
    <t>Collective?Effort</t>
  </si>
  <si>
    <t>You’ll most commonly use the Smite the Monstrous and the “Nissa -2” modes on Collective Effort. In doing so, you combine a solid removal spell with a free, permanent power and toughness bonus to your whole team. The result is a great Limited card. The ability to sometimes tack on destroying an enchantment is just gravy!</t>
  </si>
  <si>
    <t>Courageous Outrider</t>
  </si>
  <si>
    <t>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t>
  </si>
  <si>
    <t>Dawn Gryff</t>
  </si>
  <si>
    <t>Wind Drake is an oldie but a goodie. Dawn Gryff also fits white’s theme of evasive beatdown, and is good in a deck with equipment or other ways to buff creatures. This is a solid card, but might once in a while get cut from more defensive white decks.</t>
  </si>
  <si>
    <t>Deploy the Gatewatch</t>
  </si>
  <si>
    <t>If you somehow end up with 3 planeswalkers and Deploy the Gatewatch in Limited―congratulations, everybody hates you.</t>
  </si>
  <si>
    <t>Desperate Sentry</t>
  </si>
  <si>
    <t>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t>
  </si>
  <si>
    <t>Drogskol Shieldmate</t>
  </si>
  <si>
    <t>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t>
  </si>
  <si>
    <t>Extricator of Sin // Extricator of Flesh</t>
  </si>
  <si>
    <t>There’s a lot going on with Extricator of Sin, and it’s not the easiest card to evaluate. Looking at it as a 3-drop in an average deck, it’s not that appealing. You won’t want to sacrifice a land early in the game, and it would only offer a marginal upgrade to your 2-drop creature. If you’re not trying for it, you usually don’t achieve delirium until turn 7 or 8, at which point Extricator of Flesh won’t be the most powerful creature on the battlefield.Looking at it as a late-game play, it gets a bit more appealing. On the one hand, 3/2 Eldrazi start to get outclassed deep into the game, but you’re also more likely to have a disposable permanent (like an extra land or a creature with Choking Restraints on it), and the sacrifice effect can help you get delirium. Now you have a threatening body on the table that the opponent might need to spend removal on to prevent you from transforming into Extricator of Flesh.Finally, if you look at Extricator of Sin in the context of a dedicated delirium deck, it looks pretty great. The front side can help you get your last card type for delirium, and then transforms very quickly into a big creature with a powerful ability.You have to do a little bit of work to make good use of Extricator of Sin, but the power level is high, and I’ve given it a very solid rating. You won’t want this in your most aggressive decks, but it’s great if you’re going for delirium, and I think it’s good enough to just play for value in decks of average speed.</t>
  </si>
  <si>
    <t>Faith Unbroken</t>
  </si>
  <si>
    <t>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t>
  </si>
  <si>
    <t>Faithbearer Paladin</t>
  </si>
  <si>
    <t>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t>
  </si>
  <si>
    <t>Fiend Binder</t>
  </si>
  <si>
    <t>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t>
  </si>
  <si>
    <t>Geist of the Lonely Vigil</t>
  </si>
  <si>
    <t>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t>
  </si>
  <si>
    <t>Gisela, the Broken Blade // Brisela, Voice of Nightmares</t>
  </si>
  <si>
    <t>Gisela is the closest thing you’re going to get to Baneslayer Angel on Innistrad, and she sure looks broken to me. She’s cheap to cast and virtually impossible to race?or?beat in combat. What keeps her from earning the perfect 5.0 is her vulnerability to many of the format’s common removal spells.Gisela should be one of the cards you’re most excited to open in?Draft or Sealed Deck.</t>
  </si>
  <si>
    <t>Give No Ground</t>
  </si>
  <si>
    <t>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t>
  </si>
  <si>
    <t>Guardian of Pilgrims</t>
  </si>
  <si>
    <t>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t>
  </si>
  <si>
    <t>Ironclad Slayer</t>
  </si>
  <si>
    <t>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t>
  </si>
  <si>
    <t>Ironwright's Cleansing</t>
  </si>
  <si>
    <t>Try not to maindeck Ironwright’s Cleansing, but there seem to be enough artifacts and enchantments in this Limited format that it wouldn’t be a complete catastrophe if you had to do so. Beyond that, it looks like a solid sideboard card.</t>
  </si>
  <si>
    <t>Lone Rider // It That Rides as One</t>
  </si>
  <si>
    <t>Lone Rider is weak on the front side, and requires a bit of effort to transform. This is the type of card that will become very fun if you happen to pick up multiples early and can draft around them. But a lone Lone Rider isn’t someone you particularly need on your team.</t>
  </si>
  <si>
    <t>Long Road Home</t>
  </si>
  <si>
    <t>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t>
  </si>
  <si>
    <t>Lunarch Mantle</t>
  </si>
  <si>
    <t>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t>
  </si>
  <si>
    <t>Peace of Mind</t>
  </si>
  <si>
    <t>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t>
  </si>
  <si>
    <t>Providence</t>
  </si>
  <si>
    <t>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t>
  </si>
  <si>
    <t>Sanctifier of Souls</t>
  </si>
  <si>
    <t>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t>
  </si>
  <si>
    <t>Selfless Spirit</t>
  </si>
  <si>
    <t>Selfless Spirit is not a bomb, but it is a supremely good and efficient card. 2 mana, 2-power flyers are already premium cards in Limited, and this has the additional ability to save a better creature from removal or to bail you out of an otherwise-disastrous combat step.</t>
  </si>
  <si>
    <t>Sigarda's Aid</t>
  </si>
  <si>
    <t>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t>
  </si>
  <si>
    <t>Sigardian Priest</t>
  </si>
  <si>
    <t>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t>
  </si>
  <si>
    <t>Spectral Reserves</t>
  </si>
  <si>
    <t>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t>
  </si>
  <si>
    <t>Steadfast Cathar</t>
  </si>
  <si>
    <t>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t>
  </si>
  <si>
    <t>Subjugator Angel</t>
  </si>
  <si>
    <t>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t>
  </si>
  <si>
    <t>Thalia, Heretic Cathar</t>
  </si>
  <si>
    <t>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t>
  </si>
  <si>
    <t>Thalia’s Lancers</t>
  </si>
  <si>
    <t>2.5/4.5</t>
  </si>
  <si>
    <t>Thalia’s Lancers require things to have gone pretty well for you before they can be at their most powerful―both the floor and the ceiling are pretty high in terms of their power level. 5 mana for a 4/4 first strike usually makes?the cut in your draft deck on its own. If you add searching for your bomb rare onto that, then you have something really special.Given something like a Bruna, the Fading Light to search for, Thalia’s Lancers easily earns a 4.5 rating. If you have nothing to search for, it’s somewhere in the 2.0-2.5 range. My “pack 1 pick 1 rating” is a 3.0. When possible, you want to keep yourself open for the chance of getting lucky.</t>
  </si>
  <si>
    <t>Thraben Standard Bearer</t>
  </si>
  <si>
    <t>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t>
  </si>
  <si>
    <t>Advanced Stitchwing</t>
  </si>
  <si>
    <t>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t>
  </si>
  <si>
    <t>Chilling Grasp</t>
  </si>
  <si>
    <t>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t>
  </si>
  <si>
    <t>Coax from the Blind Eternities</t>
  </si>
  <si>
    <t>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t>
  </si>
  <si>
    <t>Contingency Plan</t>
  </si>
  <si>
    <t>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t>
  </si>
  <si>
    <t>Convolute</t>
  </si>
  <si>
    <t>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t>
  </si>
  <si>
    <t>Curious Homuncullus // Voracious Reader</t>
  </si>
  <si>
    <t>The front side of Curious Homunculus is fairly bad, and the flipped side is probably a bit worse than Pyre Hound in a “spells matter” deck. Granted, the fact that you only need to invest 2 mana is a strong point in its favor.The Homunculus is legitimately great in the right deck. And the good news is that, if you want it, you probably don’t have a ton of competition for it (if you’re not certain that you want it, then you probably don’t want it).</t>
  </si>
  <si>
    <t>Displace</t>
  </si>
  <si>
    <t>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t>
  </si>
  <si>
    <t>Docent of Perfection // Final Iteration</t>
  </si>
  <si>
    <t>You’ll be able to get some of the lynchpins of the “spells matter” deck―like Curious Homunculus―late in the draft. But not Docent of Perfection―this is a card that everyone at the table will want. 5 mana for a 5/4 flying alone is bordering on bomb status. Docent of Perfection also has a powerful triggered ability and the possibility of transforming into something even bigger. This is a stone-cold bomb rare.The Docent is good enough that you shouldn’t feel pressure to draft your deck around it. That said, it goes from great to insane if you actually have a lot of instants and sorceries to cast.</t>
  </si>
  <si>
    <t>Drag Under</t>
  </si>
  <si>
    <t>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t>
  </si>
  <si>
    <t>Enlightened Maniac</t>
  </si>
  <si>
    <t>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t>
  </si>
  <si>
    <t>Exultant Cultist</t>
  </si>
  <si>
    <t>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t>
  </si>
  <si>
    <t>Fogwalker</t>
  </si>
  <si>
    <t>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t>
  </si>
  <si>
    <t>Fortune’s Favor</t>
  </si>
  <si>
    <t>Fortune's Favor is a fun and interesting card that breaks down to being roughly equal to Inspiration. You can guarantee yourself at least 2 cards, but you cannot count on getting the 2 you want most. If it was a 4-card Fact or Fiction, you could at least choose the single card you want most, but Fortune’s Favor allows your opponent to hide information from you and forces you into making your choice half in the dark. Unless your opponent makes a mistake or tries and fails to pull one over on you, you’re probably going to wind up with something like the best and worst of the 4 cards, or the 2 median cards.So for practical purposes, I think you should play with Fortune’s Favor when you want Inspiration in your deck. It’s better than Catalog, but still slow and overpriced. Play it in a deck that really needs spells, or has a lot of ways to operate at instant speed. Leave it on the bench in your average, normal-looking decks.</t>
  </si>
  <si>
    <t>Geist of the Archives</t>
  </si>
  <si>
    <t>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t>
  </si>
  <si>
    <t>Grizzled Angler // Grisly Anglerfish</t>
  </si>
  <si>
    <t>Grizzled Angler is a reasonable body with a cool ability. You’ll play him when you need to fill out your creature curve, you’ll play him when you’re interested in self mill, and you’ll play him when you have 2 or 3 colorless creatures to help him transform.You’ll increase your chances of making a Grisly Anglerfish if you accidentally sleeve your Eldritch Moon DFCs backwards with the Eldrazi side showing. Failing that, remember that artifact creatures like Thraben Gargoyle and Wicker Witch still count.</t>
  </si>
  <si>
    <t>Identity Thief</t>
  </si>
  <si>
    <t>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t>
  </si>
  <si>
    <t>Imprisoned in the Moon</t>
  </si>
  <si>
    <t>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t>
  </si>
  <si>
    <t>Ingenious Skaab</t>
  </si>
  <si>
    <t>Ingenious Skaab is a very solid body that can hit quite hard if it goes unblocked and you have even a single noncreature spell to cast. In a color lacking a premium common removal spell, Ingenious Skaab could easily be among the best commons.</t>
  </si>
  <si>
    <t>Laboratory Brute</t>
  </si>
  <si>
    <t>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t>
  </si>
  <si>
    <t>Lunar Force</t>
  </si>
  <si>
    <t>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t>
  </si>
  <si>
    <t>Mausoleum Wanderer</t>
  </si>
  <si>
    <t>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t>
  </si>
  <si>
    <t>Mind’s Dilation</t>
  </si>
  <si>
    <t>Mind's Dilation is a fancy card that’s going to mostly be slow and bad. You’ll need to cast 3 spells before you get an effect worthy of investing 7 mana. You also need to factor that you can miss (they reveal a land), that they have the option to save up multiple spells for the same turn, and that you might be losing on the board by the time you cast it. All in all, I don’t think it’s very realistic for this card to be worth its cost.</t>
  </si>
  <si>
    <t>Nebelgast Herald</t>
  </si>
  <si>
    <t>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t>
  </si>
  <si>
    <t>Niblis of Frost</t>
  </si>
  <si>
    <t>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t>
  </si>
  <si>
    <t>Scour the Laboratory</t>
  </si>
  <si>
    <t>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t>
  </si>
  <si>
    <t>Spontaneous Mutation</t>
  </si>
  <si>
    <t>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t>
  </si>
  <si>
    <t>Summary Dismissal</t>
  </si>
  <si>
    <t>This is a fancy way of printing what amounts to a vanilla 4-mana counterspell. I like a Cancel more than most, but I’d be quite unhappy to main deck a 4-mana Cancel, and would only sideboard it in for very slow matchups.</t>
  </si>
  <si>
    <t>Take Inventory</t>
  </si>
  <si>
    <t>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t>
  </si>
  <si>
    <t>Tattered Haunter</t>
  </si>
  <si>
    <t>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t>
  </si>
  <si>
    <t>Turn Aside</t>
  </si>
  <si>
    <t>Highly situational cards like Turn Aside are never high draft picks. In an emergency where you’ve only drafted 19 or 20 playables, you could put Turn Aside in your main deck and hope things work out for the perfect blowout. Preferably, though, this is?sideboard material.</t>
  </si>
  <si>
    <t>Unsubstantiate</t>
  </si>
  <si>
    <t>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t>
  </si>
  <si>
    <t>Wharf Infiltrator</t>
  </si>
  <si>
    <t>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t>
  </si>
  <si>
    <t>Boon of Emrakul</t>
  </si>
  <si>
    <t>Borrowed Malevolence</t>
  </si>
  <si>
    <t>Cemetery Recruitment</t>
  </si>
  <si>
    <t>Certain Death</t>
  </si>
  <si>
    <t>Collective Brutality</t>
  </si>
  <si>
    <t>Cryptbreaker</t>
  </si>
  <si>
    <t>Dark Salvation</t>
  </si>
  <si>
    <t>Dusk Feaster</t>
  </si>
  <si>
    <t>Gavony Unhallowed</t>
  </si>
  <si>
    <t>Graf Harvest</t>
  </si>
  <si>
    <t>Graf Rats // Chittering Host</t>
  </si>
  <si>
    <t>Haunted Dead</t>
  </si>
  <si>
    <t>Liliana’s Elite</t>
  </si>
  <si>
    <t>Markov Crusader</t>
  </si>
  <si>
    <t>Midnight Scavengers // Chittering Host</t>
  </si>
  <si>
    <t>Murder</t>
  </si>
  <si>
    <t>Noosegraf Mob</t>
  </si>
  <si>
    <t>Oath of Liliana</t>
  </si>
  <si>
    <t>Olivia’s Dragoon</t>
  </si>
  <si>
    <t>Prying Questions</t>
  </si>
  <si>
    <t>Rise from the Grave</t>
  </si>
  <si>
    <t>Ruthless Disposal</t>
  </si>
  <si>
    <t>Skirsdag Supplicant</t>
  </si>
  <si>
    <t>Strange Augmentation</t>
  </si>
  <si>
    <t>Stromkirk Condemned</t>
  </si>
  <si>
    <t>Succumb to Temptation</t>
  </si>
  <si>
    <t>Thraben Foulbloods</t>
  </si>
  <si>
    <t>Tree of Perdition</t>
  </si>
  <si>
    <t>Vampire Cutthroat</t>
  </si>
  <si>
    <t>Voldaren Pariah // Abolisher of Bloodlines</t>
  </si>
  <si>
    <t>Wailing Ghoul</t>
  </si>
  <si>
    <t>Weirded Vampire</t>
  </si>
  <si>
    <t>Whispers of Emrakul</t>
  </si>
  <si>
    <t>Abandon Reason</t>
  </si>
  <si>
    <t>Alchemist’s Greeting</t>
  </si>
  <si>
    <t>Assembled Alphas</t>
  </si>
  <si>
    <t>Bedlam Reveler</t>
  </si>
  <si>
    <t>Blood Mist</t>
  </si>
  <si>
    <t>Bold Impaler</t>
  </si>
  <si>
    <t>Borrowed Hostility</t>
  </si>
  <si>
    <t>Brazen Wolves</t>
  </si>
  <si>
    <t>Collective Defiance</t>
  </si>
  <si>
    <t>Conduit of Storms // Conduit of Emrakul</t>
  </si>
  <si>
    <t>Deranged Welp</t>
  </si>
  <si>
    <t>Distemper of the Blood</t>
  </si>
  <si>
    <t>Falkenrath Reaver</t>
  </si>
  <si>
    <t>Furyblade Vampire</t>
  </si>
  <si>
    <t>Galvanic Bombardment</t>
  </si>
  <si>
    <t>Hanweir Garrison // Hanweir, the Writhing Township</t>
  </si>
  <si>
    <t>Harmless Offering</t>
  </si>
  <si>
    <t>Impetuous Devils</t>
  </si>
  <si>
    <t>Incendiary Flow</t>
  </si>
  <si>
    <t>Insatiable Gorgers</t>
  </si>
  <si>
    <t>Make Mischief</t>
  </si>
  <si>
    <t>Mirrorwing Dragon</t>
  </si>
  <si>
    <t>Nahiri’s Wrath</t>
  </si>
  <si>
    <t>Otherworldly Outburst</t>
  </si>
  <si>
    <t>Prophetic Ravings</t>
  </si>
  <si>
    <t>Savage Alliance</t>
  </si>
  <si>
    <t>Shreds of Sanity</t>
  </si>
  <si>
    <t>Smoldering Werewolf // Erupting Dreadwolf</t>
  </si>
  <si>
    <t>Spreading Flames</t>
  </si>
  <si>
    <t>Stensia Banquet</t>
  </si>
  <si>
    <t>Stensia Innkeeper</t>
  </si>
  <si>
    <t>Stromkirk Occultist</t>
  </si>
  <si>
    <t>Thermo-Alchemist</t>
  </si>
  <si>
    <t>Vildin-Pack Outcast // Dronepack Kindred</t>
  </si>
  <si>
    <t>Weaver of Lightning</t>
  </si>
  <si>
    <t>Backwoods Survivalists</t>
  </si>
  <si>
    <t>Bloodbriar</t>
  </si>
  <si>
    <t>Clear Shot</t>
  </si>
  <si>
    <t>Crop Sigil</t>
  </si>
  <si>
    <t>Crossroads Consecrator</t>
  </si>
  <si>
    <t>Decimator of the Provinces</t>
  </si>
  <si>
    <t>Eldritch Evolution</t>
  </si>
  <si>
    <t>0.5/2.5</t>
  </si>
  <si>
    <t>Emrakul’s Evangel</t>
  </si>
  <si>
    <t>Emrakul’s Influence</t>
  </si>
  <si>
    <t>Foul Emissary</t>
  </si>
  <si>
    <t>Gnarlwood Dryad</t>
  </si>
  <si>
    <t>Grapple With the Past</t>
  </si>
  <si>
    <t>Hamlet Captain</t>
  </si>
  <si>
    <t>Ishkanah, Grafwidow</t>
  </si>
  <si>
    <t>It of the Horrid Swarm</t>
  </si>
  <si>
    <t>Kessig Prowler // Sinuous Predator</t>
  </si>
  <si>
    <t>Mockery of Nature</t>
  </si>
  <si>
    <t>Noose Constrictor</t>
  </si>
  <si>
    <t>Permeating Mass</t>
  </si>
  <si>
    <t>Prey Upon</t>
  </si>
  <si>
    <t>Primal Druid</t>
  </si>
  <si>
    <t>Shrill Howler // Howling Chorus</t>
  </si>
  <si>
    <t>Somberwald Stag</t>
  </si>
  <si>
    <t>Spirit of the Hunt</t>
  </si>
  <si>
    <t>Splendid Reclamation</t>
  </si>
  <si>
    <t>Springsage Ritual</t>
  </si>
  <si>
    <t>Swift Spinner</t>
  </si>
  <si>
    <t>Tangleclaw Werewolf // Fibrous Entangler</t>
  </si>
  <si>
    <t>Ulvenwald Captive // Ulvenwald Abomination</t>
  </si>
  <si>
    <t>Ulvenwald Observer</t>
  </si>
  <si>
    <t>Waxing Moon</t>
  </si>
  <si>
    <t>Wolfkin Bond</t>
  </si>
  <si>
    <t>Woodcutter’s Grit</t>
  </si>
  <si>
    <t>Woodland Patrol</t>
  </si>
  <si>
    <t>Abundant Maw</t>
  </si>
  <si>
    <t>Distended Mindbender</t>
  </si>
  <si>
    <t>Drownyard Behemoth</t>
  </si>
  <si>
    <t>Elder Deep-Fiend</t>
  </si>
  <si>
    <t>Emrakul, the Promised End</t>
  </si>
  <si>
    <t>Eternal Scourge</t>
  </si>
  <si>
    <t>Lashweed Lurker</t>
  </si>
  <si>
    <t>Vexing Scuttler</t>
  </si>
  <si>
    <t>Wretched Gryff</t>
  </si>
  <si>
    <t>Cathar’s Shield</t>
  </si>
  <si>
    <t>Cryptolith Fragment // Aurora of Emrakul</t>
  </si>
  <si>
    <t>Cultist’s Staff</t>
  </si>
  <si>
    <t>Field Creeper</t>
  </si>
  <si>
    <t>Geist-Fueled Scarecrow</t>
  </si>
  <si>
    <t>Lupine Prototype</t>
  </si>
  <si>
    <t>Slayer’s Cleaver</t>
  </si>
  <si>
    <t>Soul Separator</t>
  </si>
  <si>
    <t>Stitcher’s Graft</t>
  </si>
  <si>
    <t>Terrarion</t>
  </si>
  <si>
    <t>Thirsting Axe</t>
  </si>
  <si>
    <t>Bloodhall Priest</t>
  </si>
  <si>
    <t>Campaign of Vengeance</t>
  </si>
  <si>
    <t>Gisa and Geralf</t>
  </si>
  <si>
    <t>Grim Flayer</t>
  </si>
  <si>
    <t>Heron's Grace Champion</t>
  </si>
  <si>
    <t>Mercurial Geists</t>
  </si>
  <si>
    <t>Mournwillow</t>
  </si>
  <si>
    <t>Ride Down</t>
  </si>
  <si>
    <t>Spell Queller</t>
  </si>
  <si>
    <t>Tamiyo, Field Researcher</t>
  </si>
  <si>
    <t>Ulrich of the Krallenhorde // Ulrich, Uncontested Alpha</t>
  </si>
  <si>
    <t>Geier Reach Sanitarium</t>
  </si>
  <si>
    <t>Hanweir Battlements // Hanweir, the Writhing Township</t>
  </si>
  <si>
    <t>Nephalia Academy</t>
  </si>
  <si>
    <t>Gisela, the Broken Blade</t>
  </si>
  <si>
    <t>Nahiri's Wrath</t>
  </si>
  <si>
    <t>Collective Effort</t>
  </si>
  <si>
    <t>Ulrich of the Krallenhorde</t>
  </si>
  <si>
    <t>Thalia's Lancers</t>
  </si>
  <si>
    <t>Bruna, the Fading Light</t>
  </si>
  <si>
    <t>Voldaren Pariah</t>
  </si>
  <si>
    <t>Hanweir Garrison</t>
  </si>
  <si>
    <t>Docent of Perfection</t>
  </si>
  <si>
    <t>Emrakul's Evangel</t>
  </si>
  <si>
    <t>Lone Rider</t>
  </si>
  <si>
    <t>Extricator of Sin</t>
  </si>
  <si>
    <t>Smoldering Werewolf</t>
  </si>
  <si>
    <t>Stitcher's Graft</t>
  </si>
  <si>
    <t>Shrill Howler</t>
  </si>
  <si>
    <t>Kessig Prowler</t>
  </si>
  <si>
    <t>Hanweir Battlements</t>
  </si>
  <si>
    <t>Conduit of Storms</t>
  </si>
  <si>
    <t>Cryptolith Fragment</t>
  </si>
  <si>
    <t>Tangleclaw Werewolf</t>
  </si>
  <si>
    <t>Ulvenwald Captive</t>
  </si>
  <si>
    <t>Midnight Scavengers</t>
  </si>
  <si>
    <t>Liliana's Elite</t>
  </si>
  <si>
    <t>Deranged Whelp</t>
  </si>
  <si>
    <t>Grizzled Angler</t>
  </si>
  <si>
    <t>Curious Homunculus</t>
  </si>
  <si>
    <t>Alchemist's Greeting</t>
  </si>
  <si>
    <t>Olivia's Dragoon</t>
  </si>
  <si>
    <t>Graf Rats</t>
  </si>
  <si>
    <t>Vildin-Pack Outcast</t>
  </si>
  <si>
    <t>Cultist's Staff</t>
  </si>
  <si>
    <t>Fortune's Favor</t>
  </si>
  <si>
    <t>Repel the Abominable</t>
  </si>
  <si>
    <t>Slayer's Cleaver</t>
  </si>
  <si>
    <t>Grapple with the Past</t>
  </si>
  <si>
    <t>Cathar's Shield</t>
  </si>
  <si>
    <t>Woodcutter's Grit</t>
  </si>
  <si>
    <t>Mind's Dilation</t>
  </si>
  <si>
    <t>Emrakul's Influence</t>
  </si>
  <si>
    <t>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t>
  </si>
  <si>
    <t>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t>
  </si>
  <si>
    <t>Raise Dead is never really bad in Limited. In a vanilla deck, you can either start 1 copy of this card or skip it as you see fit. If you have?Zombies, bomb rare creatures, or self-mill, then it becomes an effect you want access to.</t>
  </si>
  <si>
    <t>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t>
  </si>
  <si>
    <t>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t>
  </si>
  <si>
    <t>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t>
  </si>
  <si>
    <t>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t>
  </si>
  <si>
    <t>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t>
  </si>
  <si>
    <t>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t>
  </si>
  <si>
    <t>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t>
  </si>
  <si>
    <t>Goblin Piker is a bit below par for Eldritch Moon/Shadows over Innistrad Limited, but you’ll still play Graf Rats once in a while to fill your mana curve. The ability to meld with another common creature (and a good one at that) into the powerful Chittering Host increases Graf Rats’ value a noticeable amount.</t>
  </si>
  <si>
    <t>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t>
  </si>
  <si>
    <t>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t>
  </si>
  <si>
    <t>The good news for Liliana’s Elite is that black has a lot of ways to get creatures into its graveyard. The bad news for Liliana’s Elite is that they often don’t stay there for long. Cemetery Recruitment and Macabre Waltz are strong cards that graveyard-centric Limited decks will be playing with anyway, and there’s also Graf Harvest and creatures like Haunted Dead or Sanitarium Skeleton―just to name a few ways for things to be jumping out of their graves.Still, if you can cast Liliana’s Elite as a 2/2 with the potential to grow over the course of the game, then it’s a strong filler card. I just don’t see this as being one of the major payoffs to drafting a black, graveyard-centric deck.</t>
  </si>
  <si>
    <t>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t>
  </si>
  <si>
    <t>If you’re a fiend for value, then you’re a lot happier topping your curve with Midnight Scavengers than with vanilla cards like Thornhide Wolves or Hound of the Farbogs. Midnight Scavengers is a pretty strong card, and earns a 2.0 or 2.5 on its own merits. The fact that it melds with Graf Rats―a card that you’ll probably be able to pick up relatively late―might make Mignight Scavengers one of the higher picks among black commons.</t>
  </si>
  <si>
    <t>Great. Instant-speed, unconditional removal. Great.</t>
  </si>
  <si>
    <t>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t>
  </si>
  <si>
    <t>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t>
  </si>
  <si>
    <t>Olivia’s Dragoon is a bread-and-butter card that you’ll really want in RB Vampires. 2-drop Vampires with good stats will always be at a premium, and the Dragoon can help you get in the last few points of damage against a weakened opponent. Most importantly, it’s a repeatable, instant-speed madness enabler.</t>
  </si>
  <si>
    <t>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t>
  </si>
  <si>
    <t>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t>
  </si>
  <si>
    <t>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t>
  </si>
  <si>
    <t>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t>
  </si>
  <si>
    <t>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t>
  </si>
  <si>
    <t>Stromkirk Condemned has reasonable stats on its own, and gets powerful fast when you start adding madness and/or Vampire tribal synergies. You’ll be happy to play this in all decks with 9 or more Swamps, and picking it up early is a strong incentive to go BR.</t>
  </si>
  <si>
    <t>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t>
  </si>
  <si>
    <t>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t>
  </si>
  <si>
    <t>Tree of Perdition is an excellent blocker that can nuke the opponent for 7 life points if you draw it early enough. The combo with Triskaidekaphobia is also good enough to be worth speculating on.</t>
  </si>
  <si>
    <t>Standing alone, Vampire Cutthroat is too low-impact to be a good Limited card, but it’s efficient enough that if you have Vampire tribal synergies, or good equipment and Auras that need to be carried, then this is a card you might get excited about.</t>
  </si>
  <si>
    <t>5 mana for a 3/3 flyer is a fairly solid, baseline rate in Limited. The madness ability adds a little, and the threat of actually transforming Voldaren Pariah adds a lot. With a little bit of build-around effort, you can make a 3-for-3 creature trade excellent for you. Oh, and don’t forget that you leave behind a 6/5 flyer that’s likely to kill the opponent in 2 or 3 turns!</t>
  </si>
  <si>
    <t>Wailing Ghoul is certainly not exciting, but is the type of card you’ll pick up late to round out your Zombie deck or your defensive black control deck.</t>
  </si>
  <si>
    <t>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t>
  </si>
  <si>
    <t>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t>
  </si>
  <si>
    <t>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t>
  </si>
  <si>
    <t>When you hardcast it, Alchemist's Greeting is a bit worse than Reduce to Ashes, but still a perfectly fine card. Throttle and Reduce to Ashes weren’t exactly premium cards in Shadows over Innistrad, but I think virtually all decks are happy to have a piece or two?of 5-mana removal.What really makes Alchemist’s Greeting awesome is the ability to madness it out. This isn’t 2-mana removal in the sense that you can cast it on turn 2, but it will create devastating tempo swings in the midgame by allowing you to remove an opposing creature while casting another spell in the same turn. If you have the right madness outlets, you can even get some amount of card advantage when you use the madness cost.This card will range from about a 2.0 (when you only have 0-1 way to discard it), all the way up to about a 4.0 (when you’re confident you can discard it at will). Note that it’s a lot easier to make good use of Alchemist’s Greeting in RU and RB than it is in RW or RG. Early in the draft, you might not know exactly how valuable it will be in your finished product, but I think this is worth picking up early and speculating on.</t>
  </si>
  <si>
    <t>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t>
  </si>
  <si>
    <t>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t>
  </si>
  <si>
    <t>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t>
  </si>
  <si>
    <t>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t>
  </si>
  <si>
    <t>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t>
  </si>
  <si>
    <t>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t>
  </si>
  <si>
    <t>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t>
  </si>
  <si>
    <t>Conduit of Storms has average stats to begin with, and generating an extra mana is a good enough bonus to put it well into the realm of solid filler just on the front side. But it can also transform into Conduit of Emrakul, making it a powerful monster in the mid- and late-game.Unlike many of the other Werewolf horrors, Conduit of Storm’s transform cost is extremely affordable, and you can transform it as early as your turn-4 post-combat main phase by using the extra mana it generates.With a card like this, the threat of transformation often does as much work as the actual transformation itself. Attack with Conduit of Storms on turn 5, and how is your opponent supposed to block with a 3/3 when you can transform at instant-speed? He or she will be forced to take the damage, leaving you the option to transform if you like, or spend your mana playing a creature post-combat if you prefer.Overall, this is a premium creature that will make the cut in any red deck.</t>
  </si>
  <si>
    <t>Deranged Whelp is a solid 2-drop with a relevant creature type. 1 toughness isn’t ideal, but having menace will help it get in some damage, and avoid trading down against tokens and weaker creatures.</t>
  </si>
  <si>
    <t>At sorcery speed, Distemper of the Blood is quite bad to hard-cast. It becomes good if you’re playing an aggressive deck that can usually count on having a madness enabler. Overall, it’s hard to make this work, and you shouldn’t be picking it highly.</t>
  </si>
  <si>
    <t>My analysis of Falkenrath Reaver is much the same as Deranged Whelp (the Whelp is a little better, however). Red wants 2-drops, and the Vampire creature type on this makes it fairly desirable.</t>
  </si>
  <si>
    <t>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t>
  </si>
  <si>
    <t>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t>
  </si>
  <si>
    <t>Much like Goblin Rabblemaster, Hanweir Garrison runs away with a game if it gets to attack uncontested for more than 1 turn. Even if it attacks and trades off, you might get some tokens and some extra damage for your troubles.Once you have a creature that wants to attack as badly as Hanweir Garrison, combat tricks, tempo spells, and removal start to go up in value.</t>
  </si>
  <si>
    <t>This is what my teammate Andrew Cuneo would call “a sideboard card.”</t>
  </si>
  <si>
    <t>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t>
  </si>
  <si>
    <t>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t>
  </si>
  <si>
    <t>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t>
  </si>
  <si>
    <t>LimitedRatingg:2.0</t>
    <phoneticPr fontId="4"/>
  </si>
  <si>
    <t>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t>
  </si>
  <si>
    <t>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t>
  </si>
  <si>
    <t>The cost is large, but the effect is massive. With a bit of setup, you can use Nahiri’s Wrath as a one-sided board wipe that can decide the game in short order. It poses a little bit of a dilemma in that you’ll have to discard your better cards to deal more damage. But it should be easy in the late game to discard a 5-drop and a land or 2 in order to get the desired effect.This isn’t one of the best Limited cards ever due to the fact that it sometimes won’t be a great topdeck. Red decks empty their hands pretty fast in this format, and it’s hard to hold a grip full of spells just on the chance you draw Nahiri’s Wrath on turn 10.Should Nahiri’s Wrath encourage you to raise the mana curve of your deck? Maybe a little bit. It could be a fine tiebreaker in favor of adding 1 or 2 5-mana spells to your W/R Beatdown deck that might normally only curve up to 4 mana. Certainly don’t go crazy, though―this card doesn’t need much help to be a gamewinner. Naturally, look for madness cards to pair with it for bonus value.</t>
  </si>
  <si>
    <t>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t>
  </si>
  <si>
    <t>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t>
  </si>
  <si>
    <t>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t>
  </si>
  <si>
    <t>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t>
  </si>
  <si>
    <t>Eldritch Moon and Shadows over Innistrad have enough 1 toughness dudes that Smoldering Werewolf will often be able to kill a creature upon entering the battlefield. If you make the right attacks before casting it, you might be able to kill a weenie and finish off a bigger creature that your opponent blocked with!The front side of this card alone would be excellent, but the ability to transform into a giant monster that can start killing even bigger stuff makes Smoldering Werewolf a very scary Limited card.</t>
  </si>
  <si>
    <t>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t>
  </si>
  <si>
    <t>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t>
  </si>
  <si>
    <t>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t>
  </si>
  <si>
    <t>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t>
  </si>
  <si>
    <t>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t>
  </si>
  <si>
    <t>Vildin-Pack Outcast is better than Thornhide Wolves, but probably a bit worse than Gatstaf Arsonists. This makes it a 5-drop creature that’ll usually make the cut, but might not require a high draft pick. Having trample on both the front and the back is excellent, but having to invest so much mana to transform is annoying when compared to the tradition Werewolf template.</t>
  </si>
  <si>
    <t>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t>
  </si>
  <si>
    <t>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t>
  </si>
  <si>
    <t>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t>
  </si>
  <si>
    <t>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t>
  </si>
  <si>
    <t>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t>
  </si>
  <si>
    <t>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t>
  </si>
  <si>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</si>
  <si>
    <t>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t>
  </si>
  <si>
    <t>Emrakul's Evangel is a very unique card. I don’t think you can count on 3/2 Eldrazis being major upgrades to too many of your creatures (although it’s nice with tokens and Sanitarium Skeletons). Instead, what’s cool about this card is the ability to leave it untapped and use it in response to removal, or as a reaction to an unfavorable combat step.On the whole, Emrakul’s Evangel is a reasonable body, and you’ll almost always find a way to get some extra value from it. In particular, look for it as a way to make your Bloodbriars huge at a moment’s notice.</t>
  </si>
  <si>
    <t>It’s going to be tempting to play with Emrakul's Influence in UG when you wind up with a handful of emerge creatures, but I strongly recommend staying away. If you’re able to resolve a 4-mana do-nothing and then multiple Eldrazi that cost 7 or more mana, you shouldn’t need help winning the game. If you’re looking for a card that’s good alongside tons of 7+ mana creatures, I recommend basic Forest. You’re allowed to take as many as you like from the land bin.</t>
  </si>
  <si>
    <t>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t>
  </si>
  <si>
    <t>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t>
  </si>
  <si>
    <t>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t>
  </si>
  <si>
    <t>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t>
  </si>
  <si>
    <t>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t>
  </si>
  <si>
    <t>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t>
  </si>
  <si>
    <t>A hyper-cheap and aggressive creature that’s still good in the late game is an excellent Limited card. Naturally, this is at its best in something like GW or GR beatdown. But even your defensive green decks might want Kessig Prowler to trade off early, or to sink mana into late.</t>
  </si>
  <si>
    <t>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
  </si>
  <si>
    <t>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t>
  </si>
  <si>
    <t>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t>
  </si>
  <si>
    <t>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t>
  </si>
  <si>
    <t>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t>
  </si>
  <si>
    <t>Shrill Howler is a bit fragile, but being difficult to block makes up for that and helps ensure that it won’t trade down against weaker creatures. When it transforms, it becomes a big threat that can take over the game if it goes unblocked a couple of times. This is a strong card that you’ll be happy to play in any green deck.</t>
  </si>
  <si>
    <t>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t>
  </si>
  <si>
    <t>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t>
  </si>
  <si>
    <t>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t>
  </si>
  <si>
    <t>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t>
  </si>
  <si>
    <t>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t>
  </si>
  <si>
    <t>Tangleclaw Werewolf is Eldritch Moon’s only defensive Werewolf. The front side is pretty average, but it does hold the ground well. Once you find the mana to transform it, Fibrous Entangler is a creature that will give you massive control over the battlefield, and can force the opponent into chump-blocking under the right circumstances.Tangleclaw Werewolf is a perfect fit in big-mana green decks where you can both make use of the defensive creature, and amass the mana to transform it into its Eldrazi form.</t>
  </si>
  <si>
    <t>I like mana dorks in Limited, and one that can turn into a major threat in the late game is very exciting to me. This is a card that deserves to be picked pretty highly, and almost always maindecked. Casting bigger Werewolves like Solitary Hunter ahead of schedule is a good way to run away with a game.</t>
  </si>
  <si>
    <t>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t>
  </si>
  <si>
    <t>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t>
  </si>
  <si>
    <t>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t>
  </si>
  <si>
    <t>This card looks like it can make the cut. It’s an overpriced Giant Growth that can reliably save your creature from any removal spell. That amounts to a pretty average combat trick that you won’t need to pick highly, but that you’ll often play with in a beatdown deck.</t>
  </si>
  <si>
    <t>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t>
  </si>
  <si>
    <t>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t>
  </si>
  <si>
    <t>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t>
  </si>
  <si>
    <t>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t>
  </si>
  <si>
    <t>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t>
  </si>
  <si>
    <t>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t>
  </si>
  <si>
    <t>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t>
  </si>
  <si>
    <t>Having a multicolored emerge cost makes Lashweed Lurker slightly more difficult to use well. But the power level is still definitely there, as it has a large, immediate impact on the board, and won’t leave you down on card advantage even when paying the emerge cost.</t>
  </si>
  <si>
    <t>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t>
  </si>
  <si>
    <t>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t>
  </si>
  <si>
    <t>Cathar’s Shield has an annoyingly high equip cost, and doesn’t help you unload extra damage on the opponent. On the whole, this is a poor card. I could see playing it if you have a ton of equipment synergies, but there are enough common equipment in Eldritch Moon/Shadows over Innistrad that you shouldn’t have to stoop this low.</t>
  </si>
  <si>
    <t>Cryptolith Fragment is a unique and reasonably powerful card, but whether or not you can use it well will depend largely on your deck. The challenge is that ramp decks want to protect their own life total, and they do not attack the opponent’s life total quickly. Aggressive decks that attack the opponent’s life total might not be able to make use of the extra mana (or count on their own life total going down to 10).I see Cryptolith Fragment being best in something like a big RG Werewolves deck where you’re reasonably aggressive, and casting a 5-drop ahead of schedule is appealing to you.At its best, the Fragment could easily be as high as a 2.5, but don’t be afraid to leave it on the sidelines when it’s not a good fit for your deck.</t>
  </si>
  <si>
    <t>Cultist’s Staff, unlike the mediocre Cathar’s Shield, is a decently strong equipment. Vulshok Morningstar stands as a baseline for great?equipment in Limited, and the Staff comes reasonably close to matching it.I’d usually stick to 1 copy of Cultist’s Staff, but I think this is a card you’ll want if you specifically have equipment synergies (like Avacynian Missionaries), or if you’re just looking for a little extra support for your evasion creatures.</t>
  </si>
  <si>
    <t>2-drops are important. Field Creeper’s stats aren’t exciting, but a 2-drop that can go in any deck and contributes an extra card type for delirium is totally fine in my book.</t>
  </si>
  <si>
    <t>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t>
  </si>
  <si>
    <t>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t>
  </si>
  <si>
    <t>I prefer the more affordable Cultist's Staff over Slayer's Cleaver. Investing 4 mana to equip a creature, only to have that creature trade in combat is a real bummer. That’s why expensive equipment that doesn’t pump toughness (or offer evasion, trample, or another helpful ability), is usually disappointing.</t>
  </si>
  <si>
    <t>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t>
  </si>
  <si>
    <t>Stitcher’s Graft is very slow and a bit dangerous, but I think the rate is good enough that it’s still a useful card. You won’t want to put this on your giant green Werewolves, but in an RB or WR weenie deck, you can start attacking for big damage very quickly, and make your 1- and 2-drop creatures into very real threats.Imagine, for example, equipping an Insolent Neonate on turn 3. Even attacking every other turn, you’re unloading damage at a highly increased rate, and your opponent won’t ever have profitable blocks. If the Neonate ever dies (you can sacrifice it any time you like), you can re-equip Stitcher’s Graft and keep the pressure on.</t>
  </si>
  <si>
    <t>Terrarion isn’t exactly exciting, but it offers mana fixing and a contribution to delirium at a very, very low cost. You’ll be happy to play this virtually any time your deck is 3 colors, or any time you’re going for delirium (and don’t already have a handful of artifacts in your deck).</t>
  </si>
  <si>
    <t>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t>
  </si>
  <si>
    <t>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t>
  </si>
  <si>
    <t>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t>
  </si>
  <si>
    <t>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t>
  </si>
  <si>
    <t>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t>
  </si>
  <si>
    <t>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t>
  </si>
  <si>
    <t>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t>
  </si>
  <si>
    <t>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t>
  </si>
  <si>
    <t>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t>
  </si>
  <si>
    <t>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t>
  </si>
  <si>
    <t>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t>
  </si>
  <si>
    <t>Ulrich of the Krallenhorde is one of the major characters in Shadows over Innistrad, being referenced in the names and flavor texts of a lot of the Werewolves. He also seems to be the only “traditional” Werewolf in Eldritch Moon who hasn’t been corrupted by Emrakul. I had pretty high expectations for him when he finally got printed as his own card.The Human side is actually a bit lackluster. When he enters the battlefield, he can help one of your other creatures attack for a big chunk of damage, but there’s nothing to stop the opponent from chump-blocking anyway.But the Werewolf side does not disappoint in the slightest. A 6/6 that gets to kill off one of the opponent’s best creatures is a game-winner. The fact that you might actually get to make this happen more than once in a game is truly beastly.</t>
  </si>
  <si>
    <t>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t>
  </si>
  <si>
    <t>Hanweir Battlements is a bit more powerful because its effect only benefits you. Any red deck that can afford it will want Hanweir Battlements. Very aggressive red decks like WR will want to pick it relatively highly.</t>
  </si>
  <si>
    <t>Nephalia Academy</t>
    <phoneticPr fontId="4"/>
  </si>
  <si>
    <t>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t>
  </si>
  <si>
    <t>Emrakul, the Promised End</t>
    <phoneticPr fontId="4"/>
  </si>
  <si>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phoneticPr fontId="4"/>
  </si>
  <si>
    <t>Abundant Maw</t>
    <phoneticPr fontId="4"/>
  </si>
  <si>
    <t>file://f:/program/mtg/</t>
    <phoneticPr fontId="4"/>
  </si>
  <si>
    <t>info</t>
  </si>
  <si>
    <t>EldritchMoom 0 W0U0B0R0G0C0A0</t>
  </si>
  <si>
    <t>colorless</t>
  </si>
  <si>
    <t>\"Emerge {6}{B} （You may cast this spell by sacrificing a creature and paying the emerge cost reduced by that creature's converted mana cost.）
When you cast Abundant Maw, target opponent loses 3 life and you gain 3 life.\"</t>
  </si>
  <si>
    <t>\"\\"\"\\\"\"\\"\"\\\\"\"\\"\"\\\"\"\\"\"Emerge {6}{G}{G}{G} （You may cast this spell by sacrificing a creature and paying the emerge cost reduced by that creature's converted mana cost.）
When you cast Decimator of the Provinces, creatures you control get +2/+2 and gain trample until end of turn.
Trample, haste\\\\"\"\\"\"\\\"\"\\"\"\\\"\"\\"\"\\"\"\"</t>
  </si>
  <si>
    <t>\"\\"\"\\\"\"\\"\"\\\\"\"\\"\"\\\"\"\\"\"Emerge {5}{B}{B} （You may cast this spell by sacrificing a creature and paying the emerge cost reduced by that creature's converted mana cost.）
When you cast Distended Mindbender, target opponent reveals his or her hand. You choose from it a nonland card with converted mana cost 3 or less and a card with converted mana cost 4 or greater. That player discards those cards.\\\\"\"\\"\"\\\"\"\\"\"\\\"\"\\"\"\\"\"\"</t>
  </si>
  <si>
    <t>\"\\"\"\\\"\"\\"\"\\\\"\"\\"\"\\\"\"\\"\"Flash （You may cast this spell any time you could cast an instant.）
Emerge {7}{U} （You may cast this spell by sacrificing a creature and paying the emerge cost reduced by that creature's converted mana cost.）
Drownyard Behemoth has hexproof as long as it entered the battlefield this turn.\\\\"\"\\"\"\\\"\"\\"\"\\\"\"\\"\"\\"\"\"</t>
  </si>
  <si>
    <t>\"\\"\"\\\"\"\\"\"\\\\"\"\\"\"\\\"\"\\"\"Flash
Emerge {5}{U}{U} （You may cast this spell by sacrificing a creature and paying the emerge cost reduced by that creature's converted mana cost.）
When you cast Elder Deep-Fiend, tap up to four target permanents.\\\\"\"\\"\"\\\"\"\\"\"\\\"\"\\"\"\\"\"\"</t>
  </si>
  <si>
    <t>\"\\"\"\\\"\"\\"\"\\\\"\"\\"\"\\\"\"\\"\"Emrakul, the Promised End costs {1} less to cast for each card type among cards in your graveyard.
When you cast Emrakul, you gain control of target opponent during that player's next turn. After that turn, that player takes an extra turn.
Flying, trample, protection from instants\\\\"\"\\"\"\\\"\"\\"\"\\\"\"\\"\"\\"\"\"</t>
  </si>
  <si>
    <t>\"\\"\"\\\"\"\\"\"\\\\"\"\\"\"\\\"\"\\"\"You may cast Eternal Scourge from exile.
When Eternal Scourge becomes the target of a spell or ability an opponent controls, exile Eternal Scourge.\\\\"\"\\"\"\\\"\"\\"\"\\\"\"\\"\"\\"\"\"</t>
  </si>
  <si>
    <t>\"\\"\"\\\"\"\\"\"\\\\"\"\\"\"\\\"\"\\"\"Emerge {6}{G} （You may cast this spell by sacrificing a creature and paying the emerge cost reduced by that creature's converted mana cost.）
When you cast It of the Horrid Swarm, put two 1/1 green Insect creature tokens onto the battlefield.\\\\"\"\\"\"\\\"\"\\"\"\\\"\"\\"\"\\"\"\"</t>
  </si>
  <si>
    <t>\"\\"\"\\\"\"\\"\"\\\\"\"\\"\"\\\"\"\\"\"Emerge {5}{G}{U} （You may cast this spell by sacrificing a creature and paying the emerge cost reduced by that creature's converted mana cost.）
When you cast Lashweed Lurker, you may put target nonland permanent on top of its owner's library.\\\\"\"\\"\"\\\"\"\\"\"\\\"\"\\"\"\\"\"\"</t>
  </si>
  <si>
    <t>\"\\"\"\\\"\"\\"\"\\\\"\"\\"\"\\\"\"\\"\"Emerge {7}{G} （You may cast this spell by sacrificing a creature and paying the emerge cost reduced by that creature's converted mana cost.）
When you cast Mockery of Nature, you may destroy target artifact or enchantment.\\\\"\"\\"\"\\\"\"\\"\"\\\"\"\\"\"\\"\"\"</t>
  </si>
  <si>
    <t>\"\\"\"\\\"\"\\"\"\\\\"\"\\"\"\\\"\"\\"\"Emerge {6}{U} （You may cast this spell by sacrificing a creature and paying the emerge cost reduced by that creature's converted mana cost.）
When you cast Vexing Scuttler, you may return target instant or sorcery card from your graveyard to your hand.\\\\"\"\\"\"\\\"\"\\"\"\\\"\"\\"\"\\"\"\"</t>
  </si>
  <si>
    <t>\"\\"\"\\\"\"\\"\"\\\\"\"\\"\"\\\"\"\\"\"Emerge {5}{U} （You may cast this spell by sacrificing a creature and paying the emerge cost reduced by that creature's converted mana cost.）
When you cast Wretched Gryff, draw a card.
Flying\\\\"\"\\"\"\\\"\"\\"\"\\\"\"\\"\"\\"\"\"</t>
  </si>
  <si>
    <t>1W</t>
  </si>
  <si>
    <t>white</t>
  </si>
  <si>
    <t>\"Escalate {2} （Pay this cost for each mode chosen beyond the first.）
Choose one or more ---
? Target player gains 4 life.
? Untap up to two target creatures.
? Target opponent sacrifices an attacking creature.\"</t>
  </si>
  <si>
    <t>2W</t>
  </si>
  <si>
    <t>\"\\"\"\\\"\"\\"\"\\\\"\"\\"\"\\\"\"\\"\"Escalate {1}{W} （Pay this cost for each mode chosen beyond the first.）
Choose one or both ---
? Creatures you control get +2/+0 until end of turn.
? Creatures you control get +0/+2 until end of turn.\\\\"\"\\"\"\\\"\"\\"\"\\\"\"\\"\"\\"\"\"</t>
  </si>
  <si>
    <t>5WW</t>
  </si>
  <si>
    <t>\"\\"\"\\\"\"\\"\"\\\\"\"\\"\"\\\"\"\\"\"When you cast Bruna, the Fading Light, you may return target Angel or Human creature card from your graveyard to the battlefield.
Flying, vigilance
（Melds with Gisela, the Broken Blade.）\\\\"\"\\"\"\\\"\"\\"\"\\\"\"\\"\"\\"\"\"</t>
  </si>
  <si>
    <t>\"\\"\"\\\"\"\\"\"\\\\"\"\\"\"\\\"\"\\"\"Enchant creature
Enchanted creature can't attack or block.
{3}{W}{W}, Sacrifice Choking Restraints: Exile enchanted creature.\\\\"\"\\"\"\\\"\"\\"\"\\\"\"\\"\"\\"\"\"</t>
  </si>
  <si>
    <t>1WW</t>
  </si>
  <si>
    <t>\"\\"\"\\\"\"\\"\"\\\\"\"\\"\"\\\"\"\\"\"Escalate --- Tap an untapped creature you control. （Pay this cost for each mode chosen beyond the first.）
Choose one or more ---
? Destroy target creature with power 4 or greater.
? Destroy target enchantment.
? Put a +1/+1 counter on each creature target player controls.\\\\"\"\\"\"\\\"\"\\"\"\\\"\"\\"\"\\"\"\"</t>
  </si>
  <si>
    <t>3W</t>
  </si>
  <si>
    <t>When Courageous Outrider enters the battlefield, look at the top four cards of your library. You may reveal a Human card from among them and put it into your hand. Put the rest on the bottom of your library in any order.</t>
  </si>
  <si>
    <t>Flying</t>
  </si>
  <si>
    <t>4WW</t>
  </si>
  <si>
    <t>Look at the top seven cards of your library. Put up to two planeswalker cards from among them onto the battlefield. Put the rest on the bottom of your library in a random order.</t>
  </si>
  <si>
    <t>\"\\"\"\\\"\"\\"\"\\\\"\"\\"\"\\\"\"\\"\"When Desperate Sentry dies, put a 3/2 colorless Eldrazi Horror creature token onto the battlefield.
Delirium --- Desperate Sentry gets +3/+0 as long as there are four or more card types among cards in your graveyard.\\\\"\"\\"\"\\\"\"\\"\"\\\"\"\\"\"\\"\"\"</t>
  </si>
  <si>
    <t>\"\\"\"\\\"\"\\"\"\\\\"\"\\"\"\\\"\"\\"\"Flash （You may cast this spell any time you could cast an instant.）
When Drogskol Shieldmate enters the battlefield, other creatures you control get +0/+1 until end of turn.\\\\"\"\\"\"\\\"\"\\"\"\\\"\"\\"\"\\"\"\"</t>
  </si>
  <si>
    <t>\"\\"\"\\\"\"\\"\"\\\\"\"\\"\"\\\"\"\\"\"When Extricator of Sin enters the battlefield, you may sacrifice another permanent. If you do, put a 3/2 colorless Eldrazi Horror creature token onto the battlefield.
Delirium --- At the beginning of your upkeep, if there are four or more card types among cards in your graveyard, transform Extricator of Sin.\\\\"\"\\"\"\\\"\"\\"\"\\\"\"\\"\"\\"\"\"</t>
  </si>
  <si>
    <t>\"\\"\"\\\"\"\\"\"\\\\"\"\\"\"\\\"\"\\"\"Enchant creature you control
When Faith Unbroken enters the battlefield, exile target creature an opponent controls until Faith Unbroken leaves the battlefield.
Enchanted creature gets +2/+2.\\\\"\"\\"\"\\\"\"\\"\"\\\"\"\\"\"\\"\"\"</t>
  </si>
  <si>
    <t>4W</t>
  </si>
  <si>
    <t>Lifelink （Damage dealt by this creature also causes you to gain that much life.）</t>
  </si>
  <si>
    <t>Whenever Fiend Binder attacks, tap target creature defending player controls.</t>
  </si>
  <si>
    <t>\"\\"\"\\\"\"\\"\"\\\\"\"\\"\"\\\"\"\\"\"Defender, flying
Delirium --- Geist of the Lonely Vigil can attack as though it didn't have defender as long as there are four or more card types among cards in your graveyard.\\\\"\"\\"\"\\\"\"\\"\"\\\"\"\\"\"\\"\"\"</t>
  </si>
  <si>
    <t>2WW</t>
  </si>
  <si>
    <t>\"\\"\"\\\"\"\\"\"\\\\"\"\\"\"\\\"\"\\"\"Flying, first strike, lifelink
At the beginning of your end step, if you both own and control Gisela, the Broken Blade and a creature named Bruna, the Fading Light, exile them, then meld them into Brisela, Voice of Nightmares.\\\\"\"\\"\"\\\"\"\\"\"\\\"\"\\"\"\\"\"\"</t>
  </si>
  <si>
    <t>Target creature gets +2/+6 until end of turn and can block any number of creatures this turn.</t>
  </si>
  <si>
    <t>When Guardian of Pilgrims enters the battlefield, target creature gets +1/+1 until end of turn.</t>
  </si>
  <si>
    <t>When Ironclad Slayer enters the battlefield, you may return target Aura or Equipment card from your graveyard to your hand.</t>
  </si>
  <si>
    <t>Exile target artifact or enchantment.</t>
  </si>
  <si>
    <t>\"\\"\"\\\"\"\\"\"\\\\"\"\\"\"\\\"\"\\"\"First strike, lifelink
At the beginning of the end step, if you gained 3 or more life this turn, transform Lone Rider.\\\\"\"\\"\"\\\"\"\\"\"\\\"\"\\"\"\\"\"\"</t>
  </si>
  <si>
    <t>Exile target creature. At the beginning of the next end step, return that card to the battlefield under its owner's control with a +1/+1 counter on it.</t>
  </si>
  <si>
    <t>\"\\"\"\\\"\"\\"\"\\\\"\"\\"\"\\\"\"\\"\"Enchant creature
Enchanted creature gets +2/+2 and has \\\\\"\"\\"\"\\\"\"\\"\"\\\\"\"\\"\"\\\"\"\\"\"{1}, Sacrifice a permanent: This creature gains flying until end of turn.\\\\\"\"\\"\"\\\"\"\\"\"\\\\"\"\\"\"\\\"\"\\"\"\\\\"\"\\"\"\\\"\"\\"\"\\\"\"\\"\"\\"\"\"</t>
  </si>
  <si>
    <t>{W}, Discard a card: You gain 3 life.</t>
  </si>
  <si>
    <t>\"\\"\"\\\"\"\\"\"\\\\"\"\\"\"\\\"\"\\"\"You may reveal this card from your opening hand. If you do, at the beginning of the first upkeep, your life total becomes 26.
Your life total becomes 26.\\\\"\"\\"\"\\\"\"\\"\"\\\"\"\\"\"\\"\"\"</t>
  </si>
  <si>
    <t>Prevent all damage that would be dealt this turn by non-Human sources.</t>
  </si>
  <si>
    <t>\"\\"\"\\\"\"\\"\"\\\\"\"\\"\"\\\"\"\\"\"Whenever another creature enters the battlefield under your control, Sanctifier of Souls gets +1/+1 until end of turn.
{2}{W}, Exile a creature card from your graveyard: Put a 1/1 white Spirit creature token with flying onto the battlefield.\\\\"\"\\"\"\\\"\"\\"\"\\\"\"\\"\"\\"\"\"</t>
  </si>
  <si>
    <t>\"\\"\"\\\"\"\\"\"\\\\"\"\\"\"\\\"\"\\"\"Flying
Sacrifice Selfless Spirit: Creatures you control gain indestructible until end of turn.\\\\"\"\\"\"\\\"\"\\"\"\\\"\"\\"\"\\"\"\"</t>
  </si>
  <si>
    <t>W</t>
  </si>
  <si>
    <t>\"\\"\"\\\"\"\\"\"\\\\"\"\\"\"\\\"\"\\"\"You may cast Aura and Equipment spells as though they had flash.
Whenever an Equipment enters the battlefield under your control, you may attach it to target creature you control.\\\\"\"\\"\"\\\"\"\\"\"\\\"\"\\"\"\\"\"\"</t>
  </si>
  <si>
    <t>{1}, {T}: Tap target non-Human creature.</t>
  </si>
  <si>
    <t>Put two 1/1 white Spirit creature tokens with flying onto the battlefield. You gain 2 life.</t>
  </si>
  <si>
    <t>Whenever Steadfast Cathar attacks, it gets +0/+2 until end of turn.</t>
  </si>
  <si>
    <t>\"\\"\"\\\"\"\\"\"\\\\"\"\\"\"\\\"\"\\"\"Flying
When Subjugator Angel enters the battlefield, tap all creatures your opponents control.\\\\"\"\\"\"\\\"\"\\"\"\\\"\"\\"\"\\"\"\"</t>
  </si>
  <si>
    <t>\"\\"\"\\\"\"\\"\"\\\\"\"\\"\"\\\"\"\\"\"First strike
Creatures and nonbasic lands your opponents control enter the battlefield tapped.\\\\"\"\\"\"\\\"\"\\"\"\\\"\"\\"\"\\"\"\"</t>
  </si>
  <si>
    <t>3WW</t>
  </si>
  <si>
    <t>\"\\"\"\\\"\"\\"\"\\\\"\"\\"\"\\\"\"\\"\"First strike
When Thalia's Lancers enters the battlefield, you may search your library for a legendary card, reveal it, put it into your hand, then shuffle your library.\\\\"\"\\"\"\\\"\"\\"\"\\\"\"\\"\"\\"\"\"</t>
  </si>
  <si>
    <t>{1}{W}, {T}, Discard a card: Put a 1/1 white Human Soldier creature token onto the battlefield.</t>
  </si>
  <si>
    <t>3UU</t>
  </si>
  <si>
    <t>blue</t>
  </si>
  <si>
    <t>\"\\"\"\\\"\"\\"\"\\\\"\"\\"\"\\\"\"\\"\"Flying
{2}{U}, Discard two cards: Return Advanced Stitchwing from your graveyard to the battlefield tapped.\\\\"\"\\"\"\\\"\"\\"\"\\\"\"\\"\"\\"\"\"</t>
  </si>
  <si>
    <t>2U</t>
  </si>
  <si>
    <t>\"\\"\"\\\"\"\\"\"\\\\"\"\\"\"\\\"\"\\"\"Tap up to two target creatures. Those creatures don't untap during their controller's next untap step.
Madness {3}{U} （If you discard this card, discard it into exile. When you do, cast it for its madness cost or put it into your graveyard.）\\\\"\"\\"\"\\\"\"\\"\"\\\"\"\\"\"\\"\"\"</t>
  </si>
  <si>
    <t>You may choose an Eldrazi card you own from outside the game or in exile, reveal that card, and put it into your hand.</t>
  </si>
  <si>
    <t>1U</t>
  </si>
  <si>
    <t>Look at the top five cards of your library. Put any number of them into your graveyard and the rest back on top of your library in any order.</t>
  </si>
  <si>
    <t>Counter target spell unless its controller pays {4}.</t>
  </si>
  <si>
    <t>\"\\"\"\\\"\"\\"\"\\\\"\"\\"\"\\\"\"\\"\"{T}: Add {C} to your mana pool. Spend this mana only to cast an instant or sorcery spell.
At the beginning of your upkeep, if there are three or more instant and/or sorcery cards in your graveyard, transform Curious Homunculus.\\\\"\"\\"\"\\\"\"\\"\"\\\"\"\\"\"\\"\"\"</t>
  </si>
  <si>
    <t>Exile up to two target creatures you control, then return those cards to the battlefield under their owner's control.</t>
  </si>
  <si>
    <t>\"\\"\"\\\"\"\\"\"\\\\"\"\\"\"\\\"\"\\"\"Flying
Whenever you cast an instant or sorcery spell, put a 1/1 blue Human Wizard creature token onto the battlefield. Then if you control three or more Wizards, transform Docent of Perfection.\\\\"\"\\"\"\\\"\"\\"\"\\\"\"\\"\"\\"\"\"</t>
  </si>
  <si>
    <t>\"\\"\"\\\"\"\\"\"\\\\"\"\\"\"\\\"\"\\"\"Return target creature to its owner's hand.
Draw a card.\\\\"\"\\"\"\\\"\"\\"\"\\\"\"\\"\"\\"\"\"</t>
  </si>
  <si>
    <t>3U</t>
  </si>
  <si>
    <t>When Enlightened Maniac enters the battlefield, put a 3/2 colorless Eldrazi Horror creature token onto the battlefield.</t>
  </si>
  <si>
    <t>When Exultant Cultist dies, draw a card.</t>
  </si>
  <si>
    <t>\"\\"\"\\\"\"\\"\"\\\\"\"\\"\"\\\"\"\\"\"Skulk （This creature can't be blocked by creatures with greater power.）
When Fogwalker enters the battlefield, target creature an opponent controls doesn't untap during its controller's next untap step.\\\\"\"\\"\"\\\"\"\\"\"\\\"\"\\"\"\\"\"\"</t>
  </si>
  <si>
    <t>Target opponent looks at the top four cards of your library and separates them into a face-down pile and a face-up pile. Put one pile into your hand and the other into your graveyard.</t>
  </si>
  <si>
    <t>\"\\"\"\\\"\"\\"\"\\\\"\"\\"\"\\\"\"\\"\"Defender
At the beginning of your upkeep, scry 1. （Look at the top card of your library. You may put that card on the bottom of your library.）\\\\"\"\\"\"\\\"\"\\"\"\\\"\"\\"\"\\"\"\"</t>
  </si>
  <si>
    <t>{T}: Put the top two cards of your library into your graveyard. Then if there is a colorless creature card in your graveyard, transform Grizzled Angler.</t>
  </si>
  <si>
    <t>2UU</t>
  </si>
  <si>
    <t>Whenever Identity Thief attacks, you may exile another target nontoken creature. If you do, Identity Thief becomes a copy of that creature until end of turn. Return the exiled card to the battlefield under its owner's control at the beginning of the next end step.</t>
  </si>
  <si>
    <t>\"\\"\"\\\"\"\\"\"\\\\"\"\\"\"\\\"\"\\"\"Enchant creature, land, or planeswalker
Enchanted permanent is a colorless land with \\\\\"\"\\"\"\\\"\"\\"\"\\\\"\"\\"\"\\\"\"\\"\"{T}: Add {C} to your mana pool\\\\\"\"\\"\"\\\"\"\\"\"\\\\"\"\\"\"\\\"\"\\"\" and loses all other card types and abilities.\\\\"\"\\"\"\\\"\"\\"\"\\\"\"\\"\"\\"\"\"</t>
  </si>
  <si>
    <t>\"\\"\"\\\"\"\\"\"\\\\"\"\\"\"\\\"\"\\"\"Prowess （Whenever you cast a noncreature spell, this creature gets +1/+1 until end of turn.）
{U}: Ingenious Skaab gets +1/-1 until end of turn.\\\\"\"\\"\"\\\"\"\\"\"\\\"\"\\"\"\\"\"\"</t>
  </si>
  <si>
    <t>When Laboratory Brute enters the battlefield, put the top four cards of your library into your graveyard.</t>
  </si>
  <si>
    <t>When an opponent casts a spell, sacrifice Lunar Force and counter that spell.</t>
  </si>
  <si>
    <t>U</t>
  </si>
  <si>
    <t>\"\\"\"\\\"\"\\"\"\\\\"\"\\"\"\\\"\"\\"\"Flying
Whenever another Spirit enters the battlefield under your control, Mausoleum Wanderer gets +1/+1 until end of turn.
Sacrifice Mausoleum Wanderer: Counter target instant or sorcery spell unless its controller pays {X}, where X is Mausoleum Wanderer's power.\\\\"\"\\"\"\\\"\"\\"\"\\\"\"\\"\"\\"\"\"</t>
  </si>
  <si>
    <t>5UU</t>
  </si>
  <si>
    <t>Whenever an opponent casts his or her first spell each turn, that player exiles the top card of his or her library. If it's a nonland card, you may cast it without paying its mana cost.</t>
  </si>
  <si>
    <t>\"\\"\"\\\"\"\\"\"\\\\"\"\\"\"\\\"\"\\"\"Flash （You may cast this spell any time you could cast an instant.）
Flying
Whenever Nebelgast Herald or another Spirit enters the battlefield under your control, tap target creature an opponent controls.\\\\"\"\\"\"\\\"\"\\"\"\\\"\"\\"\"\\"\"\"</t>
  </si>
  <si>
    <t>\"\\"\"\\\"\"\\"\"\\\\"\"\\"\"\\\"\"\\"\"Flying
Prowess （Whenever you cast a noncreature spell, this creature gets +1/+1 until end of turn.）
Whenever you cast an instant or sorcery spell, tap target creature an opponent controls. That creature doesn't untap during its controller's next untap step.\\\\"\"\\"\"\\\"\"\\"\"\\\"\"\\"\"\\"\"\"</t>
  </si>
  <si>
    <t>4UU</t>
  </si>
  <si>
    <t>\"\\"\"\\\"\"\\"\"\\\\"\"\\"\"\\\"\"\\"\"Delirium --- Scour the Laboratory costs {2} less to cast if there are four or more card types among cards in your graveyard.
Draw three cards.\\\\"\"\\"\"\\\"\"\\"\"\\\"\"\\"\"\\"\"\"</t>
  </si>
  <si>
    <t>\"\\"\"\\\"\"\\"\"\\\\"\"\\"\"\\\"\"\\"\"Flash （You may cast this spell any time you could cast an instant.）
Enchant creature
Enchanted creature gets -X/-0, where X is the number of cards in your graveyard.\\\\"\"\\"\"\\\"\"\\"\"\\\"\"\\"\"\\"\"\"</t>
  </si>
  <si>
    <t>Exile all other spells and counter all abilities.</t>
  </si>
  <si>
    <t>Draw a card, then draw cards equal to the number of cards named Take Inventory in your graveyard.</t>
  </si>
  <si>
    <t>\"\\"\"\\\"\"\\"\"\\\\"\"\\"\"\\\"\"\\"\"Flying
Tattered Haunter can block only creatures with flying.\\\\"\"\\"\"\\\"\"\\"\"\\\"\"\\"\"\\"\"\"</t>
  </si>
  <si>
    <t>Counter target spell that targets a permanent you control.</t>
  </si>
  <si>
    <t>Return target spell or creature to its owner's hand.</t>
  </si>
  <si>
    <t>\"\\"\"\\\"\"\\"\"\\\\"\"\\"\"\\\"\"\\"\"Skulk （This creature can't be blocked by creatures with greater power.）
Whenever Wharf Infiltrator deals combat damage to a player, you may draw a card. If you do, discard a card.
Whenever you discard a creature card, you may pay {2}. If you do, put a 3/2 colorless Eldrazi Horror creature token onto the battlefield.\\\\"\"\\"\"\\\"\"\\"\"\\\"\"\\"\"\\"\"\"</t>
  </si>
  <si>
    <t>2B</t>
  </si>
  <si>
    <t>black</t>
  </si>
  <si>
    <t>\"\\"\"\\\"\"\\"\"\\\\"\"\\"\"\\\"\"\\"\"Enchant creature
Enchanted creature gets +3/-3.\\\\"\"\\"\"\\\"\"\\"\"\\\"\"\\"\"\\"\"\"</t>
  </si>
  <si>
    <t>B</t>
  </si>
  <si>
    <t>\"\\"\"\\\"\"\\"\"\\\\"\"\\"\"\\\"\"\\"\"Escalate {2} （Pay this cost for each mode chosen beyond the first.）
Choose one or both ---
? Target creature gets +1/+1 until end of turn.
? Target creature gets -1/-1 until end of turn.\\\\"\"\\"\"\\\"\"\\"\"\\\"\"\\"\"\\"\"\"</t>
  </si>
  <si>
    <t>1B</t>
  </si>
  <si>
    <t>Return target creature card from your graveyard to your hand. If it's a Zombie card, draw a card.</t>
  </si>
  <si>
    <t>5B</t>
  </si>
  <si>
    <t>Destroy target creature. Its controller loses 2 life and you gain 2 life.</t>
  </si>
  <si>
    <t>\"\\"\"\\\"\"\\"\"\\\\"\"\\"\"\\\"\"\\"\"Escalate --- Discard a card. （Pay this cost for each mode chosen beyond the first.）
Choose one or more ---
? Target opponent reveals his or her hand. You choose an instant or sorcery card from it. That player discards that card.
? Target creature gets -2/-2 until end of turn.
? Target opponent loses 2 life and you gain 2 life.\\\\"\"\\"\"\\\"\"\\"\"\\\"\"\\"\"\\"\"\"</t>
  </si>
  <si>
    <t>\"\\"\"\\\"\"\\"\"\\\\"\"\\"\"\\\"\"\\"\"{1}{B}, {T}, Discard a card: Put a 2/2 black Zombie creature token onto the battlefield.
Tap three untapped Zombies you control: You draw a card and you lose 1 life.\\\\"\"\\"\"\\\"\"\\"\"\\\"\"\\"\"\\"\"\"</t>
  </si>
  <si>
    <t>ＸＸB</t>
  </si>
  <si>
    <t>multi</t>
  </si>
  <si>
    <t>Target player puts X 2/2 black Zombie creature tokens onto the battlefield, then up to one target creature gets -1/-1 until end of turn for each Zombie that player controls.</t>
  </si>
  <si>
    <t>5BB</t>
  </si>
  <si>
    <t>\"\\"\"\\\"\"\\"\"\\\\"\"\\"\"\\\"\"\\"\"Delirium --- Dusk Feaster costs {2} less to cast if there are four or more card types among cards in your graveyard.
Flying\\\\"\"\\"\"\\\"\"\\"\"\\\"\"\\"\"\\"\"\"</t>
  </si>
  <si>
    <t>3B</t>
  </si>
  <si>
    <t>Whenever another creature you control dies, put a +1/+1 counter on Gavony Unhallowed.</t>
  </si>
  <si>
    <t>\"\\"\"\\\"\"\\"\"\\\\"\"\\"\"\\\"\"\\"\"Zombies you control have menace. （They can't be blocked except by two or more creatures.）
{3}{B}, Exile a creature card from your graveyard: Put a 2/2 black Zombie creature token onto the battlefield.\\\\"\"\\"\"\\\"\"\\"\"\\\"\"\\"\"\\"\"\"</t>
  </si>
  <si>
    <t>At the beginning of combat on your turn, if you both own and control Graf Rats and a creature named Midnight Scavengers, exile them, then meld them into Chittering Host.</t>
  </si>
  <si>
    <t>\"\\"\"\\\"\"\\"\"\\\\"\"\\"\"\\\"\"\\"\"When Haunted Dead enters the battlefield, put a 1/1 white Spirit creature token with flying onto the battlefield.
{1}{B}, Discard two cards: Return Haunted Dead from your graveyard to the battlefield tapped.\\\\"\"\\"\"\\\"\"\\"\"\\\"\"\\"\"\\"\"\"</t>
  </si>
  <si>
    <t>1BB</t>
  </si>
  <si>
    <t>\"+1: Up to one target creature gets -2/-1 until your next turn.
-2: Put the top two cards of your library into your graveyard, then you may return a creature card from your graveyard to your hand.
-7: You get an emblem with \\"\"At the beginning of your end step, put X 2/2 black Zombie creature tokens onto the battlefield, where X is two plus the number of Zombies you control.\\"\"\"</t>
  </si>
  <si>
    <t>Liliana's Elite gets +1/+1 for each creature card in your graveyard.</t>
  </si>
  <si>
    <t>4B</t>
  </si>
  <si>
    <t>\"\\"\"\\\"\"\\"\"\\\\"\"\\"\"\\\"\"\\"\"Lifelink
Markov Crusader has haste as long as you control another Vampire.\\\\"\"\\"\"\\\"\"\\"\"\\\"\"\\"\"\\"\"\"</t>
  </si>
  <si>
    <t>\"\\"\"\\\"\"\\"\"\\\\"\"\\"\"\\\"\"\\"\"When Midnight Scavengers enters the battlefield, you may return target creature card with converted mana cost 3 or less from your graveyard to your hand.
（Melds with Graf Rats.）\\\\"\"\\"\"\\\"\"\\"\"\\\"\"\\"\"\\"\"\"</t>
  </si>
  <si>
    <t>Destroy target creature.</t>
  </si>
  <si>
    <t>4BB</t>
  </si>
  <si>
    <t>\"\\"\"\\\"\"\\"\"\\\\"\"\\"\"\\\"\"\\"\"Noosegraf Mob enters the battlefield with five +1/+1 counters on it.
Whenever a player casts a spell, remove a +1/+1 counter from Noosegraf Mob. If you do, put a 2/2 black Zombie creature token onto the battlefield.\\\\"\"\\"\"\\\"\"\\"\"\\\"\"\\"\"\\"\"\"</t>
  </si>
  <si>
    <t>\"\\"\"\\\"\"\\"\"\\\\"\"\\"\"\\\"\"\\"\"When Oath of Liliana enters the battlefield, each opponent sacrifices a creature.
At the beginning of each end step, if a planeswalker entered the battlefield under your control this turn, put a 2/2 black Zombie creature token onto the battlefield.\\\\"\"\\"\"\\\"\"\\"\"\\\"\"\\"\"\\"\"\"</t>
  </si>
  <si>
    <t>Discard a card: Olivia's Dragoon gains flying until end of turn.</t>
  </si>
  <si>
    <t>Target opponent loses 3 life and puts a card from his or her hand on top of his or her library.</t>
  </si>
  <si>
    <t>Put target creature card from a graveyard onto the battlefield under your control. That creature is a black Zombie in addition to its other colors and types.</t>
  </si>
  <si>
    <t>\"\\"\"\\\"\"\\"\"\\\\"\"\\"\"\\\"\"\\"\"As an additional cost to cast Ruthless Disposal, discard a card and sacrifice a creature.
Two target creatures each get -13/-13 until end of turn.\\\\"\"\\"\"\\\"\"\\"\"\\\"\"\\"\"\\"\"\"</t>
  </si>
  <si>
    <t>{B}, {T}, Discard a card: Each player loses 2 life.</t>
  </si>
  <si>
    <t>\"\\"\"\\\"\"\\"\"\\\\"\"\\"\"\\\"\"\\"\"Enchant creature
Enchanted creature gets +1/+1.
Delirium --- Enchanted creature gets an additional +2/+2 as long as there are four or more card types among cards in your graveyard.\\\\"\"\\"\"\\\"\"\\"\"\\\"\"\\"\"\\"\"\"</t>
  </si>
  <si>
    <t>BB</t>
  </si>
  <si>
    <t>Discard a card: Vampires you control get +1/+1 until end of turn. Activate this ability only once each turn.</t>
  </si>
  <si>
    <t>You draw two cards and you lose 2 life.</t>
  </si>
  <si>
    <t>Delirium --- Thraben Foulbloods gets +1/+1 and has menace as long as there are four or more card types among cards in your graveyard. （A creature with menace can't be blocked except by two or more creatures.）</t>
  </si>
  <si>
    <t>\"\\"\"\\\"\"\\"\"\\\\"\"\\"\"\\\"\"\\"\"Defender
{T}: Exchange target opponent's life total with Tree of Perdition's toughness.\\\\"\"\\"\"\\\"\"\\"\"\\\"\"\\"\"\\"\"\"</t>
  </si>
  <si>
    <t>\"\\"\"\\\"\"\\"\"\\\\"\"\\"\"\\\"\"\\"\"Skulk （This creature can't be blocked by creatures with greater power.）
Lifelink （Damage dealt by this creature also causes you to gain that much life.）\\\\"\"\\"\"\\\"\"\\"\"\\\"\"\\"\"\\"\"\"</t>
  </si>
  <si>
    <t>3BB</t>
  </si>
  <si>
    <t>\"\\"\"\\\"\"\\"\"\\\\"\"\\"\"\\\"\"\\"\"Flying
Sacrifice three other creatures: Transform Voldaren Pariah.
Madness {B}{B}{B} （If you discard this card, discard it into exile. When you do, cast it for its madness cost or put it into your graveyard.）\\\\"\"\\"\"\\\"\"\\"\"\\\"\"\\"\"\\"\"\"</t>
  </si>
  <si>
    <t>When Wailing Ghoul enters the battlefield, put the top two cards of your library into your graveyard.</t>
  </si>
  <si>
    <t>Madness {2}{B} （If you discard this card, discard it into exile. When you do, cast it for its madness cost or put it into your graveyard.）</t>
  </si>
  <si>
    <t>\"\\"\"\\\"\"\\"\"\\\\"\"\\"\"\\\"\"\\"\"Target opponent discards a card at random.
Delirium --- If there are four or more card types among cards in your graveyard, that player discards two cards at random instead.\\\\"\"\\"\"\\\"\"\\"\"\\\"\"\\"\"\\"\"\"</t>
  </si>
  <si>
    <t>2R</t>
  </si>
  <si>
    <t>red</t>
  </si>
  <si>
    <t>\"\\"\"\\\"\"\\"\"\\\\"\"\\"\"\\\"\"\\"\"Up to two target creatures each get +1/+0 and gain first strike until end of turn.
Madness {1}{R} （If you discard this card, discard it into exile. When you do, cast it for its madness cost or put it into your graveyard.）\\\\"\"\\"\"\\\"\"\\"\"\\\"\"\\"\"\\"\"\"</t>
  </si>
  <si>
    <t>4R</t>
  </si>
  <si>
    <t>\"\\"\"\\\"\"\\"\"\\\\"\"\\"\"\\\"\"\\"\"Alchemist's Greeting deals 4 damage to target creature.
Madness {1}{R} （If you discard this card, discard it into exile. When you do, cast it for its madness cost or put it into your graveyard.）\\\\"\"\\"\"\\\"\"\\"\"\\\"\"\\"\"\\"\"\"</t>
  </si>
  <si>
    <t>5R</t>
  </si>
  <si>
    <t>Whenever Assembled Alphas blocks or becomes blocked by a creature, Assembled Alphas deals 3 damage to that creature and 3 damage to that creature's controller.</t>
  </si>
  <si>
    <t>6RR</t>
  </si>
  <si>
    <t>\"\\"\"\\\"\"\\"\"\\\\"\"\\"\"\\\"\"\\"\"Bedlam Reveler costs {1} less to cast for each instant and sorcery card in your graveyard.
Prowess （Whenever you cast a noncreature spell, this creature gets +1/+1 until end of turn.）
When Bedlam Reveler enters the battlefield, discard your hand, then draw three cards.\\\\"\"\\"\"\\\"\"\\"\"\\\"\"\\"\"\\"\"\"</t>
  </si>
  <si>
    <t>3R</t>
  </si>
  <si>
    <t>At the beginning of combat on your turn, target creature you control gains double strike until end of turn.</t>
  </si>
  <si>
    <t>R</t>
  </si>
  <si>
    <t>{2}{R}: Bold Impaler gets +2/+0 until end of turn.</t>
  </si>
  <si>
    <t>\"\\"\"\\\"\"\\"\"\\\\"\"\\"\"\\\"\"\\"\"Escalate {3} （Pay this cost for each mode chosen beyond the first.）
Choose one or both ---
? Target creature gets +3/+0 until end of turn.
? Target creature gains first strike until end of turn.\\\\"\"\\"\"\\\"\"\\"\"\\\"\"\\"\"\\"\"\"</t>
  </si>
  <si>
    <t>Whenever Brazen Wolves attacks, it gets +2/+0 until end of turn.</t>
  </si>
  <si>
    <t>1RR</t>
  </si>
  <si>
    <t>\"\\"\"\\\"\"\\"\"\\\\"\"\\"\"\\\"\"\\"\"Escalate {1} （Pay this cost for each mode chosen beyond the first.）
Choose one or more ---
? Target player discards all the cards in his or her hand, then draws that many cards.
? Collective Defiance deals 4 damage to target creature.
? Collective Defiance deals 3 damage to target opponent.\\\\"\"\\"\"\\\"\"\\"\"\\\"\"\\"\"\\"\"\"</t>
  </si>
  <si>
    <t>\"\\"\"\\\"\"\\"\"\\\\"\"\\"\"\\\"\"\\"\"Whenever Conduit of Storms attacks, add {R} to your mana pool at the beginning of your next main phase this turn.
{3}{R}{R}: Transform Conduit of Storms.\\\\"\"\\"\"\\\"\"\\"\"\\\"\"\\"\"\\"\"\"</t>
  </si>
  <si>
    <t>1R</t>
  </si>
  <si>
    <t>Menace （This creature can't be blocked except by two or more creatures.）</t>
  </si>
  <si>
    <t>\"\\"\"\\\"\"\\"\"\\\\"\"\\"\"\\\"\"\\"\"Target creature gets +2/+2 and gains trample until end of turn.
Madness {R} （If you discard this card, discard it into exile. When you do, cast it for its madness cost or put it into your graveyard.）\\\\"\"\\"\"\\\"\"\\"\"\\\"\"\\"\"\\"\"\"</t>
  </si>
  <si>
    <t>\"\\"\"\\\"\"\\"\"Trample
At the beginning of combat on your turn, you may discard a card. If you do, Furyblade Vampire gets +3/+0 until end of turn.\\\"\"\\"\"\\"\"\"</t>
  </si>
  <si>
    <t>Galvanic Bombardment deals X damage to target creature, where X is 2 plus the number of cards named Galvanic Bombardment in your graveyard.</t>
  </si>
  <si>
    <t>\"\\"\"\\\"\"\\"\"Whenever Hanweir Garrison attacks, put two 1/1 red Human creature tokens onto the battlefield tapped and attacking.
（Melds with Hanweir Battlements.）\\\"\"\\"\"\\"\"\"</t>
  </si>
  <si>
    <t>Target opponent gains control of target permanent you control.</t>
  </si>
  <si>
    <t>2RR</t>
  </si>
  <si>
    <t>\"\\"\"\\\"\"\\"\"Trample, haste
When Impetuous Devils attacks, up to one target creature defending player controls blocks it this combat if able.
At the beginning of the end step, sacrifice Impetuous Devils.\\\"\"\\"\"\\"\"\"</t>
  </si>
  <si>
    <t>Incendiary Flow deals 3 damage to target creature or player. If a creature dealt damage this way would die this turn, exile it instead.</t>
  </si>
  <si>
    <t>\"\\"\"\\\"\"\\"\"Insatiable Gorgers attacks each combat if able.
Madness {3}{R} （If you discard this card, discard it into exile. When you do, cast it for its madness cost or put it into your graveyard.）\\\"\"\\"\"\\"\"\"</t>
  </si>
  <si>
    <t>Make Mischief deals 1 damage to target creature or player. Put a 1/1 red Devil creature token onto the battlefield. It has \"When this creature dies, it deals 1 damage to target creature or player.\"</t>
  </si>
  <si>
    <t>3RR</t>
  </si>
  <si>
    <t>\"\\"\"\\\"\"\\"\"Flying
Whenever a player casts an instant or sorcery spell that targets only Mirrorwing Dragon, that player copies that spell for each other creature he or she controls that the spell could target. Each copy targets a different one of those creatures.\\\"\"\\"\"\\"\"\"</t>
  </si>
  <si>
    <t>\"\\"\"\\\"\"\\"\"As an additional cost to cast Nahiri's Wrath, discard X cards.
Nahiri's Wrath deals damage equal to the total converted mana cost of the discarded cards to each of up to X target creatures and/or planeswalkers.\\\"\"\\"\"\\"\"\"</t>
  </si>
  <si>
    <t>Target creature gets +1/+0 until end of turn. When that creature dies this turn, put a 3/2 colorless Eldrazi Horror creature token onto the battlefield.</t>
  </si>
  <si>
    <t>\"\\"\"\\\"\"\\"\"Enchant creature
Enchanted creature has haste and \\\\"\"\\"\"\\\"\"\\"\"{T}, Discard a card: Draw a card.\\\\"\"\\"\"\\\"\"\\"\"\\\"\"\\"\"\\"\"\"</t>
  </si>
  <si>
    <t>\"\\"\"\\\"\"\\"\"Escalate {1} （Pay this cost for each mode chosen beyond the first.）
Choose one or more ---
? Creatures target player controls gain trample until end of turn.
? Savage Alliance deals 2 damage to target creature.
? Savage Alliance deals 1 damage to each creature target opponent controls.\\\"\"\\"\"\\"\"\"</t>
  </si>
  <si>
    <t>Return up to one target instant card and up to one target sorcery card from your graveyard to your hand, then discard a card. Exile Shreds of Sanity.</t>
  </si>
  <si>
    <t>\"\\"\"\\\"\"\\"\"When Smoldering Werewolf enters the battlefield, it deals 1 damage to each of up to two target creatures.
{4}{R}{R}: Transform Smoldering Werewolf.\\\"\"\\"\"\\"\"\"</t>
  </si>
  <si>
    <t>6R</t>
  </si>
  <si>
    <t>Spreading Flames deals 6 damage divided as you choose among any number of target creatures.</t>
  </si>
  <si>
    <t>\"\\"\"\\\"\"\\"\"Stensia Banquet deals damage to target opponent equal to the number of Vampires you control.
Draw a card.\\\"\"\\"\"\\"\"\"</t>
  </si>
  <si>
    <t>When Stensia Innkeeper enters the battlefield, tap target land an opponent controls. That land doesn't untap during its controller's next untap step.</t>
  </si>
  <si>
    <t>\"\\"\"\\\"\"\\"\"Trample
Whenever Stromkirk Occultist deals combat damage to a player, exile the top card of your library. Until end of turn, you may play that card.
Madness {1}{R} （If you discard this card, discard it into exile. When you do, cast it for its madness cost or put it into your graveyard.）\\\"\"\\"\"\\"\"\"</t>
  </si>
  <si>
    <t>\"\\"\"\\\"\"\\"\"Defender
{T}: Thermo-Alchemist deals 1 damage to each opponent.
Whenever you cast an instant or sorcery spell, untap Thermo-Alchemist.\\\"\"\\"\"\\"\"\"</t>
  </si>
  <si>
    <t>\"\\"\"\\\"\"\\"\"Trample
{R}: Vildin-Pack Outcast gets +1/-1 until end of turn.
{5}{R}{R}: Transform Vildin-Pack Outcast.\\\"\"\\"\"\\"\"\"</t>
  </si>
  <si>
    <t>\"\\"\"\\\"\"\\"\"Reach
Whenever you cast an instant or sorcery spell, Weaver of Lightning deals 1 damage to target creature an opponent controls.\\\"\"\\"\"\\"\"\"</t>
  </si>
  <si>
    <t>3G</t>
  </si>
  <si>
    <t>green</t>
  </si>
  <si>
    <t>Delirium --- Backwoods Survivalists gets +1/+1 and has trample as long as there are four or more card types among cards in your graveyard.</t>
  </si>
  <si>
    <t>2G</t>
  </si>
  <si>
    <t>Whenever you sacrifice another permanent, put a +1/+1 counter on Bloodbriar.</t>
  </si>
  <si>
    <t>Target creature you control gets +1/+1 until end of turn. It deals damage equal to its power to target creature you don't control.</t>
  </si>
  <si>
    <t>G</t>
  </si>
  <si>
    <t>\"\\"\"\\\"\"\\"\"At the beginning of your upkeep, you may put the top card of your library into your graveyard.
Delirium --- {2}{G}, Sacrifice Crop Sigil: Return up to one target creature card and up to one target land card from your graveyard to your hand. Activate this ability only if there are four or more card types among cards in your graveyard.\\\"\"\\"\"\\"\"\"</t>
  </si>
  <si>
    <t>{G}, {T}: Target attacking Human gets +1/+1 until end of turn.</t>
  </si>
  <si>
    <t>1GG</t>
  </si>
  <si>
    <t>\"\\"\"\\\"\"\\"\"As an additional cost to cast Eldritch Evolution, sacrifice a creature.
Search your library for a creature card with converted mana cost X or less, where X is 2 plus the sacrificed creature's converted mana cost. Put that card onto the battlefield, then shuffle your library. Exile Eldritch Evolution.\\\"\"\\"\"\\"\"\"</t>
  </si>
  <si>
    <t>{T}, Sacrifice Emrakul's Evangel and any number of other non-Eldrazi creatures: Put a 3/2 colorless Eldrazi Horror creature token onto the battlefield for each creature sacrificed this way.</t>
  </si>
  <si>
    <t>2GG</t>
  </si>
  <si>
    <t>Whenever you cast an Eldrazi creature spell with converted mana cost 7 or greater, draw two cards.</t>
  </si>
  <si>
    <t>\"\\"\"\\\"\"\\"\"When Foul Emissary enters the battlefield, look at the top four cards of your library. You may reveal a creature card from among them and put it into your hand. Put the rest on the bottom of your library in any order.
When you sacrifice Foul Emissary while casting a spell with emerge, put a 3/2 colorless Eldrazi Horror creature token onto the battlefield.\\\"\"\\"\"\\"\"\"</t>
  </si>
  <si>
    <t>\"\\"\"\\\"\"\\"\"Deathtouch
Delirium --- Gnarlwood Dryad gets +2/+2 as long as there are four or more card types among cards in your graveyard.\\\"\"\\"\"\\"\"\"</t>
  </si>
  <si>
    <t>1G</t>
  </si>
  <si>
    <t>Put the top three cards of your library into your graveyard, then you may return a creature or land card from your graveyard to your hand.</t>
  </si>
  <si>
    <t>Whenever Hamlet Captain attacks or blocks, other Humans you control get +1/+1 until end of turn.</t>
  </si>
  <si>
    <t>4G</t>
  </si>
  <si>
    <t>\"\\"\"\\\"\"\\"\"Reach
Delirium --- When Ishkanah, Grafwidow enters the battlefield, if there are four or more card types among cards in your graveyard, put three 1/2 green Spider creature tokens with reach onto the battlefield.
{6}{B}: Target opponent loses 1 life for each Spider you control.\\\"\"\\"\"\\"\"\"</t>
  </si>
  <si>
    <t>{4}{G}: Transform Kessig Prowler.</t>
  </si>
  <si>
    <t>\"\\"\"\\\"\"\\"\"Reach
Discard a card: Noose Constrictor gets +1/+1 until end of turn.\\\"\"\\"\"\\"\"\"</t>
  </si>
  <si>
    <t>Whenever Permeating Mass deals combat damage to a creature, that creature becomes a copy of Permeating Mass.</t>
  </si>
  <si>
    <t>Target creature you control fights target creature you don't control.</t>
  </si>
  <si>
    <t>When Primal Druid dies, you may search your library for a basic land card, put it onto the battlefield tapped, then shuffle your library.</t>
  </si>
  <si>
    <t>\"\\"\"\\\"\"\\"\"Creatures with power less than Shrill Howler's power can't block it.
{5}{G}: Transform Shrill Howler.\\\"\"\\"\"\\"\"\"</t>
  </si>
  <si>
    <t>3GG</t>
  </si>
  <si>
    <t>When Somberwald Stag enters the battlefield, you may have it fight target creature you don't control.</t>
  </si>
  <si>
    <t>\"\\"\"\\\"\"\\"\"Flash
When Spirit of the Hunt enters the battlefield, each other creature you control that's a Wolf or a Werewolf gets +0/+3 until end of turn.\\\"\"\\"\"\\"\"\"</t>
  </si>
  <si>
    <t>Return all land cards from your graveyard to the battlefield tapped.</t>
  </si>
  <si>
    <t>Destroy target artifact or enchantment. You gain 4 life.</t>
  </si>
  <si>
    <t>\"\\"\"\\\"\"\\"\"Flash （You may cast this spell any time you could cast an instant.）
Reach （This creature can block creatures with flying.）\\\"\"\\"\"\\"\"\"</t>
  </si>
  <si>
    <t>\"\\"\"\\\"\"\\"\"Tangleclaw Werewolf can block an additional creature each combat.
{6}{G}: Transform Tangleclaw Werewolf.\\\"\"\\"\"\\"\"\"</t>
  </si>
  <si>
    <t>\"\\"\"\\\"\"\\"\"Defender
{T}: Add {G} to your mana pool.
{5}{G}{G}: Transform Ulvenwald Captive.\\\"\"\\"\"\\"\"\"</t>
  </si>
  <si>
    <t>4GG</t>
  </si>
  <si>
    <t>Whenever a creature you control with toughness 4 or greater dies, draw a card.</t>
  </si>
  <si>
    <t>Transform up to one target Werewolf you control. Creatures you control gain trample until end of turn.</t>
  </si>
  <si>
    <t>\"\\"\"\\\"\"\\"\"Enchant creature
When Wolfkin Bond enters the battlefield, put a 2/2 green Wolf creature token onto the battlefield.
Enchanted creature gets +2/+2.\\\"\"\\"\"\\"\"\"</t>
  </si>
  <si>
    <t>Target creature you control gets +3/+3 and gains hexproof until end of turn. （It can't be the target of spells or abilities your opponents control.）</t>
  </si>
  <si>
    <t>Vigilance</t>
  </si>
  <si>
    <t>2BR</t>
  </si>
  <si>
    <t>\"\\"\"\\\"\"\\"\"Whenever Bloodhall Priest enters the battlefield or attacks, if you have no cards in hand, Bloodhall Priest deals 2 damage to target creature or player.
Madness {1}{B}{R} （If you discard this card, discard it into exile. When you do, cast it for its madness cost or put it into your graveyard.）\\\"\"\\"\"\\"\"\"</t>
  </si>
  <si>
    <t>3WB</t>
  </si>
  <si>
    <t>Whenever a creature you control attacks, defending player loses 1 life and you gain 1 life.</t>
  </si>
  <si>
    <t>2UB</t>
  </si>
  <si>
    <t>\"\\"\"\\\"\"\\"\"When Gisa and Geralf enters the battlefield, put the top four cards of your library into your graveyard.
During each of your turns, you may cast a Zombie creature card from your graveyard.\\\"\"\\"\"\\"\"\"</t>
  </si>
  <si>
    <t>BG</t>
  </si>
  <si>
    <t>\"\\"\"\\\"\"\\"\"Trample
Whenever Grim Flayer deals combat damage to a player, look at the top three cards of your library. Put any number of them into your graveyard and the rest back on top of your library in any order.
Delirium --- Grim Flayer gets +2/+2 as long as there are four or more card types among cards in your graveyard.\\\"\"\\"\"\\"\"\"</t>
  </si>
  <si>
    <t>2GW</t>
  </si>
  <si>
    <t>\"\\"\"\\\"\"\\"\"Flash
Lifelink
When Heron's Grace Champion enters the battlefield, other Humans you control get +1/+1 and gain lifelink until end of turn.\\\"\"\\"\"\\"\"\"</t>
  </si>
  <si>
    <t>2UR</t>
  </si>
  <si>
    <t>\"\\"\"\\\"\"\\"\"Flying
Whenever you cast an instant or sorcery spell, Mercurial Geists gets +3/+0 until end of turn.\\\"\"\\"\"\\"\"\"</t>
  </si>
  <si>
    <t>1BG</t>
  </si>
  <si>
    <t>\"\\"\"\\\"\"\\"\"Haste
Delirium --- When Mournwillow enters the battlefield, if there are four or more card types among cards in your graveyard, creatures with power 2 or less can't block this turn.\\\"\"\\"\"\\"\"\"</t>
  </si>
  <si>
    <t>RW</t>
  </si>
  <si>
    <t>Destroy target blocking creature. Creatures that were blocked by that creature this combat gain trample until end of turn.</t>
  </si>
  <si>
    <t>1WU</t>
  </si>
  <si>
    <t>\"\\"\"\\\"\"\\"\"Flash
Flying
When Spell Queller enters the battlefield, exile target spell with converted mana cost 4 or less.
When Spell Queller leaves the battlefield, the exiled card's owner may cast that card without paying its mana cost.\\\"\"\\"\"\\"\"\"</t>
  </si>
  <si>
    <t>1GWU</t>
  </si>
  <si>
    <t>\"+1: Choose up to two target creatures. Until your next turn, whenever either of those creatures deals combat damage, you draw a card.
-2: Tap up to two target nonland permanents. They don't untap during their controller's next untap step.
-7: Draw three cards. You get an emblem with \\"\"You may cast nonland cards from your hand without paying their mana costs.\\"\"\"</t>
  </si>
  <si>
    <t>3RG</t>
  </si>
  <si>
    <t>\"\\"\"\\\"\"\\"\"Whenever this creature enters the battlefield or transforms into Ulrich of the Krallenhorde, target creature gets +4/+4 until end of turn.
At the beginning of each upkeep, if no spells were cast last turn, transform Ulrich of the Krallenhorde.\\\"\"\\"\"\\"\"\"</t>
  </si>
  <si>
    <t>\"\\"\"\\\"\"\\"\"Equipped creature gets +0/+3 and has vigilance.
Equip {3} （{3}: Attach to target creature you control. Equip only as a sorcery.）\\\"\"\\"\"\\"\"\"</t>
  </si>
  <si>
    <t>\"\\"\"\\\"\"\\"\"Cryptolith Fragment enters the battlefield tapped.
{T}: Add one mana of any color to your mana pool. Each player loses 1 life.
At the beginning of your upkeep, if each player has 10 or less life, transform Cryptolith Fragment.\\\"\"\\"\"\\"\"\"</t>
  </si>
  <si>
    <t>\"\\"\"\\\"\"\\"\"Equipped creature gets +2/+2.
Equip {3} （{3}: Attach to target creature you control. Equip only as a sorcery.）\\\"\"\\"\"\\"\"\"</t>
  </si>
  <si>
    <t>Creature spells you cast cost {1} more to cast.</t>
  </si>
  <si>
    <t>Lupine Prototype can't attack or block unless a player has no cards in hand.</t>
  </si>
  <si>
    <t>\"\\"\"\\\"\"\\"\"Equipped creature gets +3/+1 and must be blocked by an Eldrazi if able.
Equip {4}\\\"\"\\"\"\\"\"\"</t>
  </si>
  <si>
    <t>{5}, {T}, Sacrifice Soul Separator: Exile target creature card from your graveyard. Put a token onto the battlefield that's a copy of that card except it's 1/1, it's a Spirit in addition to its other types, and it has flying. Put a black Zombie creature token onto the battlefield with power equal to that card's power and toughness equal to that card's toughness.</t>
  </si>
  <si>
    <t>\"\\"\"\\\"\"\\"\"Equipped creature gets +3/+3.
Whenever equipped creature attacks, it doesn't untap during its controller's next untap step.
Whenever Stitcher's Graft becomes unattached from a permanent, sacrifice that permanent.
Equip {2}\\\"\"\\"\"\\"\"\"</t>
  </si>
  <si>
    <t>\"\\"\"\\\"\"\\"\"Terrarion enters the battlefield tapped.
{2}, {T}, Sacrifice Terrarion: Add two mana in any combination of colors to your mana pool.
When Terrarion is put into a graveyard from the battlefield, draw a card.\\\"\"\\"\"\\"\"\"</t>
  </si>
  <si>
    <t>\"\\"\"\\\"\"\\"\"Equipped creature gets +4/+0.
At the beginning of your end step, if equipped creature didn't deal combat damage to a creature this turn, sacrifice it.
Equip {2}\\\"\"\\"\"\\"\"\"</t>
  </si>
  <si>
    <t>land</t>
  </si>
  <si>
    <t>\"\\"\"\\\"\"\\"\"{T}: Add {C} to your mana pool.
{2}, {T}: Each player draws a card, then discards a card.\\\"\"\\"\"\\"\"\"</t>
  </si>
  <si>
    <t>\"\\"\"\\\"\"\\"\"{T}: Add {C} to your mana pool.
{R}, {T}: Target creature gains haste until end of turn.
{3}{R}{R}, {T}: If you both own and control Hanweir Battlements and a creature named Hanweir Garrison, exile them, then meld them into Hanweir, the Writhing Township.\\\"\"\\"\"\\"\"\"</t>
  </si>
  <si>
    <t>\"If a spell or ability an opponent controls causes you to discard a card, you may reveal that card and put it on top of your library instead of putting it anywhere else.
{T}: Add {C} to your mana pool.\"</t>
  </si>
  <si>
    <t>0 SideboardCards 0 0 W0U0B0R0G0C0</t>
  </si>
  <si>
    <t>../../decks/cardlistlist_of_EMN.csv</t>
  </si>
  <si>
    <t>oracle</t>
    <phoneticPr fontId="4"/>
  </si>
  <si>
    <t>color</t>
    <phoneticPr fontId="4"/>
  </si>
  <si>
    <t>manacost</t>
    <phoneticPr fontId="4"/>
  </si>
</sst>
</file>

<file path=xl/styles.xml><?xml version="1.0" encoding="utf-8"?>
<styleSheet xmlns="http://schemas.openxmlformats.org/spreadsheetml/2006/main">
  <fonts count="8">
    <font>
      <sz val="11"/>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6"/>
      <name val="ＭＳ Ｐゴシック"/>
      <family val="2"/>
      <charset val="128"/>
      <scheme val="minor"/>
    </font>
    <font>
      <sz val="11"/>
      <color rgb="FF000000"/>
      <name val="ＭＳ Ｐゴシック"/>
      <family val="3"/>
      <charset val="128"/>
      <scheme val="minor"/>
    </font>
    <font>
      <u/>
      <sz val="11"/>
      <color theme="10"/>
      <name val="ＭＳ Ｐゴシック"/>
      <family val="3"/>
      <charset val="128"/>
    </font>
    <font>
      <sz val="9"/>
      <color theme="1"/>
      <name val="ＭＳ Ｐゴシック"/>
      <family val="3"/>
      <charset val="128"/>
      <scheme val="minor"/>
    </font>
  </fonts>
  <fills count="4">
    <fill>
      <patternFill patternType="none"/>
    </fill>
    <fill>
      <patternFill patternType="gray125"/>
    </fill>
    <fill>
      <patternFill patternType="solid">
        <fgColor theme="1" tint="4.9989318521683403E-2"/>
        <bgColor indexed="64"/>
      </patternFill>
    </fill>
    <fill>
      <patternFill patternType="solid">
        <fgColor theme="0"/>
        <bgColor indexed="64"/>
      </patternFill>
    </fill>
  </fills>
  <borders count="1">
    <border>
      <left/>
      <right/>
      <top/>
      <bottom/>
      <diagonal/>
    </border>
  </borders>
  <cellStyleXfs count="2">
    <xf numFmtId="0" fontId="0" fillId="0" borderId="0">
      <alignment vertical="center"/>
    </xf>
    <xf numFmtId="0" fontId="6" fillId="0" borderId="0" applyNumberFormat="0" applyFill="0" applyBorder="0" applyAlignment="0" applyProtection="0">
      <alignment vertical="top"/>
      <protection locked="0"/>
    </xf>
  </cellStyleXfs>
  <cellXfs count="15">
    <xf numFmtId="0" fontId="0" fillId="0" borderId="0" xfId="0">
      <alignment vertical="center"/>
    </xf>
    <xf numFmtId="0" fontId="0" fillId="0" borderId="0" xfId="0" applyNumberFormat="1">
      <alignment vertical="center"/>
    </xf>
    <xf numFmtId="0" fontId="3" fillId="0" borderId="0" xfId="0" applyFont="1">
      <alignment vertical="center"/>
    </xf>
    <xf numFmtId="0" fontId="0" fillId="0" borderId="0" xfId="0" applyAlignment="1">
      <alignment vertical="top"/>
    </xf>
    <xf numFmtId="0" fontId="2" fillId="0" borderId="0" xfId="0" applyFont="1">
      <alignment vertical="center"/>
    </xf>
    <xf numFmtId="0" fontId="0" fillId="0" borderId="0" xfId="0" applyAlignment="1">
      <alignment horizontal="left" vertical="top"/>
    </xf>
    <xf numFmtId="0" fontId="0" fillId="0" borderId="0" xfId="0" applyAlignment="1">
      <alignment horizontal="left" vertical="top" wrapText="1"/>
    </xf>
    <xf numFmtId="0" fontId="6" fillId="0" borderId="0" xfId="1" applyAlignment="1" applyProtection="1">
      <alignment horizontal="left" vertical="top"/>
    </xf>
    <xf numFmtId="0" fontId="0" fillId="2" borderId="0" xfId="0" applyFill="1" applyAlignment="1">
      <alignment horizontal="center" vertical="center"/>
    </xf>
    <xf numFmtId="0" fontId="6" fillId="3" borderId="0" xfId="1" applyFill="1" applyAlignment="1" applyProtection="1">
      <alignment horizontal="center" vertical="center"/>
    </xf>
    <xf numFmtId="0" fontId="0" fillId="3" borderId="0" xfId="0" applyFill="1" applyAlignment="1">
      <alignment horizontal="center" vertical="center"/>
    </xf>
    <xf numFmtId="0" fontId="1" fillId="0" borderId="0" xfId="0" applyFont="1">
      <alignment vertical="center"/>
    </xf>
    <xf numFmtId="0" fontId="7" fillId="0" borderId="0" xfId="0" applyFont="1" applyAlignment="1">
      <alignment vertical="center" wrapText="1"/>
    </xf>
    <xf numFmtId="0" fontId="7" fillId="0" borderId="0" xfId="0" applyNumberFormat="1" applyFont="1" applyAlignment="1">
      <alignment vertical="center" wrapText="1"/>
    </xf>
    <xf numFmtId="0" fontId="7" fillId="0" borderId="0" xfId="0" applyNumberFormat="1" applyFont="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94087</xdr:colOff>
      <xdr:row>1</xdr:row>
      <xdr:rowOff>38100</xdr:rowOff>
    </xdr:from>
    <xdr:to>
      <xdr:col>1</xdr:col>
      <xdr:colOff>1143139</xdr:colOff>
      <xdr:row>5</xdr:row>
      <xdr:rowOff>123825</xdr:rowOff>
    </xdr:to>
    <xdr:pic>
      <xdr:nvPicPr>
        <xdr:cNvPr id="4" name="図 3" descr="Liliana_the+Last+Hope.jpg"/>
        <xdr:cNvPicPr>
          <a:picLocks noChangeAspect="1"/>
        </xdr:cNvPicPr>
      </xdr:nvPicPr>
      <xdr:blipFill>
        <a:blip xmlns:r="http://schemas.openxmlformats.org/officeDocument/2006/relationships" r:embed="rId1" cstate="print"/>
        <a:stretch>
          <a:fillRect/>
        </a:stretch>
      </xdr:blipFill>
      <xdr:spPr>
        <a:xfrm>
          <a:off x="779887" y="209550"/>
          <a:ext cx="1049052" cy="77152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B2:F1786"/>
  <sheetViews>
    <sheetView zoomScaleNormal="100" workbookViewId="0">
      <selection activeCell="B7" sqref="B7:B11"/>
    </sheetView>
  </sheetViews>
  <sheetFormatPr defaultRowHeight="13.5"/>
  <cols>
    <col min="1" max="1" width="9" customWidth="1"/>
    <col min="2" max="2" width="16" customWidth="1"/>
    <col min="3" max="3" width="25.125" bestFit="1" customWidth="1"/>
    <col min="4" max="4" width="65.125" customWidth="1"/>
    <col min="5" max="5" width="13.125" customWidth="1"/>
  </cols>
  <sheetData>
    <row r="2" spans="2:6">
      <c r="B2" s="8"/>
      <c r="C2" t="str">
        <f ca="1">OFFSET(smds!$A$1,QUOTIENT(ROW()-2,5),1,1,1)</f>
        <v>Decimator of the Provinces</v>
      </c>
      <c r="D2" t="s">
        <v>3</v>
      </c>
      <c r="E2" t="s">
        <v>734</v>
      </c>
      <c r="F2" t="s">
        <v>736</v>
      </c>
    </row>
    <row r="3" spans="2:6" ht="13.5" customHeight="1">
      <c r="B3" s="8"/>
      <c r="C3" t="s">
        <v>1</v>
      </c>
      <c r="D3" s="6" t="str">
        <f ca="1">VLOOKUP(OFFSET(smds!$A$1,QUOTIENT(ROW()-2,5),1,1,1),channelfireball!A:C,3,FALSE)</f>
        <v>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v>
      </c>
      <c r="E3" s="5" t="str">
        <f ca="1">VLOOKUP(OFFSET(smds!$A$1,QUOTIENT(ROW()-2,5),1,1,1),oracle!A:D,4,FALSE)</f>
        <v>\"\\"\"\\\"\"\\"\"\\\\"\"\\"\"\\\"\"\\"\"Emerge {6}{G}{G}{G} （You may cast this spell by sacrificing a creature and paying the emerge cost reduced by that creature's converted mana cost.）
When you cast Decimator of the Provinces, creatures you control get +2/+2 and gain trample until end of turn.
Trample, haste\\\\"\"\\"\"\\\"\"\\"\"\\\"\"\\"\"\\"\"\"</v>
      </c>
      <c r="F3">
        <f ca="1">VLOOKUP(OFFSET(smds!$A$1,QUOTIENT(ROW()-2,5),1,1,1),oracle!A:D,2,FALSE)</f>
        <v>10</v>
      </c>
    </row>
    <row r="4" spans="2:6">
      <c r="B4" s="8"/>
      <c r="C4">
        <f ca="1">VLOOKUP(OFFSET(smds!$A$1,QUOTIENT(ROW()-2,5),1,1,1),channelfireball!A:C,2,FALSE)</f>
        <v>4.5</v>
      </c>
      <c r="D4" s="6"/>
      <c r="E4" s="5"/>
      <c r="F4" t="s">
        <v>735</v>
      </c>
    </row>
    <row r="5" spans="2:6">
      <c r="B5" s="8"/>
      <c r="C5" t="s">
        <v>2</v>
      </c>
      <c r="D5" s="6"/>
      <c r="E5" s="5"/>
      <c r="F5" t="str">
        <f ca="1">VLOOKUP(OFFSET(smds!$A$1,QUOTIENT(ROW()-2,5),1,1,1),oracle!A:D,3,FALSE)</f>
        <v>colorless</v>
      </c>
    </row>
    <row r="6" spans="2:6">
      <c r="B6" s="8"/>
      <c r="C6">
        <f>smds!C1</f>
        <v>10</v>
      </c>
      <c r="D6" s="6"/>
      <c r="E6" s="5"/>
    </row>
    <row r="7" spans="2:6">
      <c r="B7" s="9" t="s">
        <v>457</v>
      </c>
      <c r="C7" t="str">
        <f ca="1">OFFSET(smds!$A$1,QUOTIENT(ROW()-2,5),1,1,1)</f>
        <v>Emrakul, the Promised End</v>
      </c>
      <c r="D7" t="s">
        <v>3</v>
      </c>
      <c r="E7" t="s">
        <v>734</v>
      </c>
      <c r="F7" t="s">
        <v>736</v>
      </c>
    </row>
    <row r="8" spans="2:6" ht="13.5" customHeight="1">
      <c r="B8" s="10"/>
      <c r="C8" t="s">
        <v>1</v>
      </c>
      <c r="D8" s="6" t="str">
        <f ca="1">VLOOKUP(OFFSET(smds!$A$1,QUOTIENT(ROW()-2,5),1,1,1),channelfireball!A:C,3,FALSE)</f>
        <v>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v>
      </c>
      <c r="E8" s="5" t="str">
        <f ca="1">VLOOKUP(OFFSET(smds!$A$1,QUOTIENT(ROW()-2,5),1,1,1),oracle!A:D,4,FALSE)</f>
        <v>\"\\"\"\\\"\"\\"\"\\\\"\"\\"\"\\\"\"\\"\"Emrakul, the Promised End costs {1} less to cast for each card type among cards in your graveyard.
When you cast Emrakul, you gain control of target opponent during that player's next turn. After that turn, that player takes an extra turn.
Flying, trample, protection from instants\\\\"\"\\"\"\\\"\"\\"\"\\\"\"\\"\"\\"\"\"</v>
      </c>
      <c r="F8">
        <f ca="1">VLOOKUP(OFFSET(smds!$A$1,QUOTIENT(ROW()-2,5),1,1,1),oracle!A:D,2,FALSE)</f>
        <v>13</v>
      </c>
    </row>
    <row r="9" spans="2:6">
      <c r="B9" s="10"/>
      <c r="C9">
        <f ca="1">VLOOKUP(OFFSET(smds!$A$1,QUOTIENT(ROW()-2,5),1,1,1),channelfireball!A:C,2,FALSE)</f>
        <v>3</v>
      </c>
      <c r="D9" s="6"/>
      <c r="E9" s="5"/>
      <c r="F9" t="s">
        <v>735</v>
      </c>
    </row>
    <row r="10" spans="2:6">
      <c r="B10" s="10"/>
      <c r="C10" t="s">
        <v>2</v>
      </c>
      <c r="D10" s="6"/>
      <c r="E10" s="5"/>
      <c r="F10" t="str">
        <f ca="1">VLOOKUP(OFFSET(smds!$A$1,QUOTIENT(ROW()-2,5),1,1,1),oracle!A:D,3,FALSE)</f>
        <v>colorless</v>
      </c>
    </row>
    <row r="11" spans="2:6">
      <c r="B11" s="10"/>
      <c r="C11">
        <f>smds!C6</f>
        <v>10</v>
      </c>
      <c r="D11" s="6"/>
      <c r="E11" s="5"/>
    </row>
    <row r="12" spans="2:6">
      <c r="B12" s="7" t="str">
        <f>HYPERLINK("F:\program\mtg\cards\img\EMN_t\Abandon+Reason.jpg")</f>
        <v>F:\program\mtg\cards\img\EMN_t\Abandon+Reason.jpg</v>
      </c>
      <c r="C12" t="str">
        <f ca="1">OFFSET(smds!$A$1,QUOTIENT(ROW()-2,5),1,1,1)</f>
        <v>Gisela, the Broken Blade</v>
      </c>
      <c r="D12" t="s">
        <v>3</v>
      </c>
      <c r="E12" t="s">
        <v>734</v>
      </c>
      <c r="F12" t="s">
        <v>736</v>
      </c>
    </row>
    <row r="13" spans="2:6" ht="13.5" customHeight="1">
      <c r="B13" s="5"/>
      <c r="C13" t="s">
        <v>1</v>
      </c>
      <c r="D13" s="6" t="e">
        <f ca="1">VLOOKUP(OFFSET(smds!$A$1,QUOTIENT(ROW()-2,5),1,1,1),channelfireball!A:C,3,FALSE)</f>
        <v>#N/A</v>
      </c>
      <c r="E13" s="5" t="str">
        <f ca="1">VLOOKUP(OFFSET(smds!$A$1,QUOTIENT(ROW()-2,5),1,1,1),oracle!A:D,4,FALSE)</f>
        <v>\"\\"\"\\\"\"\\"\"\\\\"\"\\"\"\\\"\"\\"\"Flying, first strike, lifelink
At the beginning of your end step, if you both own and control Gisela, the Broken Blade and a creature named Bruna, the Fading Light, exile them, then meld them into Brisela, Voice of Nightmares.\\\\"\"\\"\"\\\"\"\\"\"\\\"\"\\"\"\\"\"\"</v>
      </c>
      <c r="F13" t="str">
        <f ca="1">VLOOKUP(OFFSET(smds!$A$1,QUOTIENT(ROW()-2,5),1,1,1),oracle!A:D,2,FALSE)</f>
        <v>2WW</v>
      </c>
    </row>
    <row r="14" spans="2:6">
      <c r="B14" s="5"/>
      <c r="C14" t="e">
        <f ca="1">VLOOKUP(OFFSET(smds!$A$1,QUOTIENT(ROW()-2,5),1,1,1),channelfireball!A:C,2,FALSE)</f>
        <v>#N/A</v>
      </c>
      <c r="D14" s="6"/>
      <c r="E14" s="5"/>
      <c r="F14" t="s">
        <v>735</v>
      </c>
    </row>
    <row r="15" spans="2:6">
      <c r="B15" s="5"/>
      <c r="C15" t="s">
        <v>2</v>
      </c>
      <c r="D15" s="6"/>
      <c r="E15" s="5"/>
      <c r="F15" t="str">
        <f ca="1">VLOOKUP(OFFSET(smds!$A$1,QUOTIENT(ROW()-2,5),1,1,1),oracle!A:D,3,FALSE)</f>
        <v>white</v>
      </c>
    </row>
    <row r="16" spans="2:6">
      <c r="B16" s="5"/>
      <c r="C16">
        <f>smds!C11</f>
        <v>9.8000000000000007</v>
      </c>
      <c r="D16" s="6"/>
      <c r="E16" s="5"/>
    </row>
    <row r="17" spans="2:6">
      <c r="B17" s="5"/>
      <c r="C17" t="str">
        <f ca="1">OFFSET(smds!$A$1,QUOTIENT(ROW()-2,5),1,1,1)</f>
        <v>Thalia, Heretic Cathar</v>
      </c>
      <c r="D17" t="s">
        <v>3</v>
      </c>
      <c r="E17" t="s">
        <v>734</v>
      </c>
      <c r="F17" t="s">
        <v>736</v>
      </c>
    </row>
    <row r="18" spans="2:6">
      <c r="B18" s="5"/>
      <c r="C18" t="s">
        <v>1</v>
      </c>
      <c r="D18" s="6" t="str">
        <f ca="1">VLOOKUP(OFFSET(smds!$A$1,QUOTIENT(ROW()-2,5),1,1,1),channelfireball!A:C,3,FALSE)</f>
        <v>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v>
      </c>
      <c r="E18" s="5" t="str">
        <f ca="1">VLOOKUP(OFFSET(smds!$A$1,QUOTIENT(ROW()-2,5),1,1,1),oracle!A:D,4,FALSE)</f>
        <v>\"\\"\"\\\"\"\\"\"\\\\"\"\\"\"\\\"\"\\"\"First strike
Creatures and nonbasic lands your opponents control enter the battlefield tapped.\\\\"\"\\"\"\\\"\"\\"\"\\\"\"\\"\"\\"\"\"</v>
      </c>
      <c r="F18" t="str">
        <f ca="1">VLOOKUP(OFFSET(smds!$A$1,QUOTIENT(ROW()-2,5),1,1,1),oracle!A:D,2,FALSE)</f>
        <v>2W</v>
      </c>
    </row>
    <row r="19" spans="2:6">
      <c r="B19" s="5"/>
      <c r="C19">
        <f ca="1">VLOOKUP(OFFSET(smds!$A$1,QUOTIENT(ROW()-2,5),1,1,1),channelfireball!A:C,2,FALSE)</f>
        <v>3</v>
      </c>
      <c r="D19" s="6"/>
      <c r="E19" s="5"/>
      <c r="F19" t="s">
        <v>735</v>
      </c>
    </row>
    <row r="20" spans="2:6">
      <c r="B20" s="5"/>
      <c r="C20" t="s">
        <v>2</v>
      </c>
      <c r="D20" s="6"/>
      <c r="E20" s="5"/>
      <c r="F20" t="str">
        <f ca="1">VLOOKUP(OFFSET(smds!$A$1,QUOTIENT(ROW()-2,5),1,1,1),oracle!A:D,3,FALSE)</f>
        <v>white</v>
      </c>
    </row>
    <row r="21" spans="2:6">
      <c r="B21" s="5"/>
      <c r="C21">
        <f>smds!C16</f>
        <v>9.5</v>
      </c>
      <c r="D21" s="6"/>
      <c r="E21" s="5"/>
    </row>
    <row r="22" spans="2:6">
      <c r="B22" s="5"/>
      <c r="C22" t="str">
        <f ca="1">OFFSET(smds!$A$1,QUOTIENT(ROW()-2,5),1,1,1)</f>
        <v>Liliana, the Last Hope</v>
      </c>
      <c r="D22" t="s">
        <v>3</v>
      </c>
      <c r="E22" s="3"/>
    </row>
    <row r="23" spans="2:6">
      <c r="B23" s="5"/>
      <c r="C23" t="s">
        <v>1</v>
      </c>
      <c r="D23" s="6" t="str">
        <f ca="1">VLOOKUP(OFFSET(smds!$A$1,QUOTIENT(ROW()-2,5),1,1,1),channelfireball!A:C,3,FALSE)</f>
        <v>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v>
      </c>
      <c r="E23" s="3"/>
    </row>
    <row r="24" spans="2:6">
      <c r="B24" s="5"/>
      <c r="C24">
        <f ca="1">VLOOKUP(OFFSET(smds!$A$1,QUOTIENT(ROW()-2,5),1,1,1),channelfireball!A:C,2,FALSE)</f>
        <v>4</v>
      </c>
      <c r="D24" s="6"/>
      <c r="E24" s="3"/>
    </row>
    <row r="25" spans="2:6">
      <c r="B25" s="5"/>
      <c r="C25" t="s">
        <v>2</v>
      </c>
      <c r="D25" s="6"/>
      <c r="E25" s="3"/>
    </row>
    <row r="26" spans="2:6">
      <c r="B26" s="5"/>
      <c r="C26">
        <f>smds!C21</f>
        <v>9</v>
      </c>
      <c r="D26" s="6"/>
      <c r="E26" s="3"/>
    </row>
    <row r="27" spans="2:6">
      <c r="B27" s="5"/>
      <c r="C27" t="str">
        <f ca="1">OFFSET(smds!$A$1,QUOTIENT(ROW()-2,5),1,1,1)</f>
        <v>Mirrorwing Dragon</v>
      </c>
      <c r="D27" t="s">
        <v>3</v>
      </c>
      <c r="E27" s="3"/>
    </row>
    <row r="28" spans="2:6">
      <c r="B28" s="5"/>
      <c r="C28" t="s">
        <v>1</v>
      </c>
      <c r="D28" s="6" t="str">
        <f ca="1">VLOOKUP(OFFSET(smds!$A$1,QUOTIENT(ROW()-2,5),1,1,1),channelfireball!A:C,3,FALSE)</f>
        <v>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v>
      </c>
      <c r="E28" s="3"/>
    </row>
    <row r="29" spans="2:6">
      <c r="B29" s="5"/>
      <c r="C29">
        <f ca="1">VLOOKUP(OFFSET(smds!$A$1,QUOTIENT(ROW()-2,5),1,1,1),channelfireball!A:C,2,FALSE)</f>
        <v>4.5</v>
      </c>
      <c r="D29" s="6"/>
      <c r="E29" s="3"/>
    </row>
    <row r="30" spans="2:6">
      <c r="B30" s="5"/>
      <c r="C30" t="s">
        <v>2</v>
      </c>
      <c r="D30" s="6"/>
      <c r="E30" s="3"/>
    </row>
    <row r="31" spans="2:6">
      <c r="B31" s="5"/>
      <c r="C31">
        <f>smds!C26</f>
        <v>8.6</v>
      </c>
      <c r="D31" s="6"/>
      <c r="E31" s="3"/>
    </row>
    <row r="32" spans="2:6">
      <c r="B32" s="5"/>
      <c r="C32" t="str">
        <f ca="1">OFFSET(smds!$A$1,QUOTIENT(ROW()-2,5),1,1,1)</f>
        <v>Ishkanah, Grafwidow</v>
      </c>
      <c r="D32" t="s">
        <v>3</v>
      </c>
      <c r="E32" s="3"/>
    </row>
    <row r="33" spans="2:5">
      <c r="B33" s="5"/>
      <c r="C33" t="s">
        <v>1</v>
      </c>
      <c r="D33" s="6" t="str">
        <f ca="1">VLOOKUP(OFFSET(smds!$A$1,QUOTIENT(ROW()-2,5),1,1,1),channelfireball!A:C,3,FALSE)</f>
        <v>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v>
      </c>
      <c r="E33" s="3"/>
    </row>
    <row r="34" spans="2:5">
      <c r="B34" s="5"/>
      <c r="C34">
        <f ca="1">VLOOKUP(OFFSET(smds!$A$1,QUOTIENT(ROW()-2,5),1,1,1),channelfireball!A:C,2,FALSE)</f>
        <v>4.5</v>
      </c>
      <c r="D34" s="6"/>
      <c r="E34" s="3"/>
    </row>
    <row r="35" spans="2:5">
      <c r="B35" s="5"/>
      <c r="C35" t="s">
        <v>2</v>
      </c>
      <c r="D35" s="6"/>
      <c r="E35" s="3"/>
    </row>
    <row r="36" spans="2:5">
      <c r="B36" s="5"/>
      <c r="C36">
        <f>smds!C31</f>
        <v>7.6</v>
      </c>
      <c r="D36" s="6"/>
      <c r="E36" s="3"/>
    </row>
    <row r="37" spans="2:5">
      <c r="B37" s="5"/>
      <c r="C37" t="str">
        <f ca="1">OFFSET(smds!$A$1,QUOTIENT(ROW()-2,5),1,1,1)</f>
        <v>Tamiyo, Field Researcher</v>
      </c>
      <c r="D37" t="s">
        <v>3</v>
      </c>
      <c r="E37" s="3"/>
    </row>
    <row r="38" spans="2:5">
      <c r="B38" s="5"/>
      <c r="C38" t="s">
        <v>1</v>
      </c>
      <c r="D38" s="6" t="str">
        <f ca="1">VLOOKUP(OFFSET(smds!$A$1,QUOTIENT(ROW()-2,5),1,1,1),channelfireball!A:C,3,FALSE)</f>
        <v>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v>
      </c>
      <c r="E38" s="3"/>
    </row>
    <row r="39" spans="2:5">
      <c r="B39" s="5"/>
      <c r="C39">
        <f ca="1">VLOOKUP(OFFSET(smds!$A$1,QUOTIENT(ROW()-2,5),1,1,1),channelfireball!A:C,2,FALSE)</f>
        <v>4.5</v>
      </c>
      <c r="D39" s="6"/>
      <c r="E39" s="3"/>
    </row>
    <row r="40" spans="2:5">
      <c r="B40" s="5"/>
      <c r="C40" t="s">
        <v>2</v>
      </c>
      <c r="D40" s="6"/>
      <c r="E40" s="3"/>
    </row>
    <row r="41" spans="2:5">
      <c r="B41" s="5"/>
      <c r="C41">
        <f>smds!C36</f>
        <v>7</v>
      </c>
      <c r="D41" s="6"/>
      <c r="E41" s="3"/>
    </row>
    <row r="42" spans="2:5">
      <c r="B42" s="5"/>
      <c r="C42" t="str">
        <f ca="1">OFFSET(smds!$A$1,QUOTIENT(ROW()-2,5),1,1,1)</f>
        <v>Niblis of Frost</v>
      </c>
      <c r="D42" t="s">
        <v>3</v>
      </c>
      <c r="E42" s="3"/>
    </row>
    <row r="43" spans="2:5">
      <c r="B43" s="5"/>
      <c r="C43" t="s">
        <v>1</v>
      </c>
      <c r="D43" s="6" t="str">
        <f ca="1">VLOOKUP(OFFSET(smds!$A$1,QUOTIENT(ROW()-2,5),1,1,1),channelfireball!A:C,3,FALSE)</f>
        <v>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v>
      </c>
      <c r="E43" s="3"/>
    </row>
    <row r="44" spans="2:5">
      <c r="B44" s="5"/>
      <c r="C44">
        <f ca="1">VLOOKUP(OFFSET(smds!$A$1,QUOTIENT(ROW()-2,5),1,1,1),channelfireball!A:C,2,FALSE)</f>
        <v>4.5</v>
      </c>
      <c r="D44" s="6"/>
      <c r="E44" s="3"/>
    </row>
    <row r="45" spans="2:5">
      <c r="B45" s="5"/>
      <c r="C45" t="s">
        <v>2</v>
      </c>
      <c r="D45" s="6"/>
      <c r="E45" s="3"/>
    </row>
    <row r="46" spans="2:5">
      <c r="B46" s="5"/>
      <c r="C46">
        <f>smds!C41</f>
        <v>5.5</v>
      </c>
      <c r="D46" s="6"/>
      <c r="E46" s="3"/>
    </row>
    <row r="47" spans="2:5">
      <c r="B47" s="5"/>
      <c r="C47" t="str">
        <f ca="1">OFFSET(smds!$A$1,QUOTIENT(ROW()-2,5),1,1,1)</f>
        <v>Nahiri's Wrath</v>
      </c>
      <c r="D47" t="s">
        <v>3</v>
      </c>
      <c r="E47" s="3"/>
    </row>
    <row r="48" spans="2:5">
      <c r="B48" s="5"/>
      <c r="C48" t="s">
        <v>1</v>
      </c>
      <c r="D48" s="6" t="e">
        <f ca="1">VLOOKUP(OFFSET(smds!$A$1,QUOTIENT(ROW()-2,5),1,1,1),channelfireball!A:C,3,FALSE)</f>
        <v>#N/A</v>
      </c>
      <c r="E48" s="3"/>
    </row>
    <row r="49" spans="2:5">
      <c r="B49" s="5"/>
      <c r="C49" t="e">
        <f ca="1">VLOOKUP(OFFSET(smds!$A$1,QUOTIENT(ROW()-2,5),1,1,1),channelfireball!A:C,2,FALSE)</f>
        <v>#N/A</v>
      </c>
      <c r="D49" s="6"/>
      <c r="E49" s="3"/>
    </row>
    <row r="50" spans="2:5">
      <c r="B50" s="5"/>
      <c r="C50" t="s">
        <v>2</v>
      </c>
      <c r="D50" s="6"/>
      <c r="E50" s="3"/>
    </row>
    <row r="51" spans="2:5">
      <c r="B51" s="5"/>
      <c r="C51">
        <f>smds!C46</f>
        <v>4.4000000000000004</v>
      </c>
      <c r="D51" s="6"/>
      <c r="E51" s="3"/>
    </row>
    <row r="52" spans="2:5">
      <c r="B52" s="5"/>
      <c r="C52" t="str">
        <f ca="1">OFFSET(smds!$A$1,QUOTIENT(ROW()-2,5),1,1,1)</f>
        <v>Heron's Grace Champion</v>
      </c>
      <c r="D52" t="s">
        <v>3</v>
      </c>
      <c r="E52" s="3"/>
    </row>
    <row r="53" spans="2:5">
      <c r="B53" s="5"/>
      <c r="C53" t="s">
        <v>1</v>
      </c>
      <c r="D53" s="6" t="str">
        <f ca="1">VLOOKUP(OFFSET(smds!$A$1,QUOTIENT(ROW()-2,5),1,1,1),channelfireball!A:C,3,FALSE)</f>
        <v>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v>
      </c>
      <c r="E53" s="3"/>
    </row>
    <row r="54" spans="2:5">
      <c r="B54" s="5"/>
      <c r="C54">
        <f ca="1">VLOOKUP(OFFSET(smds!$A$1,QUOTIENT(ROW()-2,5),1,1,1),channelfireball!A:C,2,FALSE)</f>
        <v>4</v>
      </c>
      <c r="D54" s="6"/>
      <c r="E54" s="3"/>
    </row>
    <row r="55" spans="2:5">
      <c r="B55" s="5"/>
      <c r="C55" t="s">
        <v>2</v>
      </c>
      <c r="D55" s="6"/>
      <c r="E55" s="3"/>
    </row>
    <row r="56" spans="2:5">
      <c r="B56" s="5"/>
      <c r="C56">
        <f>smds!C51</f>
        <v>3.4</v>
      </c>
      <c r="D56" s="6"/>
      <c r="E56" s="3"/>
    </row>
    <row r="57" spans="2:5">
      <c r="B57" s="5"/>
      <c r="C57" t="str">
        <f ca="1">OFFSET(smds!$A$1,QUOTIENT(ROW()-2,5),1,1,1)</f>
        <v>Elder Deep-Fiend</v>
      </c>
      <c r="D57" t="s">
        <v>3</v>
      </c>
      <c r="E57" s="3"/>
    </row>
    <row r="58" spans="2:5">
      <c r="B58" s="5"/>
      <c r="C58" t="s">
        <v>1</v>
      </c>
      <c r="D58" s="6" t="str">
        <f ca="1">VLOOKUP(OFFSET(smds!$A$1,QUOTIENT(ROW()-2,5),1,1,1),channelfireball!A:C,3,FALSE)</f>
        <v>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v>
      </c>
      <c r="E58" s="3"/>
    </row>
    <row r="59" spans="2:5">
      <c r="B59" s="5"/>
      <c r="C59">
        <f ca="1">VLOOKUP(OFFSET(smds!$A$1,QUOTIENT(ROW()-2,5),1,1,1),channelfireball!A:C,2,FALSE)</f>
        <v>4</v>
      </c>
      <c r="D59" s="6"/>
      <c r="E59" s="3"/>
    </row>
    <row r="60" spans="2:5">
      <c r="B60" s="5"/>
      <c r="C60" t="s">
        <v>2</v>
      </c>
      <c r="D60" s="6"/>
      <c r="E60" s="3"/>
    </row>
    <row r="61" spans="2:5">
      <c r="B61" s="5"/>
      <c r="C61">
        <f>smds!C56</f>
        <v>2.7</v>
      </c>
      <c r="D61" s="6"/>
      <c r="E61" s="3"/>
    </row>
    <row r="62" spans="2:5">
      <c r="B62" s="5"/>
      <c r="C62" t="str">
        <f ca="1">OFFSET(smds!$A$1,QUOTIENT(ROW()-2,5),1,1,1)</f>
        <v>Collective Effort</v>
      </c>
      <c r="D62" t="s">
        <v>3</v>
      </c>
      <c r="E62" s="3"/>
    </row>
    <row r="63" spans="2:5">
      <c r="B63" s="5"/>
      <c r="C63" t="s">
        <v>1</v>
      </c>
      <c r="D63" s="6" t="e">
        <f ca="1">VLOOKUP(OFFSET(smds!$A$1,QUOTIENT(ROW()-2,5),1,1,1),channelfireball!A:C,3,FALSE)</f>
        <v>#N/A</v>
      </c>
    </row>
    <row r="64" spans="2:5">
      <c r="B64" s="5"/>
      <c r="C64" t="e">
        <f ca="1">VLOOKUP(OFFSET(smds!$A$1,QUOTIENT(ROW()-2,5),1,1,1),channelfireball!A:C,2,FALSE)</f>
        <v>#N/A</v>
      </c>
      <c r="D64" s="6"/>
    </row>
    <row r="65" spans="2:4">
      <c r="B65" s="5"/>
      <c r="C65" t="s">
        <v>2</v>
      </c>
      <c r="D65" s="6"/>
    </row>
    <row r="66" spans="2:4">
      <c r="B66" s="5"/>
      <c r="C66">
        <f>smds!C61</f>
        <v>2.5</v>
      </c>
      <c r="D66" s="6"/>
    </row>
    <row r="67" spans="2:4">
      <c r="B67" s="5"/>
      <c r="C67" t="str">
        <f ca="1">OFFSET(smds!$A$1,QUOTIENT(ROW()-2,5),1,1,1)</f>
        <v>Ulrich of the Krallenhorde</v>
      </c>
      <c r="D67" t="s">
        <v>3</v>
      </c>
    </row>
    <row r="68" spans="2:4">
      <c r="B68" s="5"/>
      <c r="C68" t="s">
        <v>1</v>
      </c>
      <c r="D68" s="6" t="e">
        <f ca="1">VLOOKUP(OFFSET(smds!$A$1,QUOTIENT(ROW()-2,5),1,1,1),channelfireball!A:C,3,FALSE)</f>
        <v>#N/A</v>
      </c>
    </row>
    <row r="69" spans="2:4">
      <c r="B69" s="5"/>
      <c r="C69" t="e">
        <f ca="1">VLOOKUP(OFFSET(smds!$A$1,QUOTIENT(ROW()-2,5),1,1,1),channelfireball!A:C,2,FALSE)</f>
        <v>#N/A</v>
      </c>
      <c r="D69" s="6"/>
    </row>
    <row r="70" spans="2:4">
      <c r="B70" s="5"/>
      <c r="C70" t="s">
        <v>2</v>
      </c>
      <c r="D70" s="6"/>
    </row>
    <row r="71" spans="2:4">
      <c r="B71" s="5"/>
      <c r="C71">
        <f>smds!C66</f>
        <v>2.2999999999999998</v>
      </c>
      <c r="D71" s="6"/>
    </row>
    <row r="72" spans="2:4">
      <c r="B72" s="5"/>
      <c r="C72" t="str">
        <f ca="1">OFFSET(smds!$A$1,QUOTIENT(ROW()-2,5),1,1,1)</f>
        <v>Distended Mindbender</v>
      </c>
      <c r="D72" t="s">
        <v>3</v>
      </c>
    </row>
    <row r="73" spans="2:4">
      <c r="B73" s="5"/>
      <c r="C73" t="s">
        <v>1</v>
      </c>
      <c r="D73" s="6" t="str">
        <f ca="1">VLOOKUP(OFFSET(smds!$A$1,QUOTIENT(ROW()-2,5),1,1,1),channelfireball!A:C,3,FALSE)</f>
        <v>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v>
      </c>
    </row>
    <row r="74" spans="2:4">
      <c r="B74" s="5"/>
      <c r="C74">
        <f ca="1">VLOOKUP(OFFSET(smds!$A$1,QUOTIENT(ROW()-2,5),1,1,1),channelfireball!A:C,2,FALSE)</f>
        <v>3</v>
      </c>
      <c r="D74" s="6"/>
    </row>
    <row r="75" spans="2:4">
      <c r="B75" s="5"/>
      <c r="C75" t="s">
        <v>2</v>
      </c>
      <c r="D75" s="6"/>
    </row>
    <row r="76" spans="2:4">
      <c r="B76" s="5"/>
      <c r="C76">
        <f>smds!C71</f>
        <v>2.1</v>
      </c>
      <c r="D76" s="6"/>
    </row>
    <row r="77" spans="2:4">
      <c r="B77" s="5"/>
      <c r="C77" t="str">
        <f ca="1">OFFSET(smds!$A$1,QUOTIENT(ROW()-2,5),1,1,1)</f>
        <v>Collective Defiance</v>
      </c>
      <c r="D77" t="s">
        <v>3</v>
      </c>
    </row>
    <row r="78" spans="2:4">
      <c r="B78" s="5"/>
      <c r="C78" t="s">
        <v>1</v>
      </c>
      <c r="D78" s="6" t="str">
        <f ca="1">VLOOKUP(OFFSET(smds!$A$1,QUOTIENT(ROW()-2,5),1,1,1),channelfireball!A:C,3,FALSE)</f>
        <v>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v>
      </c>
    </row>
    <row r="79" spans="2:4">
      <c r="B79" s="5"/>
      <c r="C79">
        <f ca="1">VLOOKUP(OFFSET(smds!$A$1,QUOTIENT(ROW()-2,5),1,1,1),channelfireball!A:C,2,FALSE)</f>
        <v>4</v>
      </c>
      <c r="D79" s="6"/>
    </row>
    <row r="80" spans="2:4">
      <c r="B80" s="5"/>
      <c r="C80" t="s">
        <v>2</v>
      </c>
      <c r="D80" s="6"/>
    </row>
    <row r="81" spans="2:4">
      <c r="B81" s="5"/>
      <c r="C81">
        <f>smds!C76</f>
        <v>2</v>
      </c>
      <c r="D81" s="6"/>
    </row>
    <row r="82" spans="2:4">
      <c r="B82" s="5"/>
      <c r="C82" t="str">
        <f ca="1">OFFSET(smds!$A$1,QUOTIENT(ROW()-2,5),1,1,1)</f>
        <v>Sanctifier of Souls</v>
      </c>
      <c r="D82" t="s">
        <v>3</v>
      </c>
    </row>
    <row r="83" spans="2:4">
      <c r="B83" s="5"/>
      <c r="C83" t="s">
        <v>1</v>
      </c>
      <c r="D83" s="6" t="str">
        <f ca="1">VLOOKUP(OFFSET(smds!$A$1,QUOTIENT(ROW()-2,5),1,1,1),channelfireball!A:C,3,FALSE)</f>
        <v>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v>
      </c>
    </row>
    <row r="84" spans="2:4">
      <c r="B84" s="5"/>
      <c r="C84">
        <f ca="1">VLOOKUP(OFFSET(smds!$A$1,QUOTIENT(ROW()-2,5),1,1,1),channelfireball!A:C,2,FALSE)</f>
        <v>3</v>
      </c>
      <c r="D84" s="6"/>
    </row>
    <row r="85" spans="2:4">
      <c r="B85" s="5"/>
      <c r="C85" t="s">
        <v>2</v>
      </c>
      <c r="D85" s="6"/>
    </row>
    <row r="86" spans="2:4">
      <c r="B86" s="5"/>
      <c r="C86">
        <f>smds!C81</f>
        <v>1.8</v>
      </c>
      <c r="D86" s="6"/>
    </row>
    <row r="87" spans="2:4">
      <c r="B87" s="5"/>
      <c r="C87" t="str">
        <f ca="1">OFFSET(smds!$A$1,QUOTIENT(ROW()-2,5),1,1,1)</f>
        <v>Gisa and Geralf</v>
      </c>
      <c r="D87" t="s">
        <v>3</v>
      </c>
    </row>
    <row r="88" spans="2:4">
      <c r="B88" s="5"/>
      <c r="C88" t="s">
        <v>1</v>
      </c>
      <c r="D88" s="6" t="str">
        <f ca="1">VLOOKUP(OFFSET(smds!$A$1,QUOTIENT(ROW()-2,5),1,1,1),channelfireball!A:C,3,FALSE)</f>
        <v>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v>
      </c>
    </row>
    <row r="89" spans="2:4">
      <c r="B89" s="5"/>
      <c r="C89">
        <f ca="1">VLOOKUP(OFFSET(smds!$A$1,QUOTIENT(ROW()-2,5),1,1,1),channelfireball!A:C,2,FALSE)</f>
        <v>4</v>
      </c>
      <c r="D89" s="6"/>
    </row>
    <row r="90" spans="2:4">
      <c r="B90" s="5"/>
      <c r="C90" t="s">
        <v>2</v>
      </c>
      <c r="D90" s="6"/>
    </row>
    <row r="91" spans="2:4">
      <c r="B91" s="5"/>
      <c r="C91">
        <f>smds!C86</f>
        <v>1.7</v>
      </c>
      <c r="D91" s="6"/>
    </row>
    <row r="92" spans="2:4">
      <c r="B92" s="5"/>
      <c r="C92" t="str">
        <f ca="1">OFFSET(smds!$A$1,QUOTIENT(ROW()-2,5),1,1,1)</f>
        <v>Cryptbreaker</v>
      </c>
      <c r="D92" t="s">
        <v>3</v>
      </c>
    </row>
    <row r="93" spans="2:4">
      <c r="B93" s="5"/>
      <c r="C93" t="s">
        <v>1</v>
      </c>
      <c r="D93" s="6" t="str">
        <f ca="1">VLOOKUP(OFFSET(smds!$A$1,QUOTIENT(ROW()-2,5),1,1,1),channelfireball!A:C,3,FALSE)</f>
        <v>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v>
      </c>
    </row>
    <row r="94" spans="2:4">
      <c r="B94" s="5"/>
      <c r="C94">
        <f ca="1">VLOOKUP(OFFSET(smds!$A$1,QUOTIENT(ROW()-2,5),1,1,1),channelfireball!A:C,2,FALSE)</f>
        <v>3.5</v>
      </c>
      <c r="D94" s="6"/>
    </row>
    <row r="95" spans="2:4">
      <c r="B95" s="5"/>
      <c r="C95" t="s">
        <v>2</v>
      </c>
      <c r="D95" s="6"/>
    </row>
    <row r="96" spans="2:4">
      <c r="B96" s="5"/>
      <c r="C96">
        <f>smds!C91</f>
        <v>1.6</v>
      </c>
      <c r="D96" s="6"/>
    </row>
    <row r="97" spans="2:4">
      <c r="B97" s="5"/>
      <c r="C97" t="str">
        <f ca="1">OFFSET(smds!$A$1,QUOTIENT(ROW()-2,5),1,1,1)</f>
        <v>Selfless Spirit</v>
      </c>
      <c r="D97" t="s">
        <v>3</v>
      </c>
    </row>
    <row r="98" spans="2:4">
      <c r="B98" s="5"/>
      <c r="C98" t="s">
        <v>1</v>
      </c>
      <c r="D98" s="6" t="str">
        <f ca="1">VLOOKUP(OFFSET(smds!$A$1,QUOTIENT(ROW()-2,5),1,1,1),channelfireball!A:C,3,FALSE)</f>
        <v>Selfless Spirit is not a bomb, but it is a supremely good and efficient card. 2 mana, 2-power flyers are already premium cards in Limited, and this has the additional ability to save a better creature from removal or to bail you out of an otherwise-disastrous combat step.</v>
      </c>
    </row>
    <row r="99" spans="2:4">
      <c r="B99" s="5"/>
      <c r="C99">
        <f ca="1">VLOOKUP(OFFSET(smds!$A$1,QUOTIENT(ROW()-2,5),1,1,1),channelfireball!A:C,2,FALSE)</f>
        <v>3</v>
      </c>
      <c r="D99" s="6"/>
    </row>
    <row r="100" spans="2:4">
      <c r="B100" s="5"/>
      <c r="C100" t="s">
        <v>2</v>
      </c>
      <c r="D100" s="6"/>
    </row>
    <row r="101" spans="2:4">
      <c r="B101" s="5"/>
      <c r="C101">
        <f>smds!C96</f>
        <v>1.5</v>
      </c>
      <c r="D101" s="6"/>
    </row>
    <row r="102" spans="2:4">
      <c r="B102" s="5"/>
      <c r="C102" t="str">
        <f ca="1">OFFSET(smds!$A$1,QUOTIENT(ROW()-2,5),1,1,1)</f>
        <v>Assembled Alphas</v>
      </c>
      <c r="D102" t="s">
        <v>3</v>
      </c>
    </row>
    <row r="103" spans="2:4">
      <c r="B103" s="5"/>
      <c r="C103" t="s">
        <v>1</v>
      </c>
      <c r="D103" s="6" t="str">
        <f ca="1">VLOOKUP(OFFSET(smds!$A$1,QUOTIENT(ROW()-2,5),1,1,1),channelfireball!A:C,3,FALSE)</f>
        <v>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v>
      </c>
    </row>
    <row r="104" spans="2:4">
      <c r="B104" s="5"/>
      <c r="C104">
        <f ca="1">VLOOKUP(OFFSET(smds!$A$1,QUOTIENT(ROW()-2,5),1,1,1),channelfireball!A:C,2,FALSE)</f>
        <v>2.5</v>
      </c>
      <c r="D104" s="6"/>
    </row>
    <row r="105" spans="2:4">
      <c r="B105" s="5"/>
      <c r="C105" t="s">
        <v>2</v>
      </c>
      <c r="D105" s="6"/>
    </row>
    <row r="106" spans="2:4">
      <c r="B106" s="5"/>
      <c r="C106">
        <f>smds!C101</f>
        <v>1.4</v>
      </c>
      <c r="D106" s="6"/>
    </row>
    <row r="107" spans="2:4">
      <c r="B107" s="5"/>
      <c r="C107" t="str">
        <f ca="1">OFFSET(smds!$A$1,QUOTIENT(ROW()-2,5),1,1,1)</f>
        <v>Spell Queller</v>
      </c>
      <c r="D107" t="s">
        <v>3</v>
      </c>
    </row>
    <row r="108" spans="2:4">
      <c r="B108" s="5"/>
      <c r="C108" t="s">
        <v>1</v>
      </c>
      <c r="D108" s="6" t="str">
        <f ca="1">VLOOKUP(OFFSET(smds!$A$1,QUOTIENT(ROW()-2,5),1,1,1),channelfireball!A:C,3,FALSE)</f>
        <v>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v>
      </c>
    </row>
    <row r="109" spans="2:4">
      <c r="B109" s="5"/>
      <c r="C109">
        <f ca="1">VLOOKUP(OFFSET(smds!$A$1,QUOTIENT(ROW()-2,5),1,1,1),channelfireball!A:C,2,FALSE)</f>
        <v>4</v>
      </c>
      <c r="D109" s="6"/>
    </row>
    <row r="110" spans="2:4">
      <c r="B110" s="5"/>
      <c r="C110" t="s">
        <v>2</v>
      </c>
      <c r="D110" s="6"/>
    </row>
    <row r="111" spans="2:4">
      <c r="B111" s="5"/>
      <c r="C111">
        <f>smds!C106</f>
        <v>1.3</v>
      </c>
      <c r="D111" s="6"/>
    </row>
    <row r="112" spans="2:4">
      <c r="B112" s="5"/>
      <c r="C112" t="str">
        <f ca="1">OFFSET(smds!$A$1,QUOTIENT(ROW()-2,5),1,1,1)</f>
        <v>Bruna, the Fading Light</v>
      </c>
      <c r="D112" t="s">
        <v>3</v>
      </c>
    </row>
    <row r="113" spans="2:4">
      <c r="B113" s="5"/>
      <c r="C113" t="s">
        <v>1</v>
      </c>
      <c r="D113" s="6" t="e">
        <f ca="1">VLOOKUP(OFFSET(smds!$A$1,QUOTIENT(ROW()-2,5),1,1,1),channelfireball!A:C,3,FALSE)</f>
        <v>#N/A</v>
      </c>
    </row>
    <row r="114" spans="2:4">
      <c r="B114" s="5"/>
      <c r="C114" t="e">
        <f ca="1">VLOOKUP(OFFSET(smds!$A$1,QUOTIENT(ROW()-2,5),1,1,1),channelfireball!A:C,2,FALSE)</f>
        <v>#N/A</v>
      </c>
      <c r="D114" s="6"/>
    </row>
    <row r="115" spans="2:4">
      <c r="B115" s="5"/>
      <c r="C115" t="s">
        <v>2</v>
      </c>
      <c r="D115" s="6"/>
    </row>
    <row r="116" spans="2:4">
      <c r="B116" s="5"/>
      <c r="C116">
        <f>smds!C111</f>
        <v>1.2</v>
      </c>
      <c r="D116" s="6"/>
    </row>
    <row r="117" spans="2:4">
      <c r="B117" s="5"/>
      <c r="C117" t="str">
        <f ca="1">OFFSET(smds!$A$1,QUOTIENT(ROW()-2,5),1,1,1)</f>
        <v>Thalia's Lancers</v>
      </c>
      <c r="D117" t="s">
        <v>3</v>
      </c>
    </row>
    <row r="118" spans="2:4">
      <c r="B118" s="5"/>
      <c r="C118" t="s">
        <v>1</v>
      </c>
      <c r="D118" s="6" t="e">
        <f ca="1">VLOOKUP(OFFSET(smds!$A$1,QUOTIENT(ROW()-2,5),1,1,1),channelfireball!A:C,3,FALSE)</f>
        <v>#N/A</v>
      </c>
    </row>
    <row r="119" spans="2:4">
      <c r="B119" s="5"/>
      <c r="C119" t="e">
        <f ca="1">VLOOKUP(OFFSET(smds!$A$1,QUOTIENT(ROW()-2,5),1,1,1),channelfireball!A:C,2,FALSE)</f>
        <v>#N/A</v>
      </c>
      <c r="D119" s="6"/>
    </row>
    <row r="120" spans="2:4">
      <c r="B120" s="5"/>
      <c r="C120" t="s">
        <v>2</v>
      </c>
      <c r="D120" s="6"/>
    </row>
    <row r="121" spans="2:4">
      <c r="B121" s="5"/>
      <c r="C121">
        <f>smds!C116</f>
        <v>1.1000000000000001</v>
      </c>
      <c r="D121" s="6"/>
    </row>
    <row r="122" spans="2:4">
      <c r="B122" s="5"/>
      <c r="C122" t="str">
        <f ca="1">OFFSET(smds!$A$1,QUOTIENT(ROW()-2,5),1,1,1)</f>
        <v>Dark Salvation</v>
      </c>
      <c r="D122" t="s">
        <v>3</v>
      </c>
    </row>
    <row r="123" spans="2:4">
      <c r="B123" s="5"/>
      <c r="C123" t="s">
        <v>1</v>
      </c>
      <c r="D123" s="6" t="str">
        <f ca="1">VLOOKUP(OFFSET(smds!$A$1,QUOTIENT(ROW()-2,5),1,1,1),channelfireball!A:C,3,FALSE)</f>
        <v>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v>
      </c>
    </row>
    <row r="124" spans="2:4">
      <c r="B124" s="5"/>
      <c r="C124">
        <f ca="1">VLOOKUP(OFFSET(smds!$A$1,QUOTIENT(ROW()-2,5),1,1,1),channelfireball!A:C,2,FALSE)</f>
        <v>4</v>
      </c>
      <c r="D124" s="6"/>
    </row>
    <row r="125" spans="2:4">
      <c r="B125" s="5"/>
      <c r="C125" t="s">
        <v>2</v>
      </c>
      <c r="D125" s="6"/>
    </row>
    <row r="126" spans="2:4">
      <c r="B126" s="5"/>
      <c r="C126">
        <f>smds!C121</f>
        <v>1.1000000000000001</v>
      </c>
      <c r="D126" s="6"/>
    </row>
    <row r="127" spans="2:4">
      <c r="B127" s="5"/>
      <c r="C127" t="str">
        <f ca="1">OFFSET(smds!$A$1,QUOTIENT(ROW()-2,5),1,1,1)</f>
        <v>Grim Flayer</v>
      </c>
      <c r="D127" t="s">
        <v>3</v>
      </c>
    </row>
    <row r="128" spans="2:4">
      <c r="B128" s="5"/>
      <c r="C128" t="s">
        <v>1</v>
      </c>
      <c r="D128" s="6" t="str">
        <f ca="1">VLOOKUP(OFFSET(smds!$A$1,QUOTIENT(ROW()-2,5),1,1,1),channelfireball!A:C,3,FALSE)</f>
        <v>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v>
      </c>
    </row>
    <row r="129" spans="2:4">
      <c r="B129" s="5"/>
      <c r="C129">
        <f ca="1">VLOOKUP(OFFSET(smds!$A$1,QUOTIENT(ROW()-2,5),1,1,1),channelfireball!A:C,2,FALSE)</f>
        <v>3</v>
      </c>
      <c r="D129" s="6"/>
    </row>
    <row r="130" spans="2:4">
      <c r="B130" s="5"/>
      <c r="C130" t="s">
        <v>2</v>
      </c>
      <c r="D130" s="6"/>
    </row>
    <row r="131" spans="2:4">
      <c r="B131" s="5"/>
      <c r="C131">
        <f>smds!C126</f>
        <v>1.1000000000000001</v>
      </c>
      <c r="D131" s="6"/>
    </row>
    <row r="132" spans="2:4">
      <c r="B132" s="5"/>
      <c r="C132" t="str">
        <f ca="1">OFFSET(smds!$A$1,QUOTIENT(ROW()-2,5),1,1,1)</f>
        <v>Bloodhall Priest</v>
      </c>
      <c r="D132" t="s">
        <v>3</v>
      </c>
    </row>
    <row r="133" spans="2:4">
      <c r="B133" s="5"/>
      <c r="C133" t="s">
        <v>1</v>
      </c>
      <c r="D133" s="6" t="str">
        <f ca="1">VLOOKUP(OFFSET(smds!$A$1,QUOTIENT(ROW()-2,5),1,1,1),channelfireball!A:C,3,FALSE)</f>
        <v>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v>
      </c>
    </row>
    <row r="134" spans="2:4">
      <c r="B134" s="5"/>
      <c r="C134">
        <f ca="1">VLOOKUP(OFFSET(smds!$A$1,QUOTIENT(ROW()-2,5),1,1,1),channelfireball!A:C,2,FALSE)</f>
        <v>3.5</v>
      </c>
      <c r="D134" s="6"/>
    </row>
    <row r="135" spans="2:4">
      <c r="B135" s="5"/>
      <c r="C135" t="s">
        <v>2</v>
      </c>
      <c r="D135" s="6"/>
    </row>
    <row r="136" spans="2:4">
      <c r="B136" s="5"/>
      <c r="C136">
        <f>smds!C131</f>
        <v>1</v>
      </c>
      <c r="D136" s="6"/>
    </row>
    <row r="137" spans="2:4">
      <c r="B137" s="5"/>
      <c r="C137" t="str">
        <f ca="1">OFFSET(smds!$A$1,QUOTIENT(ROW()-2,5),1,1,1)</f>
        <v>Noosegraf Mob</v>
      </c>
      <c r="D137" t="s">
        <v>3</v>
      </c>
    </row>
    <row r="138" spans="2:4">
      <c r="B138" s="5"/>
      <c r="C138" t="s">
        <v>1</v>
      </c>
      <c r="D138" s="6" t="str">
        <f ca="1">VLOOKUP(OFFSET(smds!$A$1,QUOTIENT(ROW()-2,5),1,1,1),channelfireball!A:C,3,FALSE)</f>
        <v>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v>
      </c>
    </row>
    <row r="139" spans="2:4">
      <c r="B139" s="5"/>
      <c r="C139">
        <f ca="1">VLOOKUP(OFFSET(smds!$A$1,QUOTIENT(ROW()-2,5),1,1,1),channelfireball!A:C,2,FALSE)</f>
        <v>4</v>
      </c>
      <c r="D139" s="6"/>
    </row>
    <row r="140" spans="2:4">
      <c r="B140" s="5"/>
      <c r="C140" t="s">
        <v>2</v>
      </c>
      <c r="D140" s="6"/>
    </row>
    <row r="141" spans="2:4">
      <c r="B141" s="5"/>
      <c r="C141">
        <f>smds!C136</f>
        <v>1</v>
      </c>
      <c r="D141" s="6"/>
    </row>
    <row r="142" spans="2:4">
      <c r="B142" s="5"/>
      <c r="C142" t="str">
        <f ca="1">OFFSET(smds!$A$1,QUOTIENT(ROW()-2,5),1,1,1)</f>
        <v>Voldaren Pariah</v>
      </c>
      <c r="D142" t="s">
        <v>3</v>
      </c>
    </row>
    <row r="143" spans="2:4">
      <c r="B143" s="5"/>
      <c r="C143" t="s">
        <v>1</v>
      </c>
      <c r="D143" s="6" t="e">
        <f ca="1">VLOOKUP(OFFSET(smds!$A$1,QUOTIENT(ROW()-2,5),1,1,1),channelfireball!A:C,3,FALSE)</f>
        <v>#N/A</v>
      </c>
    </row>
    <row r="144" spans="2:4">
      <c r="B144" s="5"/>
      <c r="C144" t="e">
        <f ca="1">VLOOKUP(OFFSET(smds!$A$1,QUOTIENT(ROW()-2,5),1,1,1),channelfireball!A:C,2,FALSE)</f>
        <v>#N/A</v>
      </c>
      <c r="D144" s="6"/>
    </row>
    <row r="145" spans="2:4">
      <c r="B145" s="5"/>
      <c r="C145" t="s">
        <v>2</v>
      </c>
      <c r="D145" s="6"/>
    </row>
    <row r="146" spans="2:4">
      <c r="B146" s="5"/>
      <c r="C146">
        <f>smds!C141</f>
        <v>1</v>
      </c>
      <c r="D146" s="6"/>
    </row>
    <row r="147" spans="2:4">
      <c r="B147" s="5"/>
      <c r="C147" t="str">
        <f ca="1">OFFSET(smds!$A$1,QUOTIENT(ROW()-2,5),1,1,1)</f>
        <v>Stromkirk Occultist</v>
      </c>
      <c r="D147" t="s">
        <v>3</v>
      </c>
    </row>
    <row r="148" spans="2:4">
      <c r="B148" s="5"/>
      <c r="C148" t="s">
        <v>1</v>
      </c>
      <c r="D148" s="6" t="str">
        <f ca="1">VLOOKUP(OFFSET(smds!$A$1,QUOTIENT(ROW()-2,5),1,1,1),channelfireball!A:C,3,FALSE)</f>
        <v>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v>
      </c>
    </row>
    <row r="149" spans="2:4">
      <c r="B149" s="5"/>
      <c r="C149">
        <f ca="1">VLOOKUP(OFFSET(smds!$A$1,QUOTIENT(ROW()-2,5),1,1,1),channelfireball!A:C,2,FALSE)</f>
        <v>3</v>
      </c>
      <c r="D149" s="6"/>
    </row>
    <row r="150" spans="2:4">
      <c r="B150" s="5"/>
      <c r="C150" t="s">
        <v>2</v>
      </c>
      <c r="D150" s="6"/>
    </row>
    <row r="151" spans="2:4">
      <c r="B151" s="5"/>
      <c r="C151">
        <f>smds!C146</f>
        <v>1</v>
      </c>
      <c r="D151" s="6"/>
    </row>
    <row r="152" spans="2:4">
      <c r="B152" s="5"/>
      <c r="C152" t="str">
        <f ca="1">OFFSET(smds!$A$1,QUOTIENT(ROW()-2,5),1,1,1)</f>
        <v>Wharf Infiltrator</v>
      </c>
      <c r="D152" t="s">
        <v>3</v>
      </c>
    </row>
    <row r="153" spans="2:4">
      <c r="B153" s="5"/>
      <c r="C153" t="s">
        <v>1</v>
      </c>
      <c r="D153" s="6" t="str">
        <f ca="1">VLOOKUP(OFFSET(smds!$A$1,QUOTIENT(ROW()-2,5),1,1,1),channelfireball!A:C,3,FALSE)</f>
        <v>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v>
      </c>
    </row>
    <row r="154" spans="2:4">
      <c r="B154" s="5"/>
      <c r="C154">
        <f ca="1">VLOOKUP(OFFSET(smds!$A$1,QUOTIENT(ROW()-2,5),1,1,1),channelfireball!A:C,2,FALSE)</f>
        <v>3</v>
      </c>
      <c r="D154" s="6"/>
    </row>
    <row r="155" spans="2:4">
      <c r="B155" s="5"/>
      <c r="C155" t="s">
        <v>2</v>
      </c>
      <c r="D155" s="6"/>
    </row>
    <row r="156" spans="2:4">
      <c r="B156" s="5"/>
      <c r="C156">
        <f>smds!C151</f>
        <v>1</v>
      </c>
      <c r="D156" s="6"/>
    </row>
    <row r="157" spans="2:4">
      <c r="B157" s="5"/>
      <c r="C157" t="str">
        <f ca="1">OFFSET(smds!$A$1,QUOTIENT(ROW()-2,5),1,1,1)</f>
        <v>Hanweir Garrison</v>
      </c>
      <c r="D157" t="s">
        <v>3</v>
      </c>
    </row>
    <row r="158" spans="2:4">
      <c r="B158" s="5"/>
      <c r="C158" t="s">
        <v>1</v>
      </c>
      <c r="D158" s="6" t="e">
        <f ca="1">VLOOKUP(OFFSET(smds!$A$1,QUOTIENT(ROW()-2,5),1,1,1),channelfireball!A:C,3,FALSE)</f>
        <v>#N/A</v>
      </c>
    </row>
    <row r="159" spans="2:4">
      <c r="B159" s="5"/>
      <c r="C159" t="e">
        <f ca="1">VLOOKUP(OFFSET(smds!$A$1,QUOTIENT(ROW()-2,5),1,1,1),channelfireball!A:C,2,FALSE)</f>
        <v>#N/A</v>
      </c>
      <c r="D159" s="6"/>
    </row>
    <row r="160" spans="2:4">
      <c r="B160" s="5"/>
      <c r="C160" t="s">
        <v>2</v>
      </c>
      <c r="D160" s="6"/>
    </row>
    <row r="161" spans="2:4">
      <c r="B161" s="5"/>
      <c r="C161">
        <f>smds!C156</f>
        <v>1</v>
      </c>
      <c r="D161" s="6"/>
    </row>
    <row r="162" spans="2:4">
      <c r="B162" s="5"/>
      <c r="C162" t="str">
        <f ca="1">OFFSET(smds!$A$1,QUOTIENT(ROW()-2,5),1,1,1)</f>
        <v>Docent of Perfection</v>
      </c>
      <c r="D162" t="s">
        <v>3</v>
      </c>
    </row>
    <row r="163" spans="2:4">
      <c r="B163" s="5"/>
      <c r="C163" t="s">
        <v>1</v>
      </c>
      <c r="D163" s="6" t="e">
        <f ca="1">VLOOKUP(OFFSET(smds!$A$1,QUOTIENT(ROW()-2,5),1,1,1),channelfireball!A:C,3,FALSE)</f>
        <v>#N/A</v>
      </c>
    </row>
    <row r="164" spans="2:4">
      <c r="B164" s="5"/>
      <c r="C164" t="e">
        <f ca="1">VLOOKUP(OFFSET(smds!$A$1,QUOTIENT(ROW()-2,5),1,1,1),channelfireball!A:C,2,FALSE)</f>
        <v>#N/A</v>
      </c>
      <c r="D164" s="6"/>
    </row>
    <row r="165" spans="2:4">
      <c r="B165" s="5"/>
      <c r="C165" t="s">
        <v>2</v>
      </c>
      <c r="D165" s="6"/>
    </row>
    <row r="166" spans="2:4">
      <c r="B166" s="5"/>
      <c r="C166">
        <f>smds!C161</f>
        <v>1</v>
      </c>
      <c r="D166" s="6"/>
    </row>
    <row r="167" spans="2:4">
      <c r="B167" s="5"/>
      <c r="C167" t="str">
        <f ca="1">OFFSET(smds!$A$1,QUOTIENT(ROW()-2,5),1,1,1)</f>
        <v>Ulvenwald Observer</v>
      </c>
      <c r="D167" t="s">
        <v>3</v>
      </c>
    </row>
    <row r="168" spans="2:4">
      <c r="B168" s="5"/>
      <c r="C168" t="s">
        <v>1</v>
      </c>
      <c r="D168" s="6" t="str">
        <f ca="1">VLOOKUP(OFFSET(smds!$A$1,QUOTIENT(ROW()-2,5),1,1,1),channelfireball!A:C,3,FALSE)</f>
        <v>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v>
      </c>
    </row>
    <row r="169" spans="2:4">
      <c r="B169" s="5"/>
      <c r="C169">
        <f ca="1">VLOOKUP(OFFSET(smds!$A$1,QUOTIENT(ROW()-2,5),1,1,1),channelfireball!A:C,2,FALSE)</f>
        <v>3</v>
      </c>
      <c r="D169" s="6"/>
    </row>
    <row r="170" spans="2:4">
      <c r="B170" s="5"/>
      <c r="C170" t="s">
        <v>2</v>
      </c>
      <c r="D170" s="6"/>
    </row>
    <row r="171" spans="2:4">
      <c r="B171" s="5"/>
      <c r="C171">
        <f>smds!C166</f>
        <v>1</v>
      </c>
      <c r="D171" s="6"/>
    </row>
    <row r="172" spans="2:4">
      <c r="B172" s="5"/>
      <c r="C172" t="str">
        <f ca="1">OFFSET(smds!$A$1,QUOTIENT(ROW()-2,5),1,1,1)</f>
        <v>Collective Brutality</v>
      </c>
      <c r="D172" t="s">
        <v>3</v>
      </c>
    </row>
    <row r="173" spans="2:4">
      <c r="B173" s="5"/>
      <c r="C173" t="s">
        <v>1</v>
      </c>
      <c r="D173" s="6" t="str">
        <f ca="1">VLOOKUP(OFFSET(smds!$A$1,QUOTIENT(ROW()-2,5),1,1,1),channelfireball!A:C,3,FALSE)</f>
        <v>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v>
      </c>
    </row>
    <row r="174" spans="2:4">
      <c r="B174" s="5"/>
      <c r="C174">
        <f ca="1">VLOOKUP(OFFSET(smds!$A$1,QUOTIENT(ROW()-2,5),1,1,1),channelfireball!A:C,2,FALSE)</f>
        <v>2.5</v>
      </c>
      <c r="D174" s="6"/>
    </row>
    <row r="175" spans="2:4">
      <c r="B175" s="5"/>
      <c r="C175" t="s">
        <v>2</v>
      </c>
      <c r="D175" s="6"/>
    </row>
    <row r="176" spans="2:4">
      <c r="B176" s="5"/>
      <c r="C176">
        <f>smds!C171</f>
        <v>0.9</v>
      </c>
      <c r="D176" s="6"/>
    </row>
    <row r="177" spans="2:4">
      <c r="B177" s="5"/>
      <c r="C177" t="str">
        <f ca="1">OFFSET(smds!$A$1,QUOTIENT(ROW()-2,5),1,1,1)</f>
        <v>Bedlam Reveler</v>
      </c>
      <c r="D177" t="s">
        <v>3</v>
      </c>
    </row>
    <row r="178" spans="2:4">
      <c r="B178" s="5"/>
      <c r="C178" t="s">
        <v>1</v>
      </c>
      <c r="D178" s="6" t="str">
        <f ca="1">VLOOKUP(OFFSET(smds!$A$1,QUOTIENT(ROW()-2,5),1,1,1),channelfireball!A:C,3,FALSE)</f>
        <v>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v>
      </c>
    </row>
    <row r="179" spans="2:4">
      <c r="B179" s="5"/>
      <c r="C179">
        <f ca="1">VLOOKUP(OFFSET(smds!$A$1,QUOTIENT(ROW()-2,5),1,1,1),channelfireball!A:C,2,FALSE)</f>
        <v>4</v>
      </c>
      <c r="D179" s="6"/>
    </row>
    <row r="180" spans="2:4">
      <c r="B180" s="5"/>
      <c r="C180" t="s">
        <v>2</v>
      </c>
      <c r="D180" s="6"/>
    </row>
    <row r="181" spans="2:4">
      <c r="B181" s="5"/>
      <c r="C181">
        <f>smds!C176</f>
        <v>0.9</v>
      </c>
      <c r="D181" s="6"/>
    </row>
    <row r="182" spans="2:4">
      <c r="B182" s="5"/>
      <c r="C182" t="str">
        <f ca="1">OFFSET(smds!$A$1,QUOTIENT(ROW()-2,5),1,1,1)</f>
        <v>Emrakul's Evangel</v>
      </c>
      <c r="D182" t="s">
        <v>3</v>
      </c>
    </row>
    <row r="183" spans="2:4">
      <c r="B183" s="5"/>
      <c r="C183" t="s">
        <v>1</v>
      </c>
      <c r="D183" s="6" t="e">
        <f ca="1">VLOOKUP(OFFSET(smds!$A$1,QUOTIENT(ROW()-2,5),1,1,1),channelfireball!A:C,3,FALSE)</f>
        <v>#N/A</v>
      </c>
    </row>
    <row r="184" spans="2:4">
      <c r="B184" s="5"/>
      <c r="C184" t="e">
        <f ca="1">VLOOKUP(OFFSET(smds!$A$1,QUOTIENT(ROW()-2,5),1,1,1),channelfireball!A:C,2,FALSE)</f>
        <v>#N/A</v>
      </c>
      <c r="D184" s="6"/>
    </row>
    <row r="185" spans="2:4">
      <c r="B185" s="5"/>
      <c r="C185" t="s">
        <v>2</v>
      </c>
      <c r="D185" s="6"/>
    </row>
    <row r="186" spans="2:4">
      <c r="B186" s="5"/>
      <c r="C186">
        <f>smds!C181</f>
        <v>0.9</v>
      </c>
      <c r="D186" s="6"/>
    </row>
    <row r="187" spans="2:4">
      <c r="B187" s="5"/>
      <c r="C187" t="str">
        <f ca="1">OFFSET(smds!$A$1,QUOTIENT(ROW()-2,5),1,1,1)</f>
        <v>Stromkirk Condemned</v>
      </c>
      <c r="D187" t="s">
        <v>3</v>
      </c>
    </row>
    <row r="188" spans="2:4">
      <c r="B188" s="5"/>
      <c r="C188" t="s">
        <v>1</v>
      </c>
      <c r="D188" s="6" t="str">
        <f ca="1">VLOOKUP(OFFSET(smds!$A$1,QUOTIENT(ROW()-2,5),1,1,1),channelfireball!A:C,3,FALSE)</f>
        <v>Stromkirk Condemned has reasonable stats on its own, and gets powerful fast when you start adding madness and/or Vampire tribal synergies. You’ll be happy to play this in all decks with 9 or more Swamps, and picking it up early is a strong incentive to go BR.</v>
      </c>
    </row>
    <row r="189" spans="2:4">
      <c r="B189" s="5"/>
      <c r="C189">
        <f ca="1">VLOOKUP(OFFSET(smds!$A$1,QUOTIENT(ROW()-2,5),1,1,1),channelfireball!A:C,2,FALSE)</f>
        <v>3</v>
      </c>
      <c r="D189" s="6"/>
    </row>
    <row r="190" spans="2:4">
      <c r="B190" s="5"/>
      <c r="C190" t="s">
        <v>2</v>
      </c>
      <c r="D190" s="6"/>
    </row>
    <row r="191" spans="2:4">
      <c r="B191" s="5"/>
      <c r="C191">
        <f>smds!C186</f>
        <v>0.9</v>
      </c>
      <c r="D191" s="6"/>
    </row>
    <row r="192" spans="2:4">
      <c r="B192" s="5"/>
      <c r="C192" t="str">
        <f ca="1">OFFSET(smds!$A$1,QUOTIENT(ROW()-2,5),1,1,1)</f>
        <v>Impetuous Devils</v>
      </c>
      <c r="D192" t="s">
        <v>3</v>
      </c>
    </row>
    <row r="193" spans="2:4">
      <c r="B193" s="5"/>
      <c r="C193" t="s">
        <v>1</v>
      </c>
      <c r="D193" s="6" t="str">
        <f ca="1">VLOOKUP(OFFSET(smds!$A$1,QUOTIENT(ROW()-2,5),1,1,1),channelfireball!A:C,3,FALSE)</f>
        <v>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v>
      </c>
    </row>
    <row r="194" spans="2:4">
      <c r="B194" s="5"/>
      <c r="C194">
        <f ca="1">VLOOKUP(OFFSET(smds!$A$1,QUOTIENT(ROW()-2,5),1,1,1),channelfireball!A:C,2,FALSE)</f>
        <v>3</v>
      </c>
      <c r="D194" s="6"/>
    </row>
    <row r="195" spans="2:4">
      <c r="B195" s="5"/>
      <c r="C195" t="s">
        <v>2</v>
      </c>
      <c r="D195" s="6"/>
    </row>
    <row r="196" spans="2:4">
      <c r="B196" s="5"/>
      <c r="C196">
        <f>smds!C191</f>
        <v>0.8</v>
      </c>
      <c r="D196" s="6"/>
    </row>
    <row r="197" spans="2:4">
      <c r="B197" s="5"/>
      <c r="C197" t="str">
        <f ca="1">OFFSET(smds!$A$1,QUOTIENT(ROW()-2,5),1,1,1)</f>
        <v>Spirit of the Hunt</v>
      </c>
      <c r="D197" t="s">
        <v>3</v>
      </c>
    </row>
    <row r="198" spans="2:4">
      <c r="B198" s="5"/>
      <c r="C198" t="s">
        <v>1</v>
      </c>
      <c r="D198" s="6" t="str">
        <f ca="1">VLOOKUP(OFFSET(smds!$A$1,QUOTIENT(ROW()-2,5),1,1,1),channelfireball!A:C,3,FALSE)</f>
        <v>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v>
      </c>
    </row>
    <row r="199" spans="2:4">
      <c r="B199" s="5"/>
      <c r="C199">
        <f ca="1">VLOOKUP(OFFSET(smds!$A$1,QUOTIENT(ROW()-2,5),1,1,1),channelfireball!A:C,2,FALSE)</f>
        <v>3.5</v>
      </c>
      <c r="D199" s="6"/>
    </row>
    <row r="200" spans="2:4">
      <c r="B200" s="5"/>
      <c r="C200" t="s">
        <v>2</v>
      </c>
      <c r="D200" s="6"/>
    </row>
    <row r="201" spans="2:4">
      <c r="B201" s="5"/>
      <c r="C201">
        <f>smds!C196</f>
        <v>0.8</v>
      </c>
      <c r="D201" s="6"/>
    </row>
    <row r="202" spans="2:4">
      <c r="B202" s="5"/>
      <c r="C202" t="str">
        <f ca="1">OFFSET(smds!$A$1,QUOTIENT(ROW()-2,5),1,1,1)</f>
        <v>Imprisoned in the Moon</v>
      </c>
      <c r="D202" t="s">
        <v>3</v>
      </c>
    </row>
    <row r="203" spans="2:4">
      <c r="B203" s="5"/>
      <c r="C203" t="s">
        <v>1</v>
      </c>
      <c r="D203" s="6" t="str">
        <f ca="1">VLOOKUP(OFFSET(smds!$A$1,QUOTIENT(ROW()-2,5),1,1,1),channelfireball!A:C,3,FALSE)</f>
        <v>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v>
      </c>
    </row>
    <row r="204" spans="2:4">
      <c r="B204" s="5"/>
      <c r="C204">
        <f ca="1">VLOOKUP(OFFSET(smds!$A$1,QUOTIENT(ROW()-2,5),1,1,1),channelfireball!A:C,2,FALSE)</f>
        <v>2</v>
      </c>
      <c r="D204" s="6"/>
    </row>
    <row r="205" spans="2:4">
      <c r="B205" s="5"/>
      <c r="C205" t="s">
        <v>2</v>
      </c>
      <c r="D205" s="6"/>
    </row>
    <row r="206" spans="2:4">
      <c r="B206" s="5"/>
      <c r="C206">
        <f>smds!C201</f>
        <v>0.7</v>
      </c>
      <c r="D206" s="6"/>
    </row>
    <row r="207" spans="2:4">
      <c r="B207" s="5"/>
      <c r="C207" t="str">
        <f ca="1">OFFSET(smds!$A$1,QUOTIENT(ROW()-2,5),1,1,1)</f>
        <v>Eternal Scourge</v>
      </c>
      <c r="D207" t="s">
        <v>3</v>
      </c>
    </row>
    <row r="208" spans="2:4">
      <c r="B208" s="5"/>
      <c r="C208" t="s">
        <v>1</v>
      </c>
      <c r="D208" s="6" t="str">
        <f ca="1">VLOOKUP(OFFSET(smds!$A$1,QUOTIENT(ROW()-2,5),1,1,1),channelfireball!A:C,3,FALSE)</f>
        <v>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v>
      </c>
    </row>
    <row r="209" spans="2:4">
      <c r="B209" s="5"/>
      <c r="C209">
        <f ca="1">VLOOKUP(OFFSET(smds!$A$1,QUOTIENT(ROW()-2,5),1,1,1),channelfireball!A:C,2,FALSE)</f>
        <v>2</v>
      </c>
      <c r="D209" s="6"/>
    </row>
    <row r="210" spans="2:4">
      <c r="B210" s="5"/>
      <c r="C210" t="s">
        <v>2</v>
      </c>
      <c r="D210" s="6"/>
    </row>
    <row r="211" spans="2:4">
      <c r="B211" s="5"/>
      <c r="C211">
        <f>smds!C206</f>
        <v>0</v>
      </c>
      <c r="D211" s="6"/>
    </row>
    <row r="212" spans="2:4">
      <c r="B212" s="5"/>
      <c r="C212" t="str">
        <f ca="1">OFFSET(smds!$A$1,QUOTIENT(ROW()-2,5),1,1,1)</f>
        <v>Tree of Perdition</v>
      </c>
      <c r="D212" t="s">
        <v>3</v>
      </c>
    </row>
    <row r="213" spans="2:4">
      <c r="B213" s="5"/>
      <c r="C213" t="s">
        <v>1</v>
      </c>
      <c r="D213" s="6" t="str">
        <f ca="1">VLOOKUP(OFFSET(smds!$A$1,QUOTIENT(ROW()-2,5),1,1,1),channelfireball!A:C,3,FALSE)</f>
        <v>Tree of Perdition is an excellent blocker that can nuke the opponent for 7 life points if you draw it early enough. The combo with Triskaidekaphobia is also good enough to be worth speculating on.</v>
      </c>
    </row>
    <row r="214" spans="2:4">
      <c r="B214" s="5"/>
      <c r="C214">
        <f ca="1">VLOOKUP(OFFSET(smds!$A$1,QUOTIENT(ROW()-2,5),1,1,1),channelfireball!A:C,2,FALSE)</f>
        <v>3</v>
      </c>
      <c r="D214" s="6"/>
    </row>
    <row r="215" spans="2:4">
      <c r="B215" s="5"/>
      <c r="C215" t="s">
        <v>2</v>
      </c>
      <c r="D215" s="6"/>
    </row>
    <row r="216" spans="2:4">
      <c r="B216" s="5"/>
      <c r="C216">
        <f>smds!C211</f>
        <v>0</v>
      </c>
      <c r="D216" s="6"/>
    </row>
    <row r="217" spans="2:4">
      <c r="B217" s="5"/>
      <c r="C217" t="str">
        <f ca="1">OFFSET(smds!$A$1,QUOTIENT(ROW()-2,5),1,1,1)</f>
        <v>Eldritch Evolution</v>
      </c>
      <c r="D217" t="s">
        <v>3</v>
      </c>
    </row>
    <row r="218" spans="2:4">
      <c r="B218" s="5"/>
      <c r="C218" t="s">
        <v>1</v>
      </c>
      <c r="D218" s="6" t="str">
        <f ca="1">VLOOKUP(OFFSET(smds!$A$1,QUOTIENT(ROW()-2,5),1,1,1),channelfireball!A:C,3,FALSE)</f>
        <v>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v>
      </c>
    </row>
    <row r="219" spans="2:4">
      <c r="B219" s="5"/>
      <c r="C219" t="str">
        <f ca="1">VLOOKUP(OFFSET(smds!$A$1,QUOTIENT(ROW()-2,5),1,1,1),channelfireball!A:C,2,FALSE)</f>
        <v>0.5/2.5</v>
      </c>
      <c r="D219" s="6"/>
    </row>
    <row r="220" spans="2:4">
      <c r="B220" s="5"/>
      <c r="C220" t="s">
        <v>2</v>
      </c>
      <c r="D220" s="6"/>
    </row>
    <row r="221" spans="2:4">
      <c r="B221" s="5"/>
      <c r="C221">
        <f>smds!C216</f>
        <v>0</v>
      </c>
      <c r="D221" s="6"/>
    </row>
    <row r="222" spans="2:4">
      <c r="B222" s="5"/>
      <c r="C222" t="str">
        <f ca="1">OFFSET(smds!$A$1,QUOTIENT(ROW()-2,5),1,1,1)</f>
        <v>Murder</v>
      </c>
      <c r="D222" t="s">
        <v>3</v>
      </c>
    </row>
    <row r="223" spans="2:4">
      <c r="B223" s="5"/>
      <c r="C223" t="s">
        <v>1</v>
      </c>
      <c r="D223" s="6" t="str">
        <f ca="1">VLOOKUP(OFFSET(smds!$A$1,QUOTIENT(ROW()-2,5),1,1,1),channelfireball!A:C,3,FALSE)</f>
        <v>Great. Instant-speed, unconditional removal. Great.</v>
      </c>
    </row>
    <row r="224" spans="2:4">
      <c r="B224" s="5"/>
      <c r="C224">
        <f ca="1">VLOOKUP(OFFSET(smds!$A$1,QUOTIENT(ROW()-2,5),1,1,1),channelfireball!A:C,2,FALSE)</f>
        <v>3.5</v>
      </c>
      <c r="D224" s="6"/>
    </row>
    <row r="225" spans="2:4">
      <c r="B225" s="5"/>
      <c r="C225" t="s">
        <v>2</v>
      </c>
      <c r="D225" s="6"/>
    </row>
    <row r="226" spans="2:4">
      <c r="B226" s="5"/>
      <c r="C226">
        <f>smds!C221</f>
        <v>0</v>
      </c>
      <c r="D226" s="6"/>
    </row>
    <row r="227" spans="2:4">
      <c r="B227" s="5"/>
      <c r="C227" t="str">
        <f ca="1">OFFSET(smds!$A$1,QUOTIENT(ROW()-2,5),1,1,1)</f>
        <v>Identity Thief</v>
      </c>
      <c r="D227" t="s">
        <v>3</v>
      </c>
    </row>
    <row r="228" spans="2:4">
      <c r="B228" s="5"/>
      <c r="C228" t="s">
        <v>1</v>
      </c>
      <c r="D228" s="6" t="str">
        <f ca="1">VLOOKUP(OFFSET(smds!$A$1,QUOTIENT(ROW()-2,5),1,1,1),channelfireball!A:C,3,FALSE)</f>
        <v>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v>
      </c>
    </row>
    <row r="229" spans="2:4">
      <c r="B229" s="5"/>
      <c r="C229">
        <f ca="1">VLOOKUP(OFFSET(smds!$A$1,QUOTIENT(ROW()-2,5),1,1,1),channelfireball!A:C,2,FALSE)</f>
        <v>2.5</v>
      </c>
      <c r="D229" s="6"/>
    </row>
    <row r="230" spans="2:4">
      <c r="B230" s="5"/>
      <c r="C230" t="s">
        <v>2</v>
      </c>
      <c r="D230" s="6"/>
    </row>
    <row r="231" spans="2:4">
      <c r="B231" s="5"/>
      <c r="C231">
        <f>smds!C226</f>
        <v>0</v>
      </c>
      <c r="D231" s="6"/>
    </row>
    <row r="232" spans="2:4">
      <c r="B232" s="5"/>
      <c r="C232" t="str">
        <f ca="1">OFFSET(smds!$A$1,QUOTIENT(ROW()-2,5),1,1,1)</f>
        <v>Mausoleum Wanderer</v>
      </c>
      <c r="D232" t="s">
        <v>3</v>
      </c>
    </row>
    <row r="233" spans="2:4">
      <c r="B233" s="5"/>
      <c r="C233" t="s">
        <v>1</v>
      </c>
      <c r="D233" s="6" t="str">
        <f ca="1">VLOOKUP(OFFSET(smds!$A$1,QUOTIENT(ROW()-2,5),1,1,1),channelfireball!A:C,3,FALSE)</f>
        <v>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v>
      </c>
    </row>
    <row r="234" spans="2:4">
      <c r="B234" s="5"/>
      <c r="C234">
        <f ca="1">VLOOKUP(OFFSET(smds!$A$1,QUOTIENT(ROW()-2,5),1,1,1),channelfireball!A:C,2,FALSE)</f>
        <v>2</v>
      </c>
      <c r="D234" s="6"/>
    </row>
    <row r="235" spans="2:4">
      <c r="B235" s="5"/>
      <c r="C235" t="s">
        <v>2</v>
      </c>
      <c r="D235" s="6"/>
    </row>
    <row r="236" spans="2:4">
      <c r="B236" s="5"/>
      <c r="C236">
        <f>smds!C231</f>
        <v>0</v>
      </c>
      <c r="D236" s="6"/>
    </row>
    <row r="237" spans="2:4">
      <c r="B237" s="5"/>
      <c r="C237" t="str">
        <f ca="1">OFFSET(smds!$A$1,QUOTIENT(ROW()-2,5),1,1,1)</f>
        <v>Subjugator Angel</v>
      </c>
      <c r="D237" t="s">
        <v>3</v>
      </c>
    </row>
    <row r="238" spans="2:4">
      <c r="B238" s="5"/>
      <c r="C238" t="s">
        <v>1</v>
      </c>
      <c r="D238" s="6" t="str">
        <f ca="1">VLOOKUP(OFFSET(smds!$A$1,QUOTIENT(ROW()-2,5),1,1,1),channelfireball!A:C,3,FALSE)</f>
        <v>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v>
      </c>
    </row>
    <row r="239" spans="2:4">
      <c r="B239" s="5"/>
      <c r="C239">
        <f ca="1">VLOOKUP(OFFSET(smds!$A$1,QUOTIENT(ROW()-2,5),1,1,1),channelfireball!A:C,2,FALSE)</f>
        <v>2.5</v>
      </c>
      <c r="D239" s="6"/>
    </row>
    <row r="240" spans="2:4">
      <c r="B240" s="5"/>
      <c r="C240" t="s">
        <v>2</v>
      </c>
      <c r="D240" s="6"/>
    </row>
    <row r="241" spans="2:4">
      <c r="B241" s="5"/>
      <c r="C241">
        <f>smds!C236</f>
        <v>0</v>
      </c>
      <c r="D241" s="6"/>
    </row>
    <row r="242" spans="2:4">
      <c r="B242" s="5"/>
      <c r="C242" t="str">
        <f ca="1">OFFSET(smds!$A$1,QUOTIENT(ROW()-2,5),1,1,1)</f>
        <v>Incendiary Flow</v>
      </c>
      <c r="D242" t="s">
        <v>3</v>
      </c>
    </row>
    <row r="243" spans="2:4">
      <c r="B243" s="5"/>
      <c r="C243" t="s">
        <v>1</v>
      </c>
      <c r="D243" s="6" t="str">
        <f ca="1">VLOOKUP(OFFSET(smds!$A$1,QUOTIENT(ROW()-2,5),1,1,1),channelfireball!A:C,3,FALSE)</f>
        <v>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v>
      </c>
    </row>
    <row r="244" spans="2:4">
      <c r="B244" s="5"/>
      <c r="C244">
        <f ca="1">VLOOKUP(OFFSET(smds!$A$1,QUOTIENT(ROW()-2,5),1,1,1),channelfireball!A:C,2,FALSE)</f>
        <v>3</v>
      </c>
      <c r="D244" s="6"/>
    </row>
    <row r="245" spans="2:4">
      <c r="B245" s="5"/>
      <c r="C245" t="s">
        <v>2</v>
      </c>
      <c r="D245" s="6"/>
    </row>
    <row r="246" spans="2:4">
      <c r="B246" s="5"/>
      <c r="C246">
        <f>smds!C241</f>
        <v>0</v>
      </c>
      <c r="D246" s="6"/>
    </row>
    <row r="247" spans="2:4">
      <c r="B247" s="5"/>
      <c r="C247" t="str">
        <f ca="1">OFFSET(smds!$A$1,QUOTIENT(ROW()-2,5),1,1,1)</f>
        <v>Faith Unbroken</v>
      </c>
      <c r="D247" t="s">
        <v>3</v>
      </c>
    </row>
    <row r="248" spans="2:4">
      <c r="B248" s="5"/>
      <c r="C248" t="s">
        <v>1</v>
      </c>
      <c r="D248" s="6" t="str">
        <f ca="1">VLOOKUP(OFFSET(smds!$A$1,QUOTIENT(ROW()-2,5),1,1,1),channelfireball!A:C,3,FALSE)</f>
        <v>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v>
      </c>
    </row>
    <row r="249" spans="2:4">
      <c r="B249" s="5"/>
      <c r="C249">
        <f ca="1">VLOOKUP(OFFSET(smds!$A$1,QUOTIENT(ROW()-2,5),1,1,1),channelfireball!A:C,2,FALSE)</f>
        <v>2.5</v>
      </c>
      <c r="D249" s="6"/>
    </row>
    <row r="250" spans="2:4">
      <c r="B250" s="5"/>
      <c r="C250" t="s">
        <v>2</v>
      </c>
      <c r="D250" s="6"/>
    </row>
    <row r="251" spans="2:4">
      <c r="B251" s="5"/>
      <c r="C251">
        <f>smds!C246</f>
        <v>0</v>
      </c>
      <c r="D251" s="6"/>
    </row>
    <row r="252" spans="2:4">
      <c r="B252" s="5"/>
      <c r="C252" t="str">
        <f ca="1">OFFSET(smds!$A$1,QUOTIENT(ROW()-2,5),1,1,1)</f>
        <v>Lone Rider</v>
      </c>
      <c r="D252" t="s">
        <v>3</v>
      </c>
    </row>
    <row r="253" spans="2:4">
      <c r="B253" s="5"/>
      <c r="C253" t="s">
        <v>1</v>
      </c>
      <c r="D253" s="6" t="e">
        <f ca="1">VLOOKUP(OFFSET(smds!$A$1,QUOTIENT(ROW()-2,5),1,1,1),channelfireball!A:C,3,FALSE)</f>
        <v>#N/A</v>
      </c>
    </row>
    <row r="254" spans="2:4">
      <c r="B254" s="5"/>
      <c r="C254" t="e">
        <f ca="1">VLOOKUP(OFFSET(smds!$A$1,QUOTIENT(ROW()-2,5),1,1,1),channelfireball!A:C,2,FALSE)</f>
        <v>#N/A</v>
      </c>
      <c r="D254" s="6"/>
    </row>
    <row r="255" spans="2:4">
      <c r="B255" s="5"/>
      <c r="C255" t="s">
        <v>2</v>
      </c>
      <c r="D255" s="6"/>
    </row>
    <row r="256" spans="2:4">
      <c r="B256" s="5"/>
      <c r="C256">
        <f>smds!C251</f>
        <v>0</v>
      </c>
      <c r="D256" s="6"/>
    </row>
    <row r="257" spans="2:4">
      <c r="B257" s="5"/>
      <c r="C257" t="str">
        <f ca="1">OFFSET(smds!$A$1,QUOTIENT(ROW()-2,5),1,1,1)</f>
        <v>Oath of Liliana</v>
      </c>
      <c r="D257" t="s">
        <v>3</v>
      </c>
    </row>
    <row r="258" spans="2:4">
      <c r="B258" s="5"/>
      <c r="C258" t="s">
        <v>1</v>
      </c>
      <c r="D258" s="6" t="str">
        <f ca="1">VLOOKUP(OFFSET(smds!$A$1,QUOTIENT(ROW()-2,5),1,1,1),channelfireball!A:C,3,FALSE)</f>
        <v>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v>
      </c>
    </row>
    <row r="259" spans="2:4">
      <c r="B259" s="5"/>
      <c r="C259">
        <f ca="1">VLOOKUP(OFFSET(smds!$A$1,QUOTIENT(ROW()-2,5),1,1,1),channelfireball!A:C,2,FALSE)</f>
        <v>1</v>
      </c>
      <c r="D259" s="6"/>
    </row>
    <row r="260" spans="2:4">
      <c r="B260" s="5"/>
      <c r="C260" t="s">
        <v>2</v>
      </c>
      <c r="D260" s="6"/>
    </row>
    <row r="261" spans="2:4">
      <c r="B261" s="5"/>
      <c r="C261">
        <f>smds!C256</f>
        <v>0</v>
      </c>
      <c r="D261" s="6"/>
    </row>
    <row r="262" spans="2:4">
      <c r="B262" s="5"/>
      <c r="C262" t="str">
        <f ca="1">OFFSET(smds!$A$1,QUOTIENT(ROW()-2,5),1,1,1)</f>
        <v>Somberwald Stag</v>
      </c>
      <c r="D262" t="s">
        <v>3</v>
      </c>
    </row>
    <row r="263" spans="2:4">
      <c r="B263" s="5"/>
      <c r="C263" t="s">
        <v>1</v>
      </c>
      <c r="D263" s="6" t="str">
        <f ca="1">VLOOKUP(OFFSET(smds!$A$1,QUOTIENT(ROW()-2,5),1,1,1),channelfireball!A:C,3,FALSE)</f>
        <v>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v>
      </c>
    </row>
    <row r="264" spans="2:4">
      <c r="B264" s="5"/>
      <c r="C264">
        <f ca="1">VLOOKUP(OFFSET(smds!$A$1,QUOTIENT(ROW()-2,5),1,1,1),channelfireball!A:C,2,FALSE)</f>
        <v>3.5</v>
      </c>
      <c r="D264" s="6"/>
    </row>
    <row r="265" spans="2:4">
      <c r="B265" s="5"/>
      <c r="C265" t="s">
        <v>2</v>
      </c>
      <c r="D265" s="6"/>
    </row>
    <row r="266" spans="2:4">
      <c r="B266" s="5"/>
      <c r="C266">
        <f>smds!C261</f>
        <v>0</v>
      </c>
      <c r="D266" s="6"/>
    </row>
    <row r="267" spans="2:4">
      <c r="B267" s="5"/>
      <c r="C267" t="str">
        <f ca="1">OFFSET(smds!$A$1,QUOTIENT(ROW()-2,5),1,1,1)</f>
        <v>Extricator of Sin</v>
      </c>
      <c r="D267" t="s">
        <v>3</v>
      </c>
    </row>
    <row r="268" spans="2:4">
      <c r="B268" s="5"/>
      <c r="C268" t="s">
        <v>1</v>
      </c>
      <c r="D268" s="6" t="e">
        <f ca="1">VLOOKUP(OFFSET(smds!$A$1,QUOTIENT(ROW()-2,5),1,1,1),channelfireball!A:C,3,FALSE)</f>
        <v>#N/A</v>
      </c>
    </row>
    <row r="269" spans="2:4">
      <c r="B269" s="5"/>
      <c r="C269" t="e">
        <f ca="1">VLOOKUP(OFFSET(smds!$A$1,QUOTIENT(ROW()-2,5),1,1,1),channelfireball!A:C,2,FALSE)</f>
        <v>#N/A</v>
      </c>
      <c r="D269" s="6"/>
    </row>
    <row r="270" spans="2:4">
      <c r="B270" s="5"/>
      <c r="C270" t="s">
        <v>2</v>
      </c>
      <c r="D270" s="6"/>
    </row>
    <row r="271" spans="2:4">
      <c r="B271" s="5"/>
      <c r="C271">
        <f>smds!C266</f>
        <v>0</v>
      </c>
      <c r="D271" s="6"/>
    </row>
    <row r="272" spans="2:4">
      <c r="B272" s="5"/>
      <c r="C272" t="str">
        <f ca="1">OFFSET(smds!$A$1,QUOTIENT(ROW()-2,5),1,1,1)</f>
        <v>Permeating Mass</v>
      </c>
      <c r="D272" t="s">
        <v>3</v>
      </c>
    </row>
    <row r="273" spans="2:4">
      <c r="B273" s="5"/>
      <c r="C273" t="s">
        <v>1</v>
      </c>
      <c r="D273" s="6" t="str">
        <f ca="1">VLOOKUP(OFFSET(smds!$A$1,QUOTIENT(ROW()-2,5),1,1,1),channelfireball!A:C,3,FALSE)</f>
        <v>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v>
      </c>
    </row>
    <row r="274" spans="2:4">
      <c r="B274" s="5"/>
      <c r="C274">
        <f ca="1">VLOOKUP(OFFSET(smds!$A$1,QUOTIENT(ROW()-2,5),1,1,1),channelfireball!A:C,2,FALSE)</f>
        <v>2</v>
      </c>
      <c r="D274" s="6"/>
    </row>
    <row r="275" spans="2:4">
      <c r="B275" s="5"/>
      <c r="C275" t="s">
        <v>2</v>
      </c>
      <c r="D275" s="6"/>
    </row>
    <row r="276" spans="2:4">
      <c r="B276" s="5"/>
      <c r="C276">
        <f>smds!C271</f>
        <v>0</v>
      </c>
      <c r="D276" s="6"/>
    </row>
    <row r="277" spans="2:4">
      <c r="B277" s="5"/>
      <c r="C277" t="str">
        <f ca="1">OFFSET(smds!$A$1,QUOTIENT(ROW()-2,5),1,1,1)</f>
        <v>Advanced Stitchwing</v>
      </c>
      <c r="D277" t="s">
        <v>3</v>
      </c>
    </row>
    <row r="278" spans="2:4">
      <c r="B278" s="5"/>
      <c r="C278" t="s">
        <v>1</v>
      </c>
      <c r="D278" s="6" t="str">
        <f ca="1">VLOOKUP(OFFSET(smds!$A$1,QUOTIENT(ROW()-2,5),1,1,1),channelfireball!A:C,3,FALSE)</f>
        <v>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v>
      </c>
    </row>
    <row r="279" spans="2:4">
      <c r="B279" s="5"/>
      <c r="C279">
        <f ca="1">VLOOKUP(OFFSET(smds!$A$1,QUOTIENT(ROW()-2,5),1,1,1),channelfireball!A:C,2,FALSE)</f>
        <v>3</v>
      </c>
      <c r="D279" s="6"/>
    </row>
    <row r="280" spans="2:4">
      <c r="B280" s="5"/>
      <c r="C280" t="s">
        <v>2</v>
      </c>
      <c r="D280" s="6"/>
    </row>
    <row r="281" spans="2:4">
      <c r="B281" s="5"/>
      <c r="C281">
        <f>smds!C276</f>
        <v>0</v>
      </c>
      <c r="D281" s="6"/>
    </row>
    <row r="282" spans="2:4">
      <c r="B282" s="5"/>
      <c r="C282" t="str">
        <f ca="1">OFFSET(smds!$A$1,QUOTIENT(ROW()-2,5),1,1,1)</f>
        <v>Nebelgast Herald</v>
      </c>
      <c r="D282" t="s">
        <v>3</v>
      </c>
    </row>
    <row r="283" spans="2:4">
      <c r="B283" s="5"/>
      <c r="C283" t="s">
        <v>1</v>
      </c>
      <c r="D283" s="6" t="str">
        <f ca="1">VLOOKUP(OFFSET(smds!$A$1,QUOTIENT(ROW()-2,5),1,1,1),channelfireball!A:C,3,FALSE)</f>
        <v>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v>
      </c>
    </row>
    <row r="284" spans="2:4">
      <c r="B284" s="5"/>
      <c r="C284">
        <f ca="1">VLOOKUP(OFFSET(smds!$A$1,QUOTIENT(ROW()-2,5),1,1,1),channelfireball!A:C,2,FALSE)</f>
        <v>3</v>
      </c>
      <c r="D284" s="6"/>
    </row>
    <row r="285" spans="2:4">
      <c r="B285" s="5"/>
      <c r="C285" t="s">
        <v>2</v>
      </c>
      <c r="D285" s="6"/>
    </row>
    <row r="286" spans="2:4">
      <c r="B286" s="5"/>
      <c r="C286">
        <f>smds!C281</f>
        <v>0</v>
      </c>
      <c r="D286" s="6"/>
    </row>
    <row r="287" spans="2:4">
      <c r="B287" s="5"/>
      <c r="C287" t="str">
        <f ca="1">OFFSET(smds!$A$1,QUOTIENT(ROW()-2,5),1,1,1)</f>
        <v>Clear Shot</v>
      </c>
      <c r="D287" t="s">
        <v>3</v>
      </c>
    </row>
    <row r="288" spans="2:4">
      <c r="B288" s="5"/>
      <c r="C288" t="s">
        <v>1</v>
      </c>
      <c r="D288" s="6" t="str">
        <f ca="1">VLOOKUP(OFFSET(smds!$A$1,QUOTIENT(ROW()-2,5),1,1,1),channelfireball!A:C,3,FALSE)</f>
        <v>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v>
      </c>
    </row>
    <row r="289" spans="2:4">
      <c r="B289" s="5"/>
      <c r="C289">
        <f ca="1">VLOOKUP(OFFSET(smds!$A$1,QUOTIENT(ROW()-2,5),1,1,1),channelfireball!A:C,2,FALSE)</f>
        <v>3.5</v>
      </c>
      <c r="D289" s="6"/>
    </row>
    <row r="290" spans="2:4">
      <c r="B290" s="5"/>
      <c r="C290" t="s">
        <v>2</v>
      </c>
      <c r="D290" s="6"/>
    </row>
    <row r="291" spans="2:4">
      <c r="B291" s="5"/>
      <c r="C291">
        <f>smds!C286</f>
        <v>0</v>
      </c>
      <c r="D291" s="6"/>
    </row>
    <row r="292" spans="2:4">
      <c r="B292" s="5"/>
      <c r="C292" t="str">
        <f ca="1">OFFSET(smds!$A$1,QUOTIENT(ROW()-2,5),1,1,1)</f>
        <v>Smoldering Werewolf</v>
      </c>
      <c r="D292" t="s">
        <v>3</v>
      </c>
    </row>
    <row r="293" spans="2:4">
      <c r="B293" s="5"/>
      <c r="C293" t="s">
        <v>1</v>
      </c>
      <c r="D293" s="6" t="e">
        <f ca="1">VLOOKUP(OFFSET(smds!$A$1,QUOTIENT(ROW()-2,5),1,1,1),channelfireball!A:C,3,FALSE)</f>
        <v>#N/A</v>
      </c>
    </row>
    <row r="294" spans="2:4">
      <c r="B294" s="5"/>
      <c r="C294" t="e">
        <f ca="1">VLOOKUP(OFFSET(smds!$A$1,QUOTIENT(ROW()-2,5),1,1,1),channelfireball!A:C,2,FALSE)</f>
        <v>#N/A</v>
      </c>
      <c r="D294" s="6"/>
    </row>
    <row r="295" spans="2:4">
      <c r="B295" s="5"/>
      <c r="C295" t="s">
        <v>2</v>
      </c>
      <c r="D295" s="6"/>
    </row>
    <row r="296" spans="2:4">
      <c r="B296" s="5"/>
      <c r="C296">
        <f>smds!C291</f>
        <v>0</v>
      </c>
      <c r="D296" s="6"/>
    </row>
    <row r="297" spans="2:4">
      <c r="B297" s="5"/>
      <c r="C297" t="str">
        <f ca="1">OFFSET(smds!$A$1,QUOTIENT(ROW()-2,5),1,1,1)</f>
        <v>Blessed Alliance</v>
      </c>
      <c r="D297" t="s">
        <v>3</v>
      </c>
    </row>
    <row r="298" spans="2:4">
      <c r="B298" s="5"/>
      <c r="C298" t="s">
        <v>1</v>
      </c>
      <c r="D298" s="6" t="str">
        <f ca="1">VLOOKUP(OFFSET(smds!$A$1,QUOTIENT(ROW()-2,5),1,1,1),channelfireball!A:C,3,FALSE)</f>
        <v>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v>
      </c>
    </row>
    <row r="299" spans="2:4">
      <c r="B299" s="5"/>
      <c r="C299">
        <f ca="1">VLOOKUP(OFFSET(smds!$A$1,QUOTIENT(ROW()-2,5),1,1,1),channelfireball!A:C,2,FALSE)</f>
        <v>2.5</v>
      </c>
      <c r="D299" s="6"/>
    </row>
    <row r="300" spans="2:4">
      <c r="B300" s="5"/>
      <c r="C300" t="s">
        <v>2</v>
      </c>
      <c r="D300" s="6"/>
    </row>
    <row r="301" spans="2:4">
      <c r="B301" s="5"/>
      <c r="C301">
        <f>smds!C296</f>
        <v>0</v>
      </c>
      <c r="D301" s="6"/>
    </row>
    <row r="302" spans="2:4">
      <c r="B302" s="5"/>
      <c r="C302" t="str">
        <f ca="1">OFFSET(smds!$A$1,QUOTIENT(ROW()-2,5),1,1,1)</f>
        <v>Haunted Dead</v>
      </c>
      <c r="D302" t="s">
        <v>3</v>
      </c>
    </row>
    <row r="303" spans="2:4">
      <c r="B303" s="5"/>
      <c r="C303" t="s">
        <v>1</v>
      </c>
      <c r="D303" s="6" t="str">
        <f ca="1">VLOOKUP(OFFSET(smds!$A$1,QUOTIENT(ROW()-2,5),1,1,1),channelfireball!A:C,3,FALSE)</f>
        <v>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v>
      </c>
    </row>
    <row r="304" spans="2:4">
      <c r="B304" s="5"/>
      <c r="C304">
        <f ca="1">VLOOKUP(OFFSET(smds!$A$1,QUOTIENT(ROW()-2,5),1,1,1),channelfireball!A:C,2,FALSE)</f>
        <v>2.5</v>
      </c>
      <c r="D304" s="6"/>
    </row>
    <row r="305" spans="2:4">
      <c r="B305" s="5"/>
      <c r="C305" t="s">
        <v>2</v>
      </c>
      <c r="D305" s="6"/>
    </row>
    <row r="306" spans="2:4">
      <c r="B306" s="5"/>
      <c r="C306">
        <f>smds!C301</f>
        <v>0</v>
      </c>
      <c r="D306" s="6"/>
    </row>
    <row r="307" spans="2:4">
      <c r="B307" s="5"/>
      <c r="C307" t="str">
        <f ca="1">OFFSET(smds!$A$1,QUOTIENT(ROW()-2,5),1,1,1)</f>
        <v>Savage Alliance</v>
      </c>
      <c r="D307" t="s">
        <v>3</v>
      </c>
    </row>
    <row r="308" spans="2:4">
      <c r="B308" s="5"/>
      <c r="C308" t="s">
        <v>1</v>
      </c>
      <c r="D308" s="6" t="str">
        <f ca="1">VLOOKUP(OFFSET(smds!$A$1,QUOTIENT(ROW()-2,5),1,1,1),channelfireball!A:C,3,FALSE)</f>
        <v>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v>
      </c>
    </row>
    <row r="309" spans="2:4">
      <c r="B309" s="5"/>
      <c r="C309">
        <f ca="1">VLOOKUP(OFFSET(smds!$A$1,QUOTIENT(ROW()-2,5),1,1,1),channelfireball!A:C,2,FALSE)</f>
        <v>3.5</v>
      </c>
      <c r="D309" s="6"/>
    </row>
    <row r="310" spans="2:4">
      <c r="B310" s="5"/>
      <c r="C310" t="s">
        <v>2</v>
      </c>
      <c r="D310" s="6"/>
    </row>
    <row r="311" spans="2:4">
      <c r="B311" s="5"/>
      <c r="C311">
        <f>smds!C306</f>
        <v>0</v>
      </c>
      <c r="D311" s="6"/>
    </row>
    <row r="312" spans="2:4">
      <c r="B312" s="5"/>
      <c r="C312" t="str">
        <f ca="1">OFFSET(smds!$A$1,QUOTIENT(ROW()-2,5),1,1,1)</f>
        <v>Stitcher's Graft</v>
      </c>
      <c r="D312" t="s">
        <v>3</v>
      </c>
    </row>
    <row r="313" spans="2:4">
      <c r="B313" s="5"/>
      <c r="C313" t="s">
        <v>1</v>
      </c>
      <c r="D313" s="6" t="e">
        <f ca="1">VLOOKUP(OFFSET(smds!$A$1,QUOTIENT(ROW()-2,5),1,1,1),channelfireball!A:C,3,FALSE)</f>
        <v>#N/A</v>
      </c>
    </row>
    <row r="314" spans="2:4">
      <c r="B314" s="5"/>
      <c r="C314" t="e">
        <f ca="1">VLOOKUP(OFFSET(smds!$A$1,QUOTIENT(ROW()-2,5),1,1,1),channelfireball!A:C,2,FALSE)</f>
        <v>#N/A</v>
      </c>
      <c r="D314" s="6"/>
    </row>
    <row r="315" spans="2:4">
      <c r="B315" s="5"/>
      <c r="C315" t="s">
        <v>2</v>
      </c>
      <c r="D315" s="6"/>
    </row>
    <row r="316" spans="2:4">
      <c r="B316" s="5"/>
      <c r="C316">
        <f>smds!C311</f>
        <v>0</v>
      </c>
      <c r="D316" s="6"/>
    </row>
    <row r="317" spans="2:4">
      <c r="B317" s="5"/>
      <c r="C317" t="str">
        <f ca="1">OFFSET(smds!$A$1,QUOTIENT(ROW()-2,5),1,1,1)</f>
        <v>Courageous Outrider</v>
      </c>
      <c r="D317" t="s">
        <v>3</v>
      </c>
    </row>
    <row r="318" spans="2:4">
      <c r="B318" s="5"/>
      <c r="C318" t="s">
        <v>1</v>
      </c>
      <c r="D318" s="6" t="str">
        <f ca="1">VLOOKUP(OFFSET(smds!$A$1,QUOTIENT(ROW()-2,5),1,1,1),channelfireball!A:C,3,FALSE)</f>
        <v>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v>
      </c>
    </row>
    <row r="319" spans="2:4">
      <c r="B319" s="5"/>
      <c r="C319">
        <f ca="1">VLOOKUP(OFFSET(smds!$A$1,QUOTIENT(ROW()-2,5),1,1,1),channelfireball!A:C,2,FALSE)</f>
        <v>2.5</v>
      </c>
      <c r="D319" s="6"/>
    </row>
    <row r="320" spans="2:4">
      <c r="B320" s="5"/>
      <c r="C320" t="s">
        <v>2</v>
      </c>
      <c r="D320" s="6"/>
    </row>
    <row r="321" spans="2:4">
      <c r="B321" s="5"/>
      <c r="C321">
        <f>smds!C316</f>
        <v>0</v>
      </c>
      <c r="D321" s="6"/>
    </row>
    <row r="322" spans="2:4">
      <c r="B322" s="5"/>
      <c r="C322" t="str">
        <f ca="1">OFFSET(smds!$A$1,QUOTIENT(ROW()-2,5),1,1,1)</f>
        <v>Ruthless Disposal</v>
      </c>
      <c r="D322" t="s">
        <v>3</v>
      </c>
    </row>
    <row r="323" spans="2:4">
      <c r="B323" s="5"/>
      <c r="C323" t="s">
        <v>1</v>
      </c>
      <c r="D323" s="6" t="str">
        <f ca="1">VLOOKUP(OFFSET(smds!$A$1,QUOTIENT(ROW()-2,5),1,1,1),channelfireball!A:C,3,FALSE)</f>
        <v>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v>
      </c>
    </row>
    <row r="324" spans="2:4">
      <c r="B324" s="5"/>
      <c r="C324">
        <f ca="1">VLOOKUP(OFFSET(smds!$A$1,QUOTIENT(ROW()-2,5),1,1,1),channelfireball!A:C,2,FALSE)</f>
        <v>4</v>
      </c>
      <c r="D324" s="6"/>
    </row>
    <row r="325" spans="2:4">
      <c r="B325" s="5"/>
      <c r="C325" t="s">
        <v>2</v>
      </c>
      <c r="D325" s="6"/>
    </row>
    <row r="326" spans="2:4">
      <c r="B326" s="5"/>
      <c r="C326">
        <f>smds!C321</f>
        <v>0</v>
      </c>
      <c r="D326" s="6"/>
    </row>
    <row r="327" spans="2:4">
      <c r="B327" s="5"/>
      <c r="C327" t="str">
        <f ca="1">OFFSET(smds!$A$1,QUOTIENT(ROW()-2,5),1,1,1)</f>
        <v>Noose Constrictor</v>
      </c>
      <c r="D327" t="s">
        <v>3</v>
      </c>
    </row>
    <row r="328" spans="2:4">
      <c r="B328" s="5"/>
      <c r="C328" t="s">
        <v>1</v>
      </c>
      <c r="D328" s="6" t="str">
        <f ca="1">VLOOKUP(OFFSET(smds!$A$1,QUOTIENT(ROW()-2,5),1,1,1),channelfireball!A:C,3,FALSE)</f>
        <v>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v>
      </c>
    </row>
    <row r="329" spans="2:4">
      <c r="B329" s="5"/>
      <c r="C329">
        <f ca="1">VLOOKUP(OFFSET(smds!$A$1,QUOTIENT(ROW()-2,5),1,1,1),channelfireball!A:C,2,FALSE)</f>
        <v>3</v>
      </c>
      <c r="D329" s="6"/>
    </row>
    <row r="330" spans="2:4">
      <c r="B330" s="5"/>
      <c r="C330" t="s">
        <v>2</v>
      </c>
      <c r="D330" s="6"/>
    </row>
    <row r="331" spans="2:4">
      <c r="B331" s="5"/>
      <c r="C331">
        <f>smds!C326</f>
        <v>0</v>
      </c>
      <c r="D331" s="6"/>
    </row>
    <row r="332" spans="2:4">
      <c r="B332" s="5"/>
      <c r="C332" t="str">
        <f ca="1">OFFSET(smds!$A$1,QUOTIENT(ROW()-2,5),1,1,1)</f>
        <v>Shrill Howler</v>
      </c>
      <c r="D332" t="s">
        <v>3</v>
      </c>
    </row>
    <row r="333" spans="2:4">
      <c r="B333" s="5"/>
      <c r="C333" t="s">
        <v>1</v>
      </c>
      <c r="D333" s="6" t="e">
        <f ca="1">VLOOKUP(OFFSET(smds!$A$1,QUOTIENT(ROW()-2,5),1,1,1),channelfireball!A:C,3,FALSE)</f>
        <v>#N/A</v>
      </c>
    </row>
    <row r="334" spans="2:4">
      <c r="B334" s="5"/>
      <c r="C334" t="e">
        <f ca="1">VLOOKUP(OFFSET(smds!$A$1,QUOTIENT(ROW()-2,5),1,1,1),channelfireball!A:C,2,FALSE)</f>
        <v>#N/A</v>
      </c>
      <c r="D334" s="6"/>
    </row>
    <row r="335" spans="2:4">
      <c r="B335" s="5"/>
      <c r="C335" t="s">
        <v>2</v>
      </c>
      <c r="D335" s="6"/>
    </row>
    <row r="336" spans="2:4">
      <c r="B336" s="5"/>
      <c r="C336">
        <f>smds!C331</f>
        <v>0</v>
      </c>
      <c r="D336" s="6"/>
    </row>
    <row r="337" spans="2:4">
      <c r="B337" s="5"/>
      <c r="C337" t="str">
        <f ca="1">OFFSET(smds!$A$1,QUOTIENT(ROW()-2,5),1,1,1)</f>
        <v>Drogskol Shieldmate</v>
      </c>
      <c r="D337" t="s">
        <v>3</v>
      </c>
    </row>
    <row r="338" spans="2:4">
      <c r="B338" s="5"/>
      <c r="C338" t="s">
        <v>1</v>
      </c>
      <c r="D338" s="6" t="str">
        <f ca="1">VLOOKUP(OFFSET(smds!$A$1,QUOTIENT(ROW()-2,5),1,1,1),channelfireball!A:C,3,FALSE)</f>
        <v>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v>
      </c>
    </row>
    <row r="339" spans="2:4">
      <c r="B339" s="5"/>
      <c r="C339">
        <f ca="1">VLOOKUP(OFFSET(smds!$A$1,QUOTIENT(ROW()-2,5),1,1,1),channelfireball!A:C,2,FALSE)</f>
        <v>2</v>
      </c>
      <c r="D339" s="6"/>
    </row>
    <row r="340" spans="2:4">
      <c r="B340" s="5"/>
      <c r="C340" t="s">
        <v>2</v>
      </c>
      <c r="D340" s="6"/>
    </row>
    <row r="341" spans="2:4">
      <c r="B341" s="5"/>
      <c r="C341">
        <f>smds!C336</f>
        <v>0</v>
      </c>
      <c r="D341" s="6"/>
    </row>
    <row r="342" spans="2:4">
      <c r="B342" s="5"/>
      <c r="C342" t="str">
        <f ca="1">OFFSET(smds!$A$1,QUOTIENT(ROW()-2,5),1,1,1)</f>
        <v>Hamlet Captain</v>
      </c>
      <c r="D342" t="s">
        <v>3</v>
      </c>
    </row>
    <row r="343" spans="2:4">
      <c r="B343" s="5"/>
      <c r="C343" t="s">
        <v>1</v>
      </c>
      <c r="D343" s="6" t="str">
        <f ca="1">VLOOKUP(OFFSET(smds!$A$1,QUOTIENT(ROW()-2,5),1,1,1),channelfireball!A:C,3,FALSE)</f>
        <v>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v>
      </c>
    </row>
    <row r="344" spans="2:4">
      <c r="B344" s="5"/>
      <c r="C344">
        <f ca="1">VLOOKUP(OFFSET(smds!$A$1,QUOTIENT(ROW()-2,5),1,1,1),channelfireball!A:C,2,FALSE)</f>
        <v>3</v>
      </c>
      <c r="D344" s="6"/>
    </row>
    <row r="345" spans="2:4">
      <c r="B345" s="5"/>
      <c r="C345" t="s">
        <v>2</v>
      </c>
      <c r="D345" s="6"/>
    </row>
    <row r="346" spans="2:4">
      <c r="B346" s="5"/>
      <c r="C346">
        <f>smds!C341</f>
        <v>0</v>
      </c>
      <c r="D346" s="6"/>
    </row>
    <row r="347" spans="2:4">
      <c r="B347" s="5"/>
      <c r="C347" t="str">
        <f ca="1">OFFSET(smds!$A$1,QUOTIENT(ROW()-2,5),1,1,1)</f>
        <v>Markov Crusader</v>
      </c>
      <c r="D347" t="s">
        <v>3</v>
      </c>
    </row>
    <row r="348" spans="2:4">
      <c r="B348" s="5"/>
      <c r="C348" t="s">
        <v>1</v>
      </c>
      <c r="D348" s="6" t="str">
        <f ca="1">VLOOKUP(OFFSET(smds!$A$1,QUOTIENT(ROW()-2,5),1,1,1),channelfireball!A:C,3,FALSE)</f>
        <v>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v>
      </c>
    </row>
    <row r="349" spans="2:4">
      <c r="B349" s="5"/>
      <c r="C349">
        <f ca="1">VLOOKUP(OFFSET(smds!$A$1,QUOTIENT(ROW()-2,5),1,1,1),channelfireball!A:C,2,FALSE)</f>
        <v>2.5</v>
      </c>
      <c r="D349" s="6"/>
    </row>
    <row r="350" spans="2:4">
      <c r="B350" s="5"/>
      <c r="C350" t="s">
        <v>2</v>
      </c>
      <c r="D350" s="6"/>
    </row>
    <row r="351" spans="2:4">
      <c r="B351" s="5"/>
      <c r="C351">
        <f>smds!C346</f>
        <v>0</v>
      </c>
      <c r="D351" s="6"/>
    </row>
    <row r="352" spans="2:4">
      <c r="B352" s="5"/>
      <c r="C352" t="str">
        <f ca="1">OFFSET(smds!$A$1,QUOTIENT(ROW()-2,5),1,1,1)</f>
        <v>Foul Emissary</v>
      </c>
      <c r="D352" t="s">
        <v>3</v>
      </c>
    </row>
    <row r="353" spans="2:4">
      <c r="B353" s="5"/>
      <c r="C353" t="s">
        <v>1</v>
      </c>
      <c r="D353" s="6" t="str">
        <f ca="1">VLOOKUP(OFFSET(smds!$A$1,QUOTIENT(ROW()-2,5),1,1,1),channelfireball!A:C,3,FALSE)</f>
        <v>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v>
      </c>
    </row>
    <row r="354" spans="2:4">
      <c r="B354" s="5"/>
      <c r="C354">
        <f ca="1">VLOOKUP(OFFSET(smds!$A$1,QUOTIENT(ROW()-2,5),1,1,1),channelfireball!A:C,2,FALSE)</f>
        <v>2.5</v>
      </c>
      <c r="D354" s="6"/>
    </row>
    <row r="355" spans="2:4">
      <c r="B355" s="5"/>
      <c r="C355" t="s">
        <v>2</v>
      </c>
      <c r="D355" s="6"/>
    </row>
    <row r="356" spans="2:4">
      <c r="B356" s="5"/>
      <c r="C356">
        <f>smds!C351</f>
        <v>0</v>
      </c>
      <c r="D356" s="6"/>
    </row>
    <row r="357" spans="2:4">
      <c r="B357" s="5"/>
      <c r="C357" t="str">
        <f ca="1">OFFSET(smds!$A$1,QUOTIENT(ROW()-2,5),1,1,1)</f>
        <v>Conduit of Storms</v>
      </c>
      <c r="D357" t="s">
        <v>3</v>
      </c>
    </row>
    <row r="358" spans="2:4">
      <c r="B358" s="5"/>
      <c r="C358" t="s">
        <v>1</v>
      </c>
      <c r="D358" s="6" t="e">
        <f ca="1">VLOOKUP(OFFSET(smds!$A$1,QUOTIENT(ROW()-2,5),1,1,1),channelfireball!A:C,3,FALSE)</f>
        <v>#N/A</v>
      </c>
    </row>
    <row r="359" spans="2:4">
      <c r="B359" s="5"/>
      <c r="C359" t="e">
        <f ca="1">VLOOKUP(OFFSET(smds!$A$1,QUOTIENT(ROW()-2,5),1,1,1),channelfireball!A:C,2,FALSE)</f>
        <v>#N/A</v>
      </c>
      <c r="D359" s="6"/>
    </row>
    <row r="360" spans="2:4">
      <c r="B360" s="5"/>
      <c r="C360" t="s">
        <v>2</v>
      </c>
      <c r="D360" s="6"/>
    </row>
    <row r="361" spans="2:4">
      <c r="B361" s="5"/>
      <c r="C361">
        <f>smds!C356</f>
        <v>0</v>
      </c>
      <c r="D361" s="6"/>
    </row>
    <row r="362" spans="2:4">
      <c r="B362" s="5"/>
      <c r="C362" t="str">
        <f ca="1">OFFSET(smds!$A$1,QUOTIENT(ROW()-2,5),1,1,1)</f>
        <v>Furyblade Vampire</v>
      </c>
      <c r="D362" t="s">
        <v>3</v>
      </c>
    </row>
    <row r="363" spans="2:4">
      <c r="B363" s="5"/>
      <c r="C363" t="s">
        <v>1</v>
      </c>
      <c r="D363" s="6" t="str">
        <f ca="1">VLOOKUP(OFFSET(smds!$A$1,QUOTIENT(ROW()-2,5),1,1,1),channelfireball!A:C,3,FALSE)</f>
        <v>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v>
      </c>
    </row>
    <row r="364" spans="2:4">
      <c r="B364" s="5"/>
      <c r="C364">
        <f ca="1">VLOOKUP(OFFSET(smds!$A$1,QUOTIENT(ROW()-2,5),1,1,1),channelfireball!A:C,2,FALSE)</f>
        <v>2</v>
      </c>
      <c r="D364" s="6"/>
    </row>
    <row r="365" spans="2:4">
      <c r="B365" s="5"/>
      <c r="C365" t="s">
        <v>2</v>
      </c>
      <c r="D365" s="6"/>
    </row>
    <row r="366" spans="2:4">
      <c r="B366" s="5"/>
      <c r="C366">
        <f>smds!C361</f>
        <v>0</v>
      </c>
      <c r="D366" s="6"/>
    </row>
    <row r="367" spans="2:4">
      <c r="B367" s="5"/>
      <c r="C367" t="str">
        <f ca="1">OFFSET(smds!$A$1,QUOTIENT(ROW()-2,5),1,1,1)</f>
        <v>Galvanic Bombardment</v>
      </c>
      <c r="D367" t="s">
        <v>3</v>
      </c>
    </row>
    <row r="368" spans="2:4">
      <c r="B368" s="5"/>
      <c r="C368" t="s">
        <v>1</v>
      </c>
      <c r="D368" s="6" t="str">
        <f ca="1">VLOOKUP(OFFSET(smds!$A$1,QUOTIENT(ROW()-2,5),1,1,1),channelfireball!A:C,3,FALSE)</f>
        <v>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v>
      </c>
    </row>
    <row r="369" spans="2:4">
      <c r="B369" s="5"/>
      <c r="C369">
        <f ca="1">VLOOKUP(OFFSET(smds!$A$1,QUOTIENT(ROW()-2,5),1,1,1),channelfireball!A:C,2,FALSE)</f>
        <v>3</v>
      </c>
      <c r="D369" s="6"/>
    </row>
    <row r="370" spans="2:4">
      <c r="B370" s="5"/>
      <c r="C370" t="s">
        <v>2</v>
      </c>
      <c r="D370" s="6"/>
    </row>
    <row r="371" spans="2:4">
      <c r="B371" s="5"/>
      <c r="C371">
        <f>smds!C366</f>
        <v>0</v>
      </c>
      <c r="D371" s="6"/>
    </row>
    <row r="372" spans="2:4">
      <c r="B372" s="5"/>
      <c r="C372" t="str">
        <f ca="1">OFFSET(smds!$A$1,QUOTIENT(ROW()-2,5),1,1,1)</f>
        <v>Gnarlwood Dryad</v>
      </c>
      <c r="D372" t="s">
        <v>3</v>
      </c>
    </row>
    <row r="373" spans="2:4">
      <c r="B373" s="5"/>
      <c r="C373" t="s">
        <v>1</v>
      </c>
      <c r="D373" s="6" t="str">
        <f ca="1">VLOOKUP(OFFSET(smds!$A$1,QUOTIENT(ROW()-2,5),1,1,1),channelfireball!A:C,3,FALSE)</f>
        <v>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v>
      </c>
    </row>
    <row r="374" spans="2:4">
      <c r="B374" s="5"/>
      <c r="C374">
        <f ca="1">VLOOKUP(OFFSET(smds!$A$1,QUOTIENT(ROW()-2,5),1,1,1),channelfireball!A:C,2,FALSE)</f>
        <v>2</v>
      </c>
      <c r="D374" s="6"/>
    </row>
    <row r="375" spans="2:4">
      <c r="B375" s="5"/>
      <c r="C375" t="s">
        <v>2</v>
      </c>
      <c r="D375" s="6"/>
    </row>
    <row r="376" spans="2:4">
      <c r="B376" s="5"/>
      <c r="C376">
        <f>smds!C371</f>
        <v>0</v>
      </c>
      <c r="D376" s="6"/>
    </row>
    <row r="377" spans="2:4">
      <c r="B377" s="5"/>
      <c r="C377" t="str">
        <f ca="1">OFFSET(smds!$A$1,QUOTIENT(ROW()-2,5),1,1,1)</f>
        <v>Kessig Prowler</v>
      </c>
      <c r="D377" t="s">
        <v>3</v>
      </c>
    </row>
    <row r="378" spans="2:4">
      <c r="B378" s="5"/>
      <c r="C378" t="s">
        <v>1</v>
      </c>
      <c r="D378" s="6" t="e">
        <f ca="1">VLOOKUP(OFFSET(smds!$A$1,QUOTIENT(ROW()-2,5),1,1,1),channelfireball!A:C,3,FALSE)</f>
        <v>#N/A</v>
      </c>
    </row>
    <row r="379" spans="2:4">
      <c r="B379" s="5"/>
      <c r="C379" t="e">
        <f ca="1">VLOOKUP(OFFSET(smds!$A$1,QUOTIENT(ROW()-2,5),1,1,1),channelfireball!A:C,2,FALSE)</f>
        <v>#N/A</v>
      </c>
      <c r="D379" s="6"/>
    </row>
    <row r="380" spans="2:4">
      <c r="B380" s="5"/>
      <c r="C380" t="s">
        <v>2</v>
      </c>
      <c r="D380" s="6"/>
    </row>
    <row r="381" spans="2:4">
      <c r="B381" s="5"/>
      <c r="C381">
        <f>smds!C376</f>
        <v>0</v>
      </c>
      <c r="D381" s="6"/>
    </row>
    <row r="382" spans="2:4">
      <c r="B382" s="5"/>
      <c r="C382" t="str">
        <f ca="1">OFFSET(smds!$A$1,QUOTIENT(ROW()-2,5),1,1,1)</f>
        <v>Hanweir Battlements</v>
      </c>
      <c r="D382" t="s">
        <v>3</v>
      </c>
    </row>
    <row r="383" spans="2:4">
      <c r="B383" s="5"/>
      <c r="C383" t="s">
        <v>1</v>
      </c>
      <c r="D383" s="6" t="e">
        <f ca="1">VLOOKUP(OFFSET(smds!$A$1,QUOTIENT(ROW()-2,5),1,1,1),channelfireball!A:C,3,FALSE)</f>
        <v>#N/A</v>
      </c>
    </row>
    <row r="384" spans="2:4">
      <c r="B384" s="5"/>
      <c r="C384" t="e">
        <f ca="1">VLOOKUP(OFFSET(smds!$A$1,QUOTIENT(ROW()-2,5),1,1,1),channelfireball!A:C,2,FALSE)</f>
        <v>#N/A</v>
      </c>
      <c r="D384" s="6"/>
    </row>
    <row r="385" spans="2:4">
      <c r="B385" s="5"/>
      <c r="C385" t="s">
        <v>2</v>
      </c>
      <c r="D385" s="6"/>
    </row>
    <row r="386" spans="2:4">
      <c r="B386" s="5"/>
      <c r="C386">
        <f>smds!C381</f>
        <v>0</v>
      </c>
      <c r="D386" s="6"/>
    </row>
    <row r="387" spans="2:4">
      <c r="B387" s="5"/>
      <c r="C387" t="str">
        <f ca="1">OFFSET(smds!$A$1,QUOTIENT(ROW()-2,5),1,1,1)</f>
        <v>Abundant Maw</v>
      </c>
      <c r="D387" t="s">
        <v>3</v>
      </c>
    </row>
    <row r="388" spans="2:4">
      <c r="B388" s="5"/>
      <c r="C388" t="s">
        <v>1</v>
      </c>
      <c r="D388" s="6" t="str">
        <f ca="1">VLOOKUP(OFFSET(smds!$A$1,QUOTIENT(ROW()-2,5),1,1,1),channelfireball!A:C,3,FALSE)</f>
        <v>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v>
      </c>
    </row>
    <row r="389" spans="2:4">
      <c r="B389" s="5"/>
      <c r="C389">
        <f ca="1">VLOOKUP(OFFSET(smds!$A$1,QUOTIENT(ROW()-2,5),1,1,1),channelfireball!A:C,2,FALSE)</f>
        <v>2.5</v>
      </c>
      <c r="D389" s="6"/>
    </row>
    <row r="390" spans="2:4">
      <c r="B390" s="5"/>
      <c r="C390" t="s">
        <v>2</v>
      </c>
      <c r="D390" s="6"/>
    </row>
    <row r="391" spans="2:4">
      <c r="B391" s="5"/>
      <c r="C391">
        <f>smds!C386</f>
        <v>0</v>
      </c>
      <c r="D391" s="6"/>
    </row>
    <row r="392" spans="2:4">
      <c r="B392" s="5"/>
      <c r="C392" t="str">
        <f ca="1">OFFSET(smds!$A$1,QUOTIENT(ROW()-2,5),1,1,1)</f>
        <v>Choking Restraints</v>
      </c>
      <c r="D392" t="s">
        <v>3</v>
      </c>
    </row>
    <row r="393" spans="2:4">
      <c r="B393" s="5"/>
      <c r="C393" t="s">
        <v>1</v>
      </c>
      <c r="D393" s="6" t="str">
        <f ca="1">VLOOKUP(OFFSET(smds!$A$1,QUOTIENT(ROW()-2,5),1,1,1),channelfireball!A:C,3,FALSE)</f>
        <v>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v>
      </c>
    </row>
    <row r="394" spans="2:4">
      <c r="B394" s="5"/>
      <c r="C394">
        <f ca="1">VLOOKUP(OFFSET(smds!$A$1,QUOTIENT(ROW()-2,5),1,1,1),channelfireball!A:C,2,FALSE)</f>
        <v>3.5</v>
      </c>
      <c r="D394" s="6"/>
    </row>
    <row r="395" spans="2:4">
      <c r="B395" s="5"/>
      <c r="C395" t="s">
        <v>2</v>
      </c>
      <c r="D395" s="6"/>
    </row>
    <row r="396" spans="2:4">
      <c r="B396" s="5"/>
      <c r="C396">
        <f>smds!C391</f>
        <v>0</v>
      </c>
      <c r="D396" s="6"/>
    </row>
    <row r="397" spans="2:4">
      <c r="B397" s="5"/>
      <c r="C397" t="str">
        <f ca="1">OFFSET(smds!$A$1,QUOTIENT(ROW()-2,5),1,1,1)</f>
        <v>Cryptolith Fragment</v>
      </c>
      <c r="D397" t="s">
        <v>3</v>
      </c>
    </row>
    <row r="398" spans="2:4">
      <c r="B398" s="5"/>
      <c r="C398" t="s">
        <v>1</v>
      </c>
      <c r="D398" s="6" t="e">
        <f ca="1">VLOOKUP(OFFSET(smds!$A$1,QUOTIENT(ROW()-2,5),1,1,1),channelfireball!A:C,3,FALSE)</f>
        <v>#N/A</v>
      </c>
    </row>
    <row r="399" spans="2:4">
      <c r="B399" s="5"/>
      <c r="C399" t="e">
        <f ca="1">VLOOKUP(OFFSET(smds!$A$1,QUOTIENT(ROW()-2,5),1,1,1),channelfireball!A:C,2,FALSE)</f>
        <v>#N/A</v>
      </c>
      <c r="D399" s="6"/>
    </row>
    <row r="400" spans="2:4">
      <c r="B400" s="5"/>
      <c r="C400" t="s">
        <v>2</v>
      </c>
      <c r="D400" s="6"/>
    </row>
    <row r="401" spans="2:4">
      <c r="B401" s="5"/>
      <c r="C401">
        <f>smds!C396</f>
        <v>0</v>
      </c>
      <c r="D401" s="6"/>
    </row>
    <row r="402" spans="2:4">
      <c r="B402" s="5"/>
      <c r="C402" t="str">
        <f ca="1">OFFSET(smds!$A$1,QUOTIENT(ROW()-2,5),1,1,1)</f>
        <v>Tangleclaw Werewolf</v>
      </c>
      <c r="D402" t="s">
        <v>3</v>
      </c>
    </row>
    <row r="403" spans="2:4">
      <c r="B403" s="5"/>
      <c r="C403" t="s">
        <v>1</v>
      </c>
      <c r="D403" s="6" t="e">
        <f ca="1">VLOOKUP(OFFSET(smds!$A$1,QUOTIENT(ROW()-2,5),1,1,1),channelfireball!A:C,3,FALSE)</f>
        <v>#N/A</v>
      </c>
    </row>
    <row r="404" spans="2:4">
      <c r="B404" s="5"/>
      <c r="C404" t="e">
        <f ca="1">VLOOKUP(OFFSET(smds!$A$1,QUOTIENT(ROW()-2,5),1,1,1),channelfireball!A:C,2,FALSE)</f>
        <v>#N/A</v>
      </c>
      <c r="D404" s="6"/>
    </row>
    <row r="405" spans="2:4">
      <c r="B405" s="5"/>
      <c r="C405" t="s">
        <v>2</v>
      </c>
      <c r="D405" s="6"/>
    </row>
    <row r="406" spans="2:4">
      <c r="B406" s="5"/>
      <c r="C406">
        <f>smds!C401</f>
        <v>0</v>
      </c>
      <c r="D406" s="6"/>
    </row>
    <row r="407" spans="2:4">
      <c r="B407" s="5"/>
      <c r="C407" t="str">
        <f ca="1">OFFSET(smds!$A$1,QUOTIENT(ROW()-2,5),1,1,1)</f>
        <v>Ulvenwald Captive</v>
      </c>
      <c r="D407" t="s">
        <v>3</v>
      </c>
    </row>
    <row r="408" spans="2:4">
      <c r="B408" s="5"/>
      <c r="C408" t="s">
        <v>1</v>
      </c>
      <c r="D408" s="6" t="e">
        <f ca="1">VLOOKUP(OFFSET(smds!$A$1,QUOTIENT(ROW()-2,5),1,1,1),channelfireball!A:C,3,FALSE)</f>
        <v>#N/A</v>
      </c>
    </row>
    <row r="409" spans="2:4">
      <c r="B409" s="5"/>
      <c r="C409" t="e">
        <f ca="1">VLOOKUP(OFFSET(smds!$A$1,QUOTIENT(ROW()-2,5),1,1,1),channelfireball!A:C,2,FALSE)</f>
        <v>#N/A</v>
      </c>
      <c r="D409" s="6"/>
    </row>
    <row r="410" spans="2:4">
      <c r="B410" s="5"/>
      <c r="C410" t="s">
        <v>2</v>
      </c>
      <c r="D410" s="6"/>
    </row>
    <row r="411" spans="2:4">
      <c r="B411" s="5"/>
      <c r="C411">
        <f>smds!C406</f>
        <v>0</v>
      </c>
      <c r="D411" s="6"/>
    </row>
    <row r="412" spans="2:4">
      <c r="B412" s="5"/>
      <c r="C412" t="str">
        <f ca="1">OFFSET(smds!$A$1,QUOTIENT(ROW()-2,5),1,1,1)</f>
        <v>Drownyard Behemoth</v>
      </c>
      <c r="D412" t="s">
        <v>3</v>
      </c>
    </row>
    <row r="413" spans="2:4">
      <c r="B413" s="5"/>
      <c r="C413" t="s">
        <v>1</v>
      </c>
      <c r="D413" s="6" t="str">
        <f ca="1">VLOOKUP(OFFSET(smds!$A$1,QUOTIENT(ROW()-2,5),1,1,1),channelfireball!A:C,3,FALSE)</f>
        <v>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v>
      </c>
    </row>
    <row r="414" spans="2:4">
      <c r="B414" s="5"/>
      <c r="C414">
        <f ca="1">VLOOKUP(OFFSET(smds!$A$1,QUOTIENT(ROW()-2,5),1,1,1),channelfireball!A:C,2,FALSE)</f>
        <v>2.5</v>
      </c>
      <c r="D414" s="6"/>
    </row>
    <row r="415" spans="2:4">
      <c r="B415" s="5"/>
      <c r="C415" t="s">
        <v>2</v>
      </c>
      <c r="D415" s="6"/>
    </row>
    <row r="416" spans="2:4">
      <c r="B416" s="5"/>
      <c r="C416">
        <f>smds!C411</f>
        <v>0</v>
      </c>
      <c r="D416" s="6"/>
    </row>
    <row r="417" spans="2:4">
      <c r="B417" s="5"/>
      <c r="C417" t="str">
        <f ca="1">OFFSET(smds!$A$1,QUOTIENT(ROW()-2,5),1,1,1)</f>
        <v>Vexing Scuttler</v>
      </c>
      <c r="D417" t="s">
        <v>3</v>
      </c>
    </row>
    <row r="418" spans="2:4">
      <c r="B418" s="5"/>
      <c r="C418" t="s">
        <v>1</v>
      </c>
      <c r="D418" s="6" t="str">
        <f ca="1">VLOOKUP(OFFSET(smds!$A$1,QUOTIENT(ROW()-2,5),1,1,1),channelfireball!A:C,3,FALSE)</f>
        <v>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v>
      </c>
    </row>
    <row r="419" spans="2:4">
      <c r="B419" s="5"/>
      <c r="C419">
        <f ca="1">VLOOKUP(OFFSET(smds!$A$1,QUOTIENT(ROW()-2,5),1,1,1),channelfireball!A:C,2,FALSE)</f>
        <v>3.5</v>
      </c>
      <c r="D419" s="6"/>
    </row>
    <row r="420" spans="2:4">
      <c r="B420" s="5"/>
      <c r="C420" t="s">
        <v>2</v>
      </c>
      <c r="D420" s="6"/>
    </row>
    <row r="421" spans="2:4">
      <c r="B421" s="5"/>
      <c r="C421">
        <f>smds!C416</f>
        <v>0</v>
      </c>
      <c r="D421" s="6"/>
    </row>
    <row r="422" spans="2:4">
      <c r="B422" s="5"/>
      <c r="C422" t="str">
        <f ca="1">OFFSET(smds!$A$1,QUOTIENT(ROW()-2,5),1,1,1)</f>
        <v>Sigardian Priest</v>
      </c>
      <c r="D422" t="s">
        <v>3</v>
      </c>
    </row>
    <row r="423" spans="2:4">
      <c r="B423" s="5"/>
      <c r="C423" t="s">
        <v>1</v>
      </c>
      <c r="D423" s="6" t="str">
        <f ca="1">VLOOKUP(OFFSET(smds!$A$1,QUOTIENT(ROW()-2,5),1,1,1),channelfireball!A:C,3,FALSE)</f>
        <v>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v>
      </c>
    </row>
    <row r="424" spans="2:4">
      <c r="B424" s="5"/>
      <c r="C424">
        <f ca="1">VLOOKUP(OFFSET(smds!$A$1,QUOTIENT(ROW()-2,5),1,1,1),channelfireball!A:C,2,FALSE)</f>
        <v>3</v>
      </c>
      <c r="D424" s="6"/>
    </row>
    <row r="425" spans="2:4">
      <c r="B425" s="5"/>
      <c r="C425" t="s">
        <v>2</v>
      </c>
      <c r="D425" s="6"/>
    </row>
    <row r="426" spans="2:4">
      <c r="B426" s="5"/>
      <c r="C426">
        <f>smds!C421</f>
        <v>0</v>
      </c>
      <c r="D426" s="6"/>
    </row>
    <row r="427" spans="2:4">
      <c r="B427" s="5"/>
      <c r="C427" t="str">
        <f ca="1">OFFSET(smds!$A$1,QUOTIENT(ROW()-2,5),1,1,1)</f>
        <v>Geist of the Archives</v>
      </c>
      <c r="D427" t="s">
        <v>3</v>
      </c>
    </row>
    <row r="428" spans="2:4">
      <c r="B428" s="5"/>
      <c r="C428" t="s">
        <v>1</v>
      </c>
      <c r="D428" s="6" t="str">
        <f ca="1">VLOOKUP(OFFSET(smds!$A$1,QUOTIENT(ROW()-2,5),1,1,1),channelfireball!A:C,3,FALSE)</f>
        <v>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v>
      </c>
    </row>
    <row r="429" spans="2:4">
      <c r="B429" s="5"/>
      <c r="C429">
        <f ca="1">VLOOKUP(OFFSET(smds!$A$1,QUOTIENT(ROW()-2,5),1,1,1),channelfireball!A:C,2,FALSE)</f>
        <v>2</v>
      </c>
      <c r="D429" s="6"/>
    </row>
    <row r="430" spans="2:4">
      <c r="B430" s="5"/>
      <c r="C430" t="s">
        <v>2</v>
      </c>
      <c r="D430" s="6"/>
    </row>
    <row r="431" spans="2:4">
      <c r="B431" s="5"/>
      <c r="C431">
        <f>smds!C426</f>
        <v>0</v>
      </c>
      <c r="D431" s="6"/>
    </row>
    <row r="432" spans="2:4">
      <c r="B432" s="5"/>
      <c r="C432" t="str">
        <f ca="1">OFFSET(smds!$A$1,QUOTIENT(ROW()-2,5),1,1,1)</f>
        <v>Liliana's Elite</v>
      </c>
      <c r="D432" t="s">
        <v>3</v>
      </c>
    </row>
    <row r="433" spans="2:4">
      <c r="B433" s="5"/>
      <c r="C433" t="s">
        <v>1</v>
      </c>
      <c r="D433" s="6" t="e">
        <f ca="1">VLOOKUP(OFFSET(smds!$A$1,QUOTIENT(ROW()-2,5),1,1,1),channelfireball!A:C,3,FALSE)</f>
        <v>#N/A</v>
      </c>
    </row>
    <row r="434" spans="2:4">
      <c r="B434" s="5"/>
      <c r="C434" t="e">
        <f ca="1">VLOOKUP(OFFSET(smds!$A$1,QUOTIENT(ROW()-2,5),1,1,1),channelfireball!A:C,2,FALSE)</f>
        <v>#N/A</v>
      </c>
      <c r="D434" s="6"/>
    </row>
    <row r="435" spans="2:4">
      <c r="B435" s="5"/>
      <c r="C435" t="s">
        <v>2</v>
      </c>
      <c r="D435" s="6"/>
    </row>
    <row r="436" spans="2:4">
      <c r="B436" s="5"/>
      <c r="C436">
        <f>smds!C431</f>
        <v>0</v>
      </c>
      <c r="D436" s="6"/>
    </row>
    <row r="437" spans="2:4">
      <c r="B437" s="5"/>
      <c r="C437" t="str">
        <f ca="1">OFFSET(smds!$A$1,QUOTIENT(ROW()-2,5),1,1,1)</f>
        <v>Midnight Scavengers</v>
      </c>
      <c r="D437" t="s">
        <v>3</v>
      </c>
    </row>
    <row r="438" spans="2:4">
      <c r="B438" s="5"/>
      <c r="C438" t="s">
        <v>1</v>
      </c>
      <c r="D438" s="6" t="e">
        <f ca="1">VLOOKUP(OFFSET(smds!$A$1,QUOTIENT(ROW()-2,5),1,1,1),channelfireball!A:C,3,FALSE)</f>
        <v>#N/A</v>
      </c>
    </row>
    <row r="439" spans="2:4">
      <c r="B439" s="5"/>
      <c r="C439" t="e">
        <f ca="1">VLOOKUP(OFFSET(smds!$A$1,QUOTIENT(ROW()-2,5),1,1,1),channelfireball!A:C,2,FALSE)</f>
        <v>#N/A</v>
      </c>
      <c r="D439" s="6"/>
    </row>
    <row r="440" spans="2:4">
      <c r="B440" s="5"/>
      <c r="C440" t="s">
        <v>2</v>
      </c>
      <c r="D440" s="6"/>
    </row>
    <row r="441" spans="2:4">
      <c r="B441" s="5"/>
      <c r="C441">
        <f>smds!C436</f>
        <v>0</v>
      </c>
      <c r="D441" s="6"/>
    </row>
    <row r="442" spans="2:4">
      <c r="B442" s="5"/>
      <c r="C442" t="str">
        <f ca="1">OFFSET(smds!$A$1,QUOTIENT(ROW()-2,5),1,1,1)</f>
        <v>Grizzled Angler</v>
      </c>
      <c r="D442" t="s">
        <v>3</v>
      </c>
    </row>
    <row r="443" spans="2:4">
      <c r="B443" s="5"/>
      <c r="C443" t="s">
        <v>1</v>
      </c>
      <c r="D443" s="6" t="e">
        <f ca="1">VLOOKUP(OFFSET(smds!$A$1,QUOTIENT(ROW()-2,5),1,1,1),channelfireball!A:C,3,FALSE)</f>
        <v>#N/A</v>
      </c>
    </row>
    <row r="444" spans="2:4">
      <c r="B444" s="5"/>
      <c r="C444" t="e">
        <f ca="1">VLOOKUP(OFFSET(smds!$A$1,QUOTIENT(ROW()-2,5),1,1,1),channelfireball!A:C,2,FALSE)</f>
        <v>#N/A</v>
      </c>
      <c r="D444" s="6"/>
    </row>
    <row r="445" spans="2:4">
      <c r="B445" s="5"/>
      <c r="C445" t="s">
        <v>2</v>
      </c>
      <c r="D445" s="6"/>
    </row>
    <row r="446" spans="2:4">
      <c r="B446" s="5"/>
      <c r="C446">
        <f>smds!C441</f>
        <v>0</v>
      </c>
      <c r="D446" s="6"/>
    </row>
    <row r="447" spans="2:4">
      <c r="B447" s="5"/>
      <c r="C447" t="str">
        <f ca="1">OFFSET(smds!$A$1,QUOTIENT(ROW()-2,5),1,1,1)</f>
        <v>Boon of Emrakul</v>
      </c>
      <c r="D447" t="s">
        <v>3</v>
      </c>
    </row>
    <row r="448" spans="2:4">
      <c r="B448" s="5"/>
      <c r="C448" t="s">
        <v>1</v>
      </c>
      <c r="D448" s="6" t="str">
        <f ca="1">VLOOKUP(OFFSET(smds!$A$1,QUOTIENT(ROW()-2,5),1,1,1),channelfireball!A:C,3,FALSE)</f>
        <v>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v>
      </c>
    </row>
    <row r="449" spans="2:4">
      <c r="B449" s="5"/>
      <c r="C449">
        <f ca="1">VLOOKUP(OFFSET(smds!$A$1,QUOTIENT(ROW()-2,5),1,1,1),channelfireball!A:C,2,FALSE)</f>
        <v>2.5</v>
      </c>
      <c r="D449" s="6"/>
    </row>
    <row r="450" spans="2:4">
      <c r="B450" s="5"/>
      <c r="C450" t="s">
        <v>2</v>
      </c>
      <c r="D450" s="6"/>
    </row>
    <row r="451" spans="2:4">
      <c r="B451" s="5"/>
      <c r="C451">
        <f>smds!C446</f>
        <v>0</v>
      </c>
      <c r="D451" s="6"/>
    </row>
    <row r="452" spans="2:4">
      <c r="B452" s="5"/>
      <c r="C452" t="str">
        <f ca="1">OFFSET(smds!$A$1,QUOTIENT(ROW()-2,5),1,1,1)</f>
        <v>Dusk Feaster</v>
      </c>
      <c r="D452" t="s">
        <v>3</v>
      </c>
    </row>
    <row r="453" spans="2:4">
      <c r="B453" s="5"/>
      <c r="C453" t="s">
        <v>1</v>
      </c>
      <c r="D453" s="6" t="str">
        <f ca="1">VLOOKUP(OFFSET(smds!$A$1,QUOTIENT(ROW()-2,5),1,1,1),channelfireball!A:C,3,FALSE)</f>
        <v>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v>
      </c>
    </row>
    <row r="454" spans="2:4">
      <c r="B454" s="5"/>
      <c r="C454">
        <f ca="1">VLOOKUP(OFFSET(smds!$A$1,QUOTIENT(ROW()-2,5),1,1,1),channelfireball!A:C,2,FALSE)</f>
        <v>2.5</v>
      </c>
      <c r="D454" s="6"/>
    </row>
    <row r="455" spans="2:4">
      <c r="B455" s="5"/>
      <c r="C455" t="s">
        <v>2</v>
      </c>
      <c r="D455" s="6"/>
    </row>
    <row r="456" spans="2:4">
      <c r="B456" s="5"/>
      <c r="C456">
        <f>smds!C451</f>
        <v>0</v>
      </c>
      <c r="D456" s="6"/>
    </row>
    <row r="457" spans="2:4">
      <c r="B457" s="5"/>
      <c r="C457" t="str">
        <f ca="1">OFFSET(smds!$A$1,QUOTIENT(ROW()-2,5),1,1,1)</f>
        <v>Deranged Whelp</v>
      </c>
      <c r="D457" t="s">
        <v>3</v>
      </c>
    </row>
    <row r="458" spans="2:4">
      <c r="B458" s="5"/>
      <c r="C458" t="s">
        <v>1</v>
      </c>
      <c r="D458" s="6" t="e">
        <f ca="1">VLOOKUP(OFFSET(smds!$A$1,QUOTIENT(ROW()-2,5),1,1,1),channelfireball!A:C,3,FALSE)</f>
        <v>#N/A</v>
      </c>
    </row>
    <row r="459" spans="2:4">
      <c r="B459" s="5"/>
      <c r="C459" t="e">
        <f ca="1">VLOOKUP(OFFSET(smds!$A$1,QUOTIENT(ROW()-2,5),1,1,1),channelfireball!A:C,2,FALSE)</f>
        <v>#N/A</v>
      </c>
      <c r="D459" s="6"/>
    </row>
    <row r="460" spans="2:4">
      <c r="B460" s="5"/>
      <c r="C460" t="s">
        <v>2</v>
      </c>
      <c r="D460" s="6"/>
    </row>
    <row r="461" spans="2:4">
      <c r="B461" s="5"/>
      <c r="C461">
        <f>smds!C456</f>
        <v>0</v>
      </c>
      <c r="D461" s="6"/>
    </row>
    <row r="462" spans="2:4">
      <c r="B462" s="5"/>
      <c r="C462" t="str">
        <f ca="1">OFFSET(smds!$A$1,QUOTIENT(ROW()-2,5),1,1,1)</f>
        <v>Curious Homunculus</v>
      </c>
      <c r="D462" t="s">
        <v>3</v>
      </c>
    </row>
    <row r="463" spans="2:4">
      <c r="B463" s="5"/>
      <c r="C463" t="s">
        <v>1</v>
      </c>
      <c r="D463" s="6" t="e">
        <f ca="1">VLOOKUP(OFFSET(smds!$A$1,QUOTIENT(ROW()-2,5),1,1,1),channelfireball!A:C,3,FALSE)</f>
        <v>#N/A</v>
      </c>
    </row>
    <row r="464" spans="2:4">
      <c r="B464" s="5"/>
      <c r="C464" t="e">
        <f ca="1">VLOOKUP(OFFSET(smds!$A$1,QUOTIENT(ROW()-2,5),1,1,1),channelfireball!A:C,2,FALSE)</f>
        <v>#N/A</v>
      </c>
      <c r="D464" s="6"/>
    </row>
    <row r="465" spans="2:4">
      <c r="B465" s="5"/>
      <c r="C465" t="s">
        <v>2</v>
      </c>
      <c r="D465" s="6"/>
    </row>
    <row r="466" spans="2:4">
      <c r="B466" s="5"/>
      <c r="C466">
        <f>smds!C461</f>
        <v>0</v>
      </c>
      <c r="D466" s="6"/>
    </row>
    <row r="467" spans="2:4">
      <c r="B467" s="5"/>
      <c r="C467" t="str">
        <f ca="1">OFFSET(smds!$A$1,QUOTIENT(ROW()-2,5),1,1,1)</f>
        <v>Olivia's Dragoon</v>
      </c>
      <c r="D467" t="s">
        <v>3</v>
      </c>
    </row>
    <row r="468" spans="2:4">
      <c r="B468" s="5"/>
      <c r="C468" t="s">
        <v>1</v>
      </c>
      <c r="D468" s="6" t="e">
        <f ca="1">VLOOKUP(OFFSET(smds!$A$1,QUOTIENT(ROW()-2,5),1,1,1),channelfireball!A:C,3,FALSE)</f>
        <v>#N/A</v>
      </c>
    </row>
    <row r="469" spans="2:4">
      <c r="B469" s="5"/>
      <c r="C469" t="e">
        <f ca="1">VLOOKUP(OFFSET(smds!$A$1,QUOTIENT(ROW()-2,5),1,1,1),channelfireball!A:C,2,FALSE)</f>
        <v>#N/A</v>
      </c>
      <c r="D469" s="6"/>
    </row>
    <row r="470" spans="2:4">
      <c r="B470" s="5"/>
      <c r="C470" t="s">
        <v>2</v>
      </c>
      <c r="D470" s="6"/>
    </row>
    <row r="471" spans="2:4">
      <c r="B471" s="5"/>
      <c r="C471">
        <f>smds!C466</f>
        <v>0</v>
      </c>
      <c r="D471" s="6"/>
    </row>
    <row r="472" spans="2:4">
      <c r="B472" s="5"/>
      <c r="C472" t="str">
        <f ca="1">OFFSET(smds!$A$1,QUOTIENT(ROW()-2,5),1,1,1)</f>
        <v>Alchemist's Greeting</v>
      </c>
      <c r="D472" t="s">
        <v>3</v>
      </c>
    </row>
    <row r="473" spans="2:4">
      <c r="B473" s="5"/>
      <c r="C473" t="s">
        <v>1</v>
      </c>
      <c r="D473" s="6" t="e">
        <f ca="1">VLOOKUP(OFFSET(smds!$A$1,QUOTIENT(ROW()-2,5),1,1,1),channelfireball!A:C,3,FALSE)</f>
        <v>#N/A</v>
      </c>
    </row>
    <row r="474" spans="2:4">
      <c r="B474" s="5"/>
      <c r="C474" t="e">
        <f ca="1">VLOOKUP(OFFSET(smds!$A$1,QUOTIENT(ROW()-2,5),1,1,1),channelfireball!A:C,2,FALSE)</f>
        <v>#N/A</v>
      </c>
      <c r="D474" s="6"/>
    </row>
    <row r="475" spans="2:4">
      <c r="B475" s="5"/>
      <c r="C475" t="s">
        <v>2</v>
      </c>
      <c r="D475" s="6"/>
    </row>
    <row r="476" spans="2:4">
      <c r="B476" s="5"/>
      <c r="C476">
        <f>smds!C471</f>
        <v>0</v>
      </c>
      <c r="D476" s="6"/>
    </row>
    <row r="477" spans="2:4">
      <c r="B477" s="5"/>
      <c r="C477" t="str">
        <f ca="1">OFFSET(smds!$A$1,QUOTIENT(ROW()-2,5),1,1,1)</f>
        <v>Insatiable Gorgers</v>
      </c>
      <c r="D477" t="s">
        <v>3</v>
      </c>
    </row>
    <row r="478" spans="2:4">
      <c r="B478" s="5"/>
      <c r="C478" t="s">
        <v>1</v>
      </c>
      <c r="D478" s="6" t="str">
        <f ca="1">VLOOKUP(OFFSET(smds!$A$1,QUOTIENT(ROW()-2,5),1,1,1),channelfireball!A:C,3,FALSE)</f>
        <v>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v>
      </c>
    </row>
    <row r="479" spans="2:4">
      <c r="B479" s="5"/>
      <c r="C479">
        <f ca="1">VLOOKUP(OFFSET(smds!$A$1,QUOTIENT(ROW()-2,5),1,1,1),channelfireball!A:C,2,FALSE)</f>
        <v>2.5</v>
      </c>
      <c r="D479" s="6"/>
    </row>
    <row r="480" spans="2:4">
      <c r="B480" s="5"/>
      <c r="C480" t="s">
        <v>2</v>
      </c>
      <c r="D480" s="6"/>
    </row>
    <row r="481" spans="2:4">
      <c r="B481" s="5"/>
      <c r="C481">
        <f>smds!C476</f>
        <v>0</v>
      </c>
      <c r="D481" s="6"/>
    </row>
    <row r="482" spans="2:4">
      <c r="B482" s="5"/>
      <c r="C482" t="str">
        <f ca="1">OFFSET(smds!$A$1,QUOTIENT(ROW()-2,5),1,1,1)</f>
        <v>Wretched Gryff</v>
      </c>
      <c r="D482" t="s">
        <v>3</v>
      </c>
    </row>
    <row r="483" spans="2:4">
      <c r="B483" s="5"/>
      <c r="C483" t="s">
        <v>1</v>
      </c>
      <c r="D483" s="6" t="str">
        <f ca="1">VLOOKUP(OFFSET(smds!$A$1,QUOTIENT(ROW()-2,5),1,1,1),channelfireball!A:C,3,FALSE)</f>
        <v>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v>
      </c>
    </row>
    <row r="484" spans="2:4">
      <c r="B484" s="5"/>
      <c r="C484">
        <f ca="1">VLOOKUP(OFFSET(smds!$A$1,QUOTIENT(ROW()-2,5),1,1,1),channelfireball!A:C,2,FALSE)</f>
        <v>3</v>
      </c>
      <c r="D484" s="6"/>
    </row>
    <row r="485" spans="2:4">
      <c r="B485" s="5"/>
      <c r="C485" t="s">
        <v>2</v>
      </c>
      <c r="D485" s="6"/>
    </row>
    <row r="486" spans="2:4">
      <c r="B486" s="5"/>
      <c r="C486">
        <f>smds!C481</f>
        <v>0</v>
      </c>
      <c r="D486" s="6"/>
    </row>
    <row r="487" spans="2:4">
      <c r="B487" s="5"/>
      <c r="C487" t="str">
        <f ca="1">OFFSET(smds!$A$1,QUOTIENT(ROW()-2,5),1,1,1)</f>
        <v>Desperate Sentry</v>
      </c>
      <c r="D487" t="s">
        <v>3</v>
      </c>
    </row>
    <row r="488" spans="2:4">
      <c r="B488" s="5"/>
      <c r="C488" t="s">
        <v>1</v>
      </c>
      <c r="D488" s="6" t="str">
        <f ca="1">VLOOKUP(OFFSET(smds!$A$1,QUOTIENT(ROW()-2,5),1,1,1),channelfireball!A:C,3,FALSE)</f>
        <v>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v>
      </c>
    </row>
    <row r="489" spans="2:4">
      <c r="B489" s="5"/>
      <c r="C489">
        <f ca="1">VLOOKUP(OFFSET(smds!$A$1,QUOTIENT(ROW()-2,5),1,1,1),channelfireball!A:C,2,FALSE)</f>
        <v>2</v>
      </c>
      <c r="D489" s="6"/>
    </row>
    <row r="490" spans="2:4">
      <c r="B490" s="5"/>
      <c r="C490" t="s">
        <v>2</v>
      </c>
      <c r="D490" s="6"/>
    </row>
    <row r="491" spans="2:4">
      <c r="B491" s="5"/>
      <c r="C491">
        <f>smds!C486</f>
        <v>0</v>
      </c>
      <c r="D491" s="6"/>
    </row>
    <row r="492" spans="2:4">
      <c r="B492" s="5"/>
      <c r="C492" t="str">
        <f ca="1">OFFSET(smds!$A$1,QUOTIENT(ROW()-2,5),1,1,1)</f>
        <v>Geist of the Lonely Vigil</v>
      </c>
      <c r="D492" t="s">
        <v>3</v>
      </c>
    </row>
    <row r="493" spans="2:4">
      <c r="B493" s="5"/>
      <c r="C493" t="s">
        <v>1</v>
      </c>
      <c r="D493" s="6" t="str">
        <f ca="1">VLOOKUP(OFFSET(smds!$A$1,QUOTIENT(ROW()-2,5),1,1,1),channelfireball!A:C,3,FALSE)</f>
        <v>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v>
      </c>
    </row>
    <row r="494" spans="2:4">
      <c r="B494" s="5"/>
      <c r="C494">
        <f ca="1">VLOOKUP(OFFSET(smds!$A$1,QUOTIENT(ROW()-2,5),1,1,1),channelfireball!A:C,2,FALSE)</f>
        <v>1</v>
      </c>
      <c r="D494" s="6"/>
    </row>
    <row r="495" spans="2:4">
      <c r="B495" s="5"/>
      <c r="C495" t="s">
        <v>2</v>
      </c>
      <c r="D495" s="6"/>
    </row>
    <row r="496" spans="2:4">
      <c r="B496" s="5"/>
      <c r="C496">
        <f>smds!C491</f>
        <v>0</v>
      </c>
      <c r="D496" s="6"/>
    </row>
    <row r="497" spans="2:4">
      <c r="B497" s="5"/>
      <c r="C497" t="str">
        <f ca="1">OFFSET(smds!$A$1,QUOTIENT(ROW()-2,5),1,1,1)</f>
        <v>Chilling Grasp</v>
      </c>
      <c r="D497" t="s">
        <v>3</v>
      </c>
    </row>
    <row r="498" spans="2:4">
      <c r="B498" s="5"/>
      <c r="C498" t="s">
        <v>1</v>
      </c>
      <c r="D498" s="6" t="str">
        <f ca="1">VLOOKUP(OFFSET(smds!$A$1,QUOTIENT(ROW()-2,5),1,1,1),channelfireball!A:C,3,FALSE)</f>
        <v>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v>
      </c>
    </row>
    <row r="499" spans="2:4">
      <c r="B499" s="5"/>
      <c r="C499">
        <f ca="1">VLOOKUP(OFFSET(smds!$A$1,QUOTIENT(ROW()-2,5),1,1,1),channelfireball!A:C,2,FALSE)</f>
        <v>2.5</v>
      </c>
      <c r="D499" s="6"/>
    </row>
    <row r="500" spans="2:4">
      <c r="B500" s="5"/>
      <c r="C500" t="s">
        <v>2</v>
      </c>
      <c r="D500" s="6"/>
    </row>
    <row r="501" spans="2:4">
      <c r="B501" s="5"/>
      <c r="C501">
        <f>smds!C496</f>
        <v>0</v>
      </c>
      <c r="D501" s="6"/>
    </row>
    <row r="502" spans="2:4">
      <c r="B502" s="5"/>
      <c r="C502" t="str">
        <f ca="1">OFFSET(smds!$A$1,QUOTIENT(ROW()-2,5),1,1,1)</f>
        <v>Brazen Wolves</v>
      </c>
      <c r="D502" t="s">
        <v>3</v>
      </c>
    </row>
    <row r="503" spans="2:4">
      <c r="B503" s="5"/>
      <c r="C503" t="s">
        <v>1</v>
      </c>
      <c r="D503" s="6" t="str">
        <f ca="1">VLOOKUP(OFFSET(smds!$A$1,QUOTIENT(ROW()-2,5),1,1,1),channelfireball!A:C,3,FALSE)</f>
        <v>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v>
      </c>
    </row>
    <row r="504" spans="2:4">
      <c r="B504" s="5"/>
      <c r="C504">
        <f ca="1">VLOOKUP(OFFSET(smds!$A$1,QUOTIENT(ROW()-2,5),1,1,1),channelfireball!A:C,2,FALSE)</f>
        <v>2.5</v>
      </c>
      <c r="D504" s="6"/>
    </row>
    <row r="505" spans="2:4">
      <c r="B505" s="5"/>
      <c r="C505" t="s">
        <v>2</v>
      </c>
      <c r="D505" s="6"/>
    </row>
    <row r="506" spans="2:4">
      <c r="B506" s="5"/>
      <c r="C506">
        <f>smds!C501</f>
        <v>0</v>
      </c>
      <c r="D506" s="6"/>
    </row>
    <row r="507" spans="2:4">
      <c r="B507" s="5"/>
      <c r="C507" t="str">
        <f ca="1">OFFSET(smds!$A$1,QUOTIENT(ROW()-2,5),1,1,1)</f>
        <v>Spreading Flames</v>
      </c>
      <c r="D507" t="s">
        <v>3</v>
      </c>
    </row>
    <row r="508" spans="2:4">
      <c r="B508" s="5"/>
      <c r="C508" t="s">
        <v>1</v>
      </c>
      <c r="D508" s="6" t="str">
        <f ca="1">VLOOKUP(OFFSET(smds!$A$1,QUOTIENT(ROW()-2,5),1,1,1),channelfireball!A:C,3,FALSE)</f>
        <v>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v>
      </c>
    </row>
    <row r="509" spans="2:4">
      <c r="B509" s="5"/>
      <c r="C509">
        <f ca="1">VLOOKUP(OFFSET(smds!$A$1,QUOTIENT(ROW()-2,5),1,1,1),channelfireball!A:C,2,FALSE)</f>
        <v>2</v>
      </c>
      <c r="D509" s="6"/>
    </row>
    <row r="510" spans="2:4">
      <c r="B510" s="5"/>
      <c r="C510" t="s">
        <v>2</v>
      </c>
      <c r="D510" s="6"/>
    </row>
    <row r="511" spans="2:4">
      <c r="B511" s="5"/>
      <c r="C511">
        <f>smds!C506</f>
        <v>0</v>
      </c>
      <c r="D511" s="6"/>
    </row>
    <row r="512" spans="2:4">
      <c r="B512" s="5"/>
      <c r="C512" t="str">
        <f ca="1">OFFSET(smds!$A$1,QUOTIENT(ROW()-2,5),1,1,1)</f>
        <v>Weaver of Lightning</v>
      </c>
      <c r="D512" t="s">
        <v>3</v>
      </c>
    </row>
    <row r="513" spans="2:4">
      <c r="B513" s="5"/>
      <c r="C513" t="s">
        <v>1</v>
      </c>
      <c r="D513" s="6" t="str">
        <f ca="1">VLOOKUP(OFFSET(smds!$A$1,QUOTIENT(ROW()-2,5),1,1,1),channelfireball!A:C,3,FALSE)</f>
        <v>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v>
      </c>
    </row>
    <row r="514" spans="2:4">
      <c r="B514" s="5"/>
      <c r="C514">
        <f ca="1">VLOOKUP(OFFSET(smds!$A$1,QUOTIENT(ROW()-2,5),1,1,1),channelfireball!A:C,2,FALSE)</f>
        <v>3</v>
      </c>
      <c r="D514" s="6"/>
    </row>
    <row r="515" spans="2:4">
      <c r="B515" s="5"/>
      <c r="C515" t="s">
        <v>2</v>
      </c>
      <c r="D515" s="6"/>
    </row>
    <row r="516" spans="2:4">
      <c r="B516" s="5"/>
      <c r="C516">
        <f>smds!C511</f>
        <v>0</v>
      </c>
      <c r="D516" s="6"/>
    </row>
    <row r="517" spans="2:4">
      <c r="B517" s="5"/>
      <c r="C517" t="str">
        <f ca="1">OFFSET(smds!$A$1,QUOTIENT(ROW()-2,5),1,1,1)</f>
        <v>Tattered Haunter</v>
      </c>
      <c r="D517" t="s">
        <v>3</v>
      </c>
    </row>
    <row r="518" spans="2:4">
      <c r="B518" s="5"/>
      <c r="C518" t="s">
        <v>1</v>
      </c>
      <c r="D518" s="6" t="str">
        <f ca="1">VLOOKUP(OFFSET(smds!$A$1,QUOTIENT(ROW()-2,5),1,1,1),channelfireball!A:C,3,FALSE)</f>
        <v>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v>
      </c>
    </row>
    <row r="519" spans="2:4">
      <c r="B519" s="5"/>
      <c r="C519">
        <f ca="1">VLOOKUP(OFFSET(smds!$A$1,QUOTIENT(ROW()-2,5),1,1,1),channelfireball!A:C,2,FALSE)</f>
        <v>2.5</v>
      </c>
      <c r="D519" s="6"/>
    </row>
    <row r="520" spans="2:4">
      <c r="B520" s="5"/>
      <c r="C520" t="s">
        <v>2</v>
      </c>
      <c r="D520" s="6"/>
    </row>
    <row r="521" spans="2:4">
      <c r="B521" s="5"/>
      <c r="C521">
        <f>smds!C516</f>
        <v>0</v>
      </c>
      <c r="D521" s="6"/>
    </row>
    <row r="522" spans="2:4">
      <c r="B522" s="5"/>
      <c r="C522" t="str">
        <f ca="1">OFFSET(smds!$A$1,QUOTIENT(ROW()-2,5),1,1,1)</f>
        <v>Unsubstantiate</v>
      </c>
      <c r="D522" t="s">
        <v>3</v>
      </c>
    </row>
    <row r="523" spans="2:4">
      <c r="B523" s="5"/>
      <c r="C523" t="s">
        <v>1</v>
      </c>
      <c r="D523" s="6" t="str">
        <f ca="1">VLOOKUP(OFFSET(smds!$A$1,QUOTIENT(ROW()-2,5),1,1,1),channelfireball!A:C,3,FALSE)</f>
        <v>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v>
      </c>
    </row>
    <row r="524" spans="2:4">
      <c r="B524" s="5"/>
      <c r="C524">
        <f ca="1">VLOOKUP(OFFSET(smds!$A$1,QUOTIENT(ROW()-2,5),1,1,1),channelfireball!A:C,2,FALSE)</f>
        <v>2.5</v>
      </c>
      <c r="D524" s="6"/>
    </row>
    <row r="525" spans="2:4">
      <c r="B525" s="5"/>
      <c r="C525" t="s">
        <v>2</v>
      </c>
      <c r="D525" s="6"/>
    </row>
    <row r="526" spans="2:4">
      <c r="B526" s="5"/>
      <c r="C526">
        <f>smds!C521</f>
        <v>0</v>
      </c>
      <c r="D526" s="6"/>
    </row>
    <row r="527" spans="2:4">
      <c r="B527" s="5"/>
      <c r="C527" t="str">
        <f ca="1">OFFSET(smds!$A$1,QUOTIENT(ROW()-2,5),1,1,1)</f>
        <v>Graf Rats</v>
      </c>
      <c r="D527" t="s">
        <v>3</v>
      </c>
    </row>
    <row r="528" spans="2:4">
      <c r="B528" s="5"/>
      <c r="C528" t="s">
        <v>1</v>
      </c>
      <c r="D528" s="6" t="e">
        <f ca="1">VLOOKUP(OFFSET(smds!$A$1,QUOTIENT(ROW()-2,5),1,1,1),channelfireball!A:C,3,FALSE)</f>
        <v>#N/A</v>
      </c>
    </row>
    <row r="529" spans="2:4">
      <c r="B529" s="5"/>
      <c r="C529" t="e">
        <f ca="1">VLOOKUP(OFFSET(smds!$A$1,QUOTIENT(ROW()-2,5),1,1,1),channelfireball!A:C,2,FALSE)</f>
        <v>#N/A</v>
      </c>
      <c r="D529" s="6"/>
    </row>
    <row r="530" spans="2:4">
      <c r="B530" s="5"/>
      <c r="C530" t="s">
        <v>2</v>
      </c>
      <c r="D530" s="6"/>
    </row>
    <row r="531" spans="2:4">
      <c r="B531" s="5"/>
      <c r="C531">
        <f>smds!C526</f>
        <v>0</v>
      </c>
      <c r="D531" s="6"/>
    </row>
    <row r="532" spans="2:4">
      <c r="B532" s="5"/>
      <c r="C532" t="str">
        <f ca="1">OFFSET(smds!$A$1,QUOTIENT(ROW()-2,5),1,1,1)</f>
        <v>Blood Mist</v>
      </c>
      <c r="D532" t="s">
        <v>3</v>
      </c>
    </row>
    <row r="533" spans="2:4">
      <c r="B533" s="5"/>
      <c r="C533" t="s">
        <v>1</v>
      </c>
      <c r="D533" s="6" t="str">
        <f ca="1">VLOOKUP(OFFSET(smds!$A$1,QUOTIENT(ROW()-2,5),1,1,1),channelfireball!A:C,3,FALSE)</f>
        <v>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v>
      </c>
    </row>
    <row r="534" spans="2:4">
      <c r="B534" s="5"/>
      <c r="C534">
        <f ca="1">VLOOKUP(OFFSET(smds!$A$1,QUOTIENT(ROW()-2,5),1,1,1),channelfireball!A:C,2,FALSE)</f>
        <v>1.5</v>
      </c>
      <c r="D534" s="6"/>
    </row>
    <row r="535" spans="2:4">
      <c r="B535" s="5"/>
      <c r="C535" t="s">
        <v>2</v>
      </c>
      <c r="D535" s="6"/>
    </row>
    <row r="536" spans="2:4">
      <c r="B536" s="5"/>
      <c r="C536">
        <f>smds!C531</f>
        <v>0</v>
      </c>
      <c r="D536" s="6"/>
    </row>
    <row r="537" spans="2:4">
      <c r="B537" s="5"/>
      <c r="C537" t="str">
        <f ca="1">OFFSET(smds!$A$1,QUOTIENT(ROW()-2,5),1,1,1)</f>
        <v>Prey Upon</v>
      </c>
      <c r="D537" t="s">
        <v>3</v>
      </c>
    </row>
    <row r="538" spans="2:4">
      <c r="B538" s="5"/>
      <c r="C538" t="s">
        <v>1</v>
      </c>
      <c r="D538" s="6" t="str">
        <f ca="1">VLOOKUP(OFFSET(smds!$A$1,QUOTIENT(ROW()-2,5),1,1,1),channelfireball!A:C,3,FALSE)</f>
        <v>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v>
      </c>
    </row>
    <row r="539" spans="2:4">
      <c r="B539" s="5"/>
      <c r="C539">
        <f ca="1">VLOOKUP(OFFSET(smds!$A$1,QUOTIENT(ROW()-2,5),1,1,1),channelfireball!A:C,2,FALSE)</f>
        <v>3</v>
      </c>
      <c r="D539" s="6"/>
    </row>
    <row r="540" spans="2:4">
      <c r="B540" s="5"/>
      <c r="C540" t="s">
        <v>2</v>
      </c>
      <c r="D540" s="6"/>
    </row>
    <row r="541" spans="2:4">
      <c r="B541" s="5"/>
      <c r="C541">
        <f>smds!C536</f>
        <v>0</v>
      </c>
      <c r="D541" s="6"/>
    </row>
    <row r="542" spans="2:4">
      <c r="B542" s="5"/>
      <c r="C542" t="str">
        <f ca="1">OFFSET(smds!$A$1,QUOTIENT(ROW()-2,5),1,1,1)</f>
        <v>Soul Separator</v>
      </c>
      <c r="D542" t="s">
        <v>3</v>
      </c>
    </row>
    <row r="543" spans="2:4">
      <c r="B543" s="5"/>
      <c r="C543" t="s">
        <v>1</v>
      </c>
      <c r="D543" s="6" t="str">
        <f ca="1">VLOOKUP(OFFSET(smds!$A$1,QUOTIENT(ROW()-2,5),1,1,1),channelfireball!A:C,3,FALSE)</f>
        <v>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v>
      </c>
    </row>
    <row r="544" spans="2:4">
      <c r="B544" s="5"/>
      <c r="C544">
        <f ca="1">VLOOKUP(OFFSET(smds!$A$1,QUOTIENT(ROW()-2,5),1,1,1),channelfireball!A:C,2,FALSE)</f>
        <v>1</v>
      </c>
      <c r="D544" s="6"/>
    </row>
    <row r="545" spans="2:4">
      <c r="B545" s="5"/>
      <c r="C545" t="s">
        <v>2</v>
      </c>
      <c r="D545" s="6"/>
    </row>
    <row r="546" spans="2:4">
      <c r="B546" s="5"/>
      <c r="C546">
        <f>smds!C541</f>
        <v>0</v>
      </c>
      <c r="D546" s="6"/>
    </row>
    <row r="547" spans="2:4">
      <c r="B547" s="5"/>
      <c r="C547" t="str">
        <f ca="1">OFFSET(smds!$A$1,QUOTIENT(ROW()-2,5),1,1,1)</f>
        <v>Mockery of Nature</v>
      </c>
      <c r="D547" t="s">
        <v>3</v>
      </c>
    </row>
    <row r="548" spans="2:4">
      <c r="B548" s="5"/>
      <c r="C548" t="s">
        <v>1</v>
      </c>
      <c r="D548" s="6" t="str">
        <f ca="1">VLOOKUP(OFFSET(smds!$A$1,QUOTIENT(ROW()-2,5),1,1,1),channelfireball!A:C,3,FALSE)</f>
        <v>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v>
      </c>
    </row>
    <row r="549" spans="2:4">
      <c r="B549" s="5"/>
      <c r="C549">
        <f ca="1">VLOOKUP(OFFSET(smds!$A$1,QUOTIENT(ROW()-2,5),1,1,1),channelfireball!A:C,2,FALSE)</f>
        <v>2.5</v>
      </c>
      <c r="D549" s="6"/>
    </row>
    <row r="550" spans="2:4">
      <c r="B550" s="5"/>
      <c r="C550" t="s">
        <v>2</v>
      </c>
      <c r="D550" s="6"/>
    </row>
    <row r="551" spans="2:4">
      <c r="B551" s="5"/>
      <c r="C551">
        <f>smds!C546</f>
        <v>0</v>
      </c>
      <c r="D551" s="6"/>
    </row>
    <row r="552" spans="2:4">
      <c r="B552" s="5"/>
      <c r="C552" t="str">
        <f ca="1">OFFSET(smds!$A$1,QUOTIENT(ROW()-2,5),1,1,1)</f>
        <v>Dawn Gryff</v>
      </c>
      <c r="D552" t="s">
        <v>3</v>
      </c>
    </row>
    <row r="553" spans="2:4">
      <c r="B553" s="5"/>
      <c r="C553" t="s">
        <v>1</v>
      </c>
      <c r="D553" s="6" t="str">
        <f ca="1">VLOOKUP(OFFSET(smds!$A$1,QUOTIENT(ROW()-2,5),1,1,1),channelfireball!A:C,3,FALSE)</f>
        <v>Wind Drake is an oldie but a goodie. Dawn Gryff also fits white’s theme of evasive beatdown, and is good in a deck with equipment or other ways to buff creatures. This is a solid card, but might once in a while get cut from more defensive white decks.</v>
      </c>
    </row>
    <row r="554" spans="2:4">
      <c r="B554" s="5"/>
      <c r="C554">
        <f ca="1">VLOOKUP(OFFSET(smds!$A$1,QUOTIENT(ROW()-2,5),1,1,1),channelfireball!A:C,2,FALSE)</f>
        <v>2</v>
      </c>
      <c r="D554" s="6"/>
    </row>
    <row r="555" spans="2:4">
      <c r="B555" s="5"/>
      <c r="C555" t="s">
        <v>2</v>
      </c>
      <c r="D555" s="6"/>
    </row>
    <row r="556" spans="2:4">
      <c r="B556" s="5"/>
      <c r="C556">
        <f>smds!C551</f>
        <v>0</v>
      </c>
      <c r="D556" s="6"/>
    </row>
    <row r="557" spans="2:4">
      <c r="B557" s="5"/>
      <c r="C557" t="str">
        <f ca="1">OFFSET(smds!$A$1,QUOTIENT(ROW()-2,5),1,1,1)</f>
        <v>Ingenious Skaab</v>
      </c>
      <c r="D557" t="s">
        <v>3</v>
      </c>
    </row>
    <row r="558" spans="2:4">
      <c r="B558" s="5"/>
      <c r="C558" t="s">
        <v>1</v>
      </c>
      <c r="D558" s="6" t="str">
        <f ca="1">VLOOKUP(OFFSET(smds!$A$1,QUOTIENT(ROW()-2,5),1,1,1),channelfireball!A:C,3,FALSE)</f>
        <v>Ingenious Skaab is a very solid body that can hit quite hard if it goes unblocked and you have even a single noncreature spell to cast. In a color lacking a premium common removal spell, Ingenious Skaab could easily be among the best commons.</v>
      </c>
    </row>
    <row r="559" spans="2:4">
      <c r="B559" s="5"/>
      <c r="C559">
        <f ca="1">VLOOKUP(OFFSET(smds!$A$1,QUOTIENT(ROW()-2,5),1,1,1),channelfireball!A:C,2,FALSE)</f>
        <v>2.5</v>
      </c>
      <c r="D559" s="6"/>
    </row>
    <row r="560" spans="2:4">
      <c r="B560" s="5"/>
      <c r="C560" t="s">
        <v>2</v>
      </c>
      <c r="D560" s="6"/>
    </row>
    <row r="561" spans="2:4">
      <c r="B561" s="5"/>
      <c r="C561">
        <f>smds!C556</f>
        <v>0</v>
      </c>
      <c r="D561" s="6"/>
    </row>
    <row r="562" spans="2:4">
      <c r="B562" s="5"/>
      <c r="C562" t="str">
        <f ca="1">OFFSET(smds!$A$1,QUOTIENT(ROW()-2,5),1,1,1)</f>
        <v>Abandon Reason</v>
      </c>
      <c r="D562" t="s">
        <v>3</v>
      </c>
    </row>
    <row r="563" spans="2:4">
      <c r="B563" s="5"/>
      <c r="C563" t="s">
        <v>1</v>
      </c>
      <c r="D563" s="6" t="str">
        <f ca="1">VLOOKUP(OFFSET(smds!$A$1,QUOTIENT(ROW()-2,5),1,1,1),channelfireball!A:C,3,FALSE)</f>
        <v>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v>
      </c>
    </row>
    <row r="564" spans="2:4">
      <c r="B564" s="5"/>
      <c r="C564">
        <f ca="1">VLOOKUP(OFFSET(smds!$A$1,QUOTIENT(ROW()-2,5),1,1,1),channelfireball!A:C,2,FALSE)</f>
        <v>2</v>
      </c>
      <c r="D564" s="6"/>
    </row>
    <row r="565" spans="2:4">
      <c r="B565" s="5"/>
      <c r="C565" t="s">
        <v>2</v>
      </c>
      <c r="D565" s="6"/>
    </row>
    <row r="566" spans="2:4">
      <c r="B566" s="5"/>
      <c r="C566">
        <f>smds!C561</f>
        <v>0</v>
      </c>
      <c r="D566" s="6"/>
    </row>
    <row r="567" spans="2:4">
      <c r="B567" s="5"/>
      <c r="C567" t="str">
        <f ca="1">OFFSET(smds!$A$1,QUOTIENT(ROW()-2,5),1,1,1)</f>
        <v>Vildin-Pack Outcast</v>
      </c>
      <c r="D567" t="s">
        <v>3</v>
      </c>
    </row>
    <row r="568" spans="2:4">
      <c r="B568" s="5"/>
      <c r="C568" t="s">
        <v>1</v>
      </c>
      <c r="D568" s="6" t="e">
        <f ca="1">VLOOKUP(OFFSET(smds!$A$1,QUOTIENT(ROW()-2,5),1,1,1),channelfireball!A:C,3,FALSE)</f>
        <v>#N/A</v>
      </c>
    </row>
    <row r="569" spans="2:4">
      <c r="B569" s="5"/>
      <c r="C569" t="e">
        <f ca="1">VLOOKUP(OFFSET(smds!$A$1,QUOTIENT(ROW()-2,5),1,1,1),channelfireball!A:C,2,FALSE)</f>
        <v>#N/A</v>
      </c>
      <c r="D569" s="6"/>
    </row>
    <row r="570" spans="2:4">
      <c r="B570" s="5"/>
      <c r="C570" t="s">
        <v>2</v>
      </c>
      <c r="D570" s="6"/>
    </row>
    <row r="571" spans="2:4">
      <c r="B571" s="5"/>
      <c r="C571">
        <f>smds!C566</f>
        <v>0</v>
      </c>
      <c r="D571" s="6"/>
    </row>
    <row r="572" spans="2:4">
      <c r="B572" s="5"/>
      <c r="C572" t="str">
        <f ca="1">OFFSET(smds!$A$1,QUOTIENT(ROW()-2,5),1,1,1)</f>
        <v>Lashweed Lurker</v>
      </c>
      <c r="D572" t="s">
        <v>3</v>
      </c>
    </row>
    <row r="573" spans="2:4">
      <c r="B573" s="5"/>
      <c r="C573" t="s">
        <v>1</v>
      </c>
      <c r="D573" s="6" t="str">
        <f ca="1">VLOOKUP(OFFSET(smds!$A$1,QUOTIENT(ROW()-2,5),1,1,1),channelfireball!A:C,3,FALSE)</f>
        <v>Having a multicolored emerge cost makes Lashweed Lurker slightly more difficult to use well. But the power level is still definitely there, as it has a large, immediate impact on the board, and won’t leave you down on card advantage even when paying the emerge cost.</v>
      </c>
    </row>
    <row r="574" spans="2:4">
      <c r="B574" s="5"/>
      <c r="C574">
        <f ca="1">VLOOKUP(OFFSET(smds!$A$1,QUOTIENT(ROW()-2,5),1,1,1),channelfireball!A:C,2,FALSE)</f>
        <v>3</v>
      </c>
      <c r="D574" s="6"/>
    </row>
    <row r="575" spans="2:4">
      <c r="B575" s="5"/>
      <c r="C575" t="s">
        <v>2</v>
      </c>
      <c r="D575" s="6"/>
    </row>
    <row r="576" spans="2:4">
      <c r="B576" s="5"/>
      <c r="C576">
        <f>smds!C571</f>
        <v>0</v>
      </c>
      <c r="D576" s="6"/>
    </row>
    <row r="577" spans="2:4">
      <c r="B577" s="5"/>
      <c r="C577" t="str">
        <f ca="1">OFFSET(smds!$A$1,QUOTIENT(ROW()-2,5),1,1,1)</f>
        <v>Faithbearer Paladin</v>
      </c>
      <c r="D577" t="s">
        <v>3</v>
      </c>
    </row>
    <row r="578" spans="2:4">
      <c r="B578" s="5"/>
      <c r="C578" t="s">
        <v>1</v>
      </c>
      <c r="D578" s="6" t="str">
        <f ca="1">VLOOKUP(OFFSET(smds!$A$1,QUOTIENT(ROW()-2,5),1,1,1),channelfireball!A:C,3,FALSE)</f>
        <v>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v>
      </c>
    </row>
    <row r="579" spans="2:4">
      <c r="B579" s="5"/>
      <c r="C579">
        <f ca="1">VLOOKUP(OFFSET(smds!$A$1,QUOTIENT(ROW()-2,5),1,1,1),channelfireball!A:C,2,FALSE)</f>
        <v>1.5</v>
      </c>
      <c r="D579" s="6"/>
    </row>
    <row r="580" spans="2:4">
      <c r="B580" s="5"/>
      <c r="C580" t="s">
        <v>2</v>
      </c>
      <c r="D580" s="6"/>
    </row>
    <row r="581" spans="2:4">
      <c r="B581" s="5"/>
      <c r="C581">
        <f>smds!C576</f>
        <v>0</v>
      </c>
      <c r="D581" s="6"/>
    </row>
    <row r="582" spans="2:4">
      <c r="B582" s="5"/>
      <c r="C582" t="str">
        <f ca="1">OFFSET(smds!$A$1,QUOTIENT(ROW()-2,5),1,1,1)</f>
        <v>Fiend Binder</v>
      </c>
      <c r="D582" t="s">
        <v>3</v>
      </c>
    </row>
    <row r="583" spans="2:4">
      <c r="B583" s="5"/>
      <c r="C583" t="s">
        <v>1</v>
      </c>
      <c r="D583" s="6" t="str">
        <f ca="1">VLOOKUP(OFFSET(smds!$A$1,QUOTIENT(ROW()-2,5),1,1,1),channelfireball!A:C,3,FALSE)</f>
        <v>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v>
      </c>
    </row>
    <row r="584" spans="2:4">
      <c r="B584" s="5"/>
      <c r="C584">
        <f ca="1">VLOOKUP(OFFSET(smds!$A$1,QUOTIENT(ROW()-2,5),1,1,1),channelfireball!A:C,2,FALSE)</f>
        <v>1.5</v>
      </c>
      <c r="D584" s="6"/>
    </row>
    <row r="585" spans="2:4">
      <c r="B585" s="5"/>
      <c r="C585" t="s">
        <v>2</v>
      </c>
      <c r="D585" s="6"/>
    </row>
    <row r="586" spans="2:4">
      <c r="B586" s="5"/>
      <c r="C586">
        <f>smds!C581</f>
        <v>0</v>
      </c>
      <c r="D586" s="6"/>
    </row>
    <row r="587" spans="2:4">
      <c r="B587" s="5"/>
      <c r="C587" t="str">
        <f ca="1">OFFSET(smds!$A$1,QUOTIENT(ROW()-2,5),1,1,1)</f>
        <v>Guardian of Pilgrims</v>
      </c>
      <c r="D587" t="s">
        <v>3</v>
      </c>
    </row>
    <row r="588" spans="2:4">
      <c r="B588" s="5"/>
      <c r="C588" t="s">
        <v>1</v>
      </c>
      <c r="D588" s="6" t="str">
        <f ca="1">VLOOKUP(OFFSET(smds!$A$1,QUOTIENT(ROW()-2,5),1,1,1),channelfireball!A:C,3,FALSE)</f>
        <v>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v>
      </c>
    </row>
    <row r="589" spans="2:4">
      <c r="B589" s="5"/>
      <c r="C589">
        <f ca="1">VLOOKUP(OFFSET(smds!$A$1,QUOTIENT(ROW()-2,5),1,1,1),channelfireball!A:C,2,FALSE)</f>
        <v>2.5</v>
      </c>
      <c r="D589" s="6"/>
    </row>
    <row r="590" spans="2:4">
      <c r="B590" s="5"/>
      <c r="C590" t="s">
        <v>2</v>
      </c>
      <c r="D590" s="6"/>
    </row>
    <row r="591" spans="2:4">
      <c r="B591" s="5"/>
      <c r="C591">
        <f>smds!C586</f>
        <v>0</v>
      </c>
      <c r="D591" s="6"/>
    </row>
    <row r="592" spans="2:4">
      <c r="B592" s="5"/>
      <c r="C592" t="str">
        <f ca="1">OFFSET(smds!$A$1,QUOTIENT(ROW()-2,5),1,1,1)</f>
        <v>Ironclad Slayer</v>
      </c>
      <c r="D592" t="s">
        <v>3</v>
      </c>
    </row>
    <row r="593" spans="2:4">
      <c r="B593" s="5"/>
      <c r="C593" t="s">
        <v>1</v>
      </c>
      <c r="D593" s="6" t="str">
        <f ca="1">VLOOKUP(OFFSET(smds!$A$1,QUOTIENT(ROW()-2,5),1,1,1),channelfireball!A:C,3,FALSE)</f>
        <v>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v>
      </c>
    </row>
    <row r="594" spans="2:4">
      <c r="B594" s="5"/>
      <c r="C594">
        <f ca="1">VLOOKUP(OFFSET(smds!$A$1,QUOTIENT(ROW()-2,5),1,1,1),channelfireball!A:C,2,FALSE)</f>
        <v>2</v>
      </c>
      <c r="D594" s="6"/>
    </row>
    <row r="595" spans="2:4">
      <c r="B595" s="5"/>
      <c r="C595" t="s">
        <v>2</v>
      </c>
      <c r="D595" s="6"/>
    </row>
    <row r="596" spans="2:4">
      <c r="B596" s="5"/>
      <c r="C596">
        <f>smds!C591</f>
        <v>0</v>
      </c>
      <c r="D596" s="6"/>
    </row>
    <row r="597" spans="2:4">
      <c r="B597" s="5"/>
      <c r="C597" t="str">
        <f ca="1">OFFSET(smds!$A$1,QUOTIENT(ROW()-2,5),1,1,1)</f>
        <v>Steadfast Cathar</v>
      </c>
      <c r="D597" t="s">
        <v>3</v>
      </c>
    </row>
    <row r="598" spans="2:4">
      <c r="B598" s="5"/>
      <c r="C598" t="s">
        <v>1</v>
      </c>
      <c r="D598" s="6" t="str">
        <f ca="1">VLOOKUP(OFFSET(smds!$A$1,QUOTIENT(ROW()-2,5),1,1,1),channelfireball!A:C,3,FALSE)</f>
        <v>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v>
      </c>
    </row>
    <row r="599" spans="2:4">
      <c r="B599" s="5"/>
      <c r="C599">
        <f ca="1">VLOOKUP(OFFSET(smds!$A$1,QUOTIENT(ROW()-2,5),1,1,1),channelfireball!A:C,2,FALSE)</f>
        <v>2</v>
      </c>
      <c r="D599" s="6"/>
    </row>
    <row r="600" spans="2:4">
      <c r="B600" s="5"/>
      <c r="C600" t="s">
        <v>2</v>
      </c>
      <c r="D600" s="6"/>
    </row>
    <row r="601" spans="2:4">
      <c r="B601" s="5"/>
      <c r="C601">
        <f>smds!C596</f>
        <v>0</v>
      </c>
      <c r="D601" s="6"/>
    </row>
    <row r="602" spans="2:4">
      <c r="B602" s="5"/>
      <c r="C602" t="str">
        <f ca="1">OFFSET(smds!$A$1,QUOTIENT(ROW()-2,5),1,1,1)</f>
        <v>Graf Harvest</v>
      </c>
      <c r="D602" t="s">
        <v>3</v>
      </c>
    </row>
    <row r="603" spans="2:4">
      <c r="B603" s="5"/>
      <c r="C603" t="s">
        <v>1</v>
      </c>
      <c r="D603" s="6" t="str">
        <f ca="1">VLOOKUP(OFFSET(smds!$A$1,QUOTIENT(ROW()-2,5),1,1,1),channelfireball!A:C,3,FALSE)</f>
        <v>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v>
      </c>
    </row>
    <row r="604" spans="2:4">
      <c r="B604" s="5"/>
      <c r="C604">
        <f ca="1">VLOOKUP(OFFSET(smds!$A$1,QUOTIENT(ROW()-2,5),1,1,1),channelfireball!A:C,2,FALSE)</f>
        <v>1.5</v>
      </c>
      <c r="D604" s="6"/>
    </row>
    <row r="605" spans="2:4">
      <c r="B605" s="5"/>
      <c r="C605" t="s">
        <v>2</v>
      </c>
      <c r="D605" s="6"/>
    </row>
    <row r="606" spans="2:4">
      <c r="B606" s="5"/>
      <c r="C606">
        <f>smds!C601</f>
        <v>0</v>
      </c>
      <c r="D606" s="6"/>
    </row>
    <row r="607" spans="2:4">
      <c r="B607" s="5"/>
      <c r="C607" t="str">
        <f ca="1">OFFSET(smds!$A$1,QUOTIENT(ROW()-2,5),1,1,1)</f>
        <v>Rise from the Grave</v>
      </c>
      <c r="D607" t="s">
        <v>3</v>
      </c>
    </row>
    <row r="608" spans="2:4">
      <c r="B608" s="5"/>
      <c r="C608" t="s">
        <v>1</v>
      </c>
      <c r="D608" s="6" t="str">
        <f ca="1">VLOOKUP(OFFSET(smds!$A$1,QUOTIENT(ROW()-2,5),1,1,1),channelfireball!A:C,3,FALSE)</f>
        <v>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v>
      </c>
    </row>
    <row r="609" spans="2:4">
      <c r="B609" s="5"/>
      <c r="C609">
        <f ca="1">VLOOKUP(OFFSET(smds!$A$1,QUOTIENT(ROW()-2,5),1,1,1),channelfireball!A:C,2,FALSE)</f>
        <v>2.5</v>
      </c>
      <c r="D609" s="6"/>
    </row>
    <row r="610" spans="2:4">
      <c r="B610" s="5"/>
      <c r="C610" t="s">
        <v>2</v>
      </c>
      <c r="D610" s="6"/>
    </row>
    <row r="611" spans="2:4">
      <c r="B611" s="5"/>
      <c r="C611">
        <f>smds!C606</f>
        <v>0</v>
      </c>
      <c r="D611" s="6"/>
    </row>
    <row r="612" spans="2:4">
      <c r="B612" s="5"/>
      <c r="C612" t="str">
        <f ca="1">OFFSET(smds!$A$1,QUOTIENT(ROW()-2,5),1,1,1)</f>
        <v>Thraben Foulbloods</v>
      </c>
      <c r="D612" t="s">
        <v>3</v>
      </c>
    </row>
    <row r="613" spans="2:4">
      <c r="B613" s="5"/>
      <c r="C613" t="s">
        <v>1</v>
      </c>
      <c r="D613" s="6" t="str">
        <f ca="1">VLOOKUP(OFFSET(smds!$A$1,QUOTIENT(ROW()-2,5),1,1,1),channelfireball!A:C,3,FALSE)</f>
        <v>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v>
      </c>
    </row>
    <row r="614" spans="2:4">
      <c r="B614" s="5"/>
      <c r="C614">
        <f ca="1">VLOOKUP(OFFSET(smds!$A$1,QUOTIENT(ROW()-2,5),1,1,1),channelfireball!A:C,2,FALSE)</f>
        <v>2</v>
      </c>
      <c r="D614" s="6"/>
    </row>
    <row r="615" spans="2:4">
      <c r="B615" s="5"/>
      <c r="C615" t="s">
        <v>2</v>
      </c>
      <c r="D615" s="6"/>
    </row>
    <row r="616" spans="2:4">
      <c r="B616" s="5"/>
      <c r="C616">
        <f>smds!C611</f>
        <v>0</v>
      </c>
      <c r="D616" s="6"/>
    </row>
    <row r="617" spans="2:4">
      <c r="B617" s="5"/>
      <c r="C617" t="str">
        <f ca="1">OFFSET(smds!$A$1,QUOTIENT(ROW()-2,5),1,1,1)</f>
        <v>Vampire Cutthroat</v>
      </c>
      <c r="D617" t="s">
        <v>3</v>
      </c>
    </row>
    <row r="618" spans="2:4">
      <c r="B618" s="5"/>
      <c r="C618" t="s">
        <v>1</v>
      </c>
      <c r="D618" s="6" t="str">
        <f ca="1">VLOOKUP(OFFSET(smds!$A$1,QUOTIENT(ROW()-2,5),1,1,1),channelfireball!A:C,3,FALSE)</f>
        <v>Standing alone, Vampire Cutthroat is too low-impact to be a good Limited card, but it’s efficient enough that if you have Vampire tribal synergies, or good equipment and Auras that need to be carried, then this is a card you might get excited about.</v>
      </c>
    </row>
    <row r="619" spans="2:4">
      <c r="B619" s="5"/>
      <c r="C619">
        <f ca="1">VLOOKUP(OFFSET(smds!$A$1,QUOTIENT(ROW()-2,5),1,1,1),channelfireball!A:C,2,FALSE)</f>
        <v>1.5</v>
      </c>
      <c r="D619" s="6"/>
    </row>
    <row r="620" spans="2:4">
      <c r="B620" s="5"/>
      <c r="C620" t="s">
        <v>2</v>
      </c>
      <c r="D620" s="6"/>
    </row>
    <row r="621" spans="2:4">
      <c r="B621" s="5"/>
      <c r="C621">
        <f>smds!C616</f>
        <v>0</v>
      </c>
      <c r="D621" s="6"/>
    </row>
    <row r="622" spans="2:4">
      <c r="B622" s="5"/>
      <c r="C622" t="str">
        <f ca="1">OFFSET(smds!$A$1,QUOTIENT(ROW()-2,5),1,1,1)</f>
        <v>Thermo-Alchemist</v>
      </c>
      <c r="D622" t="s">
        <v>3</v>
      </c>
    </row>
    <row r="623" spans="2:4">
      <c r="B623" s="5"/>
      <c r="C623" t="s">
        <v>1</v>
      </c>
      <c r="D623" s="6" t="str">
        <f ca="1">VLOOKUP(OFFSET(smds!$A$1,QUOTIENT(ROW()-2,5),1,1,1),channelfireball!A:C,3,FALSE)</f>
        <v>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v>
      </c>
    </row>
    <row r="624" spans="2:4">
      <c r="B624" s="5"/>
      <c r="C624">
        <f ca="1">VLOOKUP(OFFSET(smds!$A$1,QUOTIENT(ROW()-2,5),1,1,1),channelfireball!A:C,2,FALSE)</f>
        <v>2.5</v>
      </c>
      <c r="D624" s="6"/>
    </row>
    <row r="625" spans="2:4">
      <c r="B625" s="5"/>
      <c r="C625" t="s">
        <v>2</v>
      </c>
      <c r="D625" s="6"/>
    </row>
    <row r="626" spans="2:4">
      <c r="B626" s="5"/>
      <c r="C626">
        <f>smds!C621</f>
        <v>0</v>
      </c>
      <c r="D626" s="6"/>
    </row>
    <row r="627" spans="2:4">
      <c r="B627" s="5"/>
      <c r="C627" t="str">
        <f ca="1">OFFSET(smds!$A$1,QUOTIENT(ROW()-2,5),1,1,1)</f>
        <v>Backwoods Survivalists</v>
      </c>
      <c r="D627" t="s">
        <v>3</v>
      </c>
    </row>
    <row r="628" spans="2:4">
      <c r="B628" s="5"/>
      <c r="C628" t="s">
        <v>1</v>
      </c>
      <c r="D628" s="6" t="str">
        <f ca="1">VLOOKUP(OFFSET(smds!$A$1,QUOTIENT(ROW()-2,5),1,1,1),channelfireball!A:C,3,FALSE)</f>
        <v>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v>
      </c>
    </row>
    <row r="629" spans="2:4">
      <c r="B629" s="5"/>
      <c r="C629">
        <f ca="1">VLOOKUP(OFFSET(smds!$A$1,QUOTIENT(ROW()-2,5),1,1,1),channelfireball!A:C,2,FALSE)</f>
        <v>2.5</v>
      </c>
      <c r="D629" s="6"/>
    </row>
    <row r="630" spans="2:4">
      <c r="B630" s="5"/>
      <c r="C630" t="s">
        <v>2</v>
      </c>
      <c r="D630" s="6"/>
    </row>
    <row r="631" spans="2:4">
      <c r="B631" s="5"/>
      <c r="C631">
        <f>smds!C626</f>
        <v>0</v>
      </c>
      <c r="D631" s="6"/>
    </row>
    <row r="632" spans="2:4">
      <c r="B632" s="5"/>
      <c r="C632" t="str">
        <f ca="1">OFFSET(smds!$A$1,QUOTIENT(ROW()-2,5),1,1,1)</f>
        <v>Woodland Patrol</v>
      </c>
      <c r="D632" t="s">
        <v>3</v>
      </c>
    </row>
    <row r="633" spans="2:4">
      <c r="B633" s="5"/>
      <c r="C633" t="s">
        <v>1</v>
      </c>
      <c r="D633" s="6" t="str">
        <f ca="1">VLOOKUP(OFFSET(smds!$A$1,QUOTIENT(ROW()-2,5),1,1,1),channelfireball!A:C,3,FALSE)</f>
        <v>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v>
      </c>
    </row>
    <row r="634" spans="2:4">
      <c r="B634" s="5"/>
      <c r="C634">
        <f ca="1">VLOOKUP(OFFSET(smds!$A$1,QUOTIENT(ROW()-2,5),1,1,1),channelfireball!A:C,2,FALSE)</f>
        <v>1.5</v>
      </c>
      <c r="D634" s="6"/>
    </row>
    <row r="635" spans="2:4">
      <c r="B635" s="5"/>
      <c r="C635" t="s">
        <v>2</v>
      </c>
      <c r="D635" s="6"/>
    </row>
    <row r="636" spans="2:4">
      <c r="B636" s="5"/>
      <c r="C636">
        <f>smds!C631</f>
        <v>0</v>
      </c>
      <c r="D636" s="6"/>
    </row>
    <row r="637" spans="2:4">
      <c r="B637" s="5"/>
      <c r="C637" t="str">
        <f ca="1">OFFSET(smds!$A$1,QUOTIENT(ROW()-2,5),1,1,1)</f>
        <v>Mercurial Geists</v>
      </c>
      <c r="D637" t="s">
        <v>3</v>
      </c>
    </row>
    <row r="638" spans="2:4">
      <c r="B638" s="5"/>
      <c r="C638" t="s">
        <v>1</v>
      </c>
      <c r="D638" s="6" t="str">
        <f ca="1">VLOOKUP(OFFSET(smds!$A$1,QUOTIENT(ROW()-2,5),1,1,1),channelfireball!A:C,3,FALSE)</f>
        <v>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v>
      </c>
    </row>
    <row r="639" spans="2:4">
      <c r="B639" s="5"/>
      <c r="C639">
        <f ca="1">VLOOKUP(OFFSET(smds!$A$1,QUOTIENT(ROW()-2,5),1,1,1),channelfireball!A:C,2,FALSE)</f>
        <v>3</v>
      </c>
      <c r="D639" s="6"/>
    </row>
    <row r="640" spans="2:4">
      <c r="B640" s="5"/>
      <c r="C640" t="s">
        <v>2</v>
      </c>
      <c r="D640" s="6"/>
    </row>
    <row r="641" spans="2:4">
      <c r="B641" s="5"/>
      <c r="C641">
        <f>smds!C636</f>
        <v>0</v>
      </c>
      <c r="D641" s="6"/>
    </row>
    <row r="642" spans="2:4">
      <c r="B642" s="5"/>
      <c r="C642" t="str">
        <f ca="1">OFFSET(smds!$A$1,QUOTIENT(ROW()-2,5),1,1,1)</f>
        <v>It of the Horrid Swarm</v>
      </c>
      <c r="D642" t="s">
        <v>3</v>
      </c>
    </row>
    <row r="643" spans="2:4">
      <c r="B643" s="5"/>
      <c r="C643" t="s">
        <v>1</v>
      </c>
      <c r="D643" s="6" t="str">
        <f ca="1">VLOOKUP(OFFSET(smds!$A$1,QUOTIENT(ROW()-2,5),1,1,1),channelfireball!A:C,3,FALSE)</f>
        <v>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v>
      </c>
    </row>
    <row r="644" spans="2:4">
      <c r="B644" s="5"/>
      <c r="C644">
        <f ca="1">VLOOKUP(OFFSET(smds!$A$1,QUOTIENT(ROW()-2,5),1,1,1),channelfireball!A:C,2,FALSE)</f>
        <v>2.5</v>
      </c>
      <c r="D644" s="6"/>
    </row>
    <row r="645" spans="2:4">
      <c r="B645" s="5"/>
      <c r="C645" t="s">
        <v>2</v>
      </c>
      <c r="D645" s="6"/>
    </row>
    <row r="646" spans="2:4">
      <c r="B646" s="5"/>
      <c r="C646">
        <f>smds!C641</f>
        <v>0</v>
      </c>
      <c r="D646" s="6"/>
    </row>
    <row r="647" spans="2:4">
      <c r="B647" s="5"/>
      <c r="C647" t="str">
        <f ca="1">OFFSET(smds!$A$1,QUOTIENT(ROW()-2,5),1,1,1)</f>
        <v>Borrowed Grace</v>
      </c>
      <c r="D647" t="s">
        <v>3</v>
      </c>
    </row>
    <row r="648" spans="2:4">
      <c r="B648" s="5"/>
      <c r="C648" t="s">
        <v>1</v>
      </c>
      <c r="D648" s="6" t="str">
        <f ca="1">VLOOKUP(OFFSET(smds!$A$1,QUOTIENT(ROW()-2,5),1,1,1),channelfireball!A:C,3,FALSE)</f>
        <v>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v>
      </c>
    </row>
    <row r="649" spans="2:4">
      <c r="B649" s="5"/>
      <c r="C649">
        <f ca="1">VLOOKUP(OFFSET(smds!$A$1,QUOTIENT(ROW()-2,5),1,1,1),channelfireball!A:C,2,FALSE)</f>
        <v>2</v>
      </c>
      <c r="D649" s="6"/>
    </row>
    <row r="650" spans="2:4">
      <c r="B650" s="5"/>
      <c r="C650" t="s">
        <v>2</v>
      </c>
      <c r="D650" s="6"/>
    </row>
    <row r="651" spans="2:4">
      <c r="B651" s="5"/>
      <c r="C651">
        <f>smds!C646</f>
        <v>0</v>
      </c>
      <c r="D651" s="6"/>
    </row>
    <row r="652" spans="2:4">
      <c r="B652" s="5"/>
      <c r="C652" t="str">
        <f ca="1">OFFSET(smds!$A$1,QUOTIENT(ROW()-2,5),1,1,1)</f>
        <v>Give No Ground</v>
      </c>
      <c r="D652" t="s">
        <v>3</v>
      </c>
    </row>
    <row r="653" spans="2:4">
      <c r="B653" s="5"/>
      <c r="C653" t="s">
        <v>1</v>
      </c>
      <c r="D653" s="6" t="str">
        <f ca="1">VLOOKUP(OFFSET(smds!$A$1,QUOTIENT(ROW()-2,5),1,1,1),channelfireball!A:C,3,FALSE)</f>
        <v>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v>
      </c>
    </row>
    <row r="654" spans="2:4">
      <c r="B654" s="5"/>
      <c r="C654">
        <f ca="1">VLOOKUP(OFFSET(smds!$A$1,QUOTIENT(ROW()-2,5),1,1,1),channelfireball!A:C,2,FALSE)</f>
        <v>1</v>
      </c>
      <c r="D654" s="6"/>
    </row>
    <row r="655" spans="2:4">
      <c r="B655" s="5"/>
      <c r="C655" t="s">
        <v>2</v>
      </c>
      <c r="D655" s="6"/>
    </row>
    <row r="656" spans="2:4">
      <c r="B656" s="5"/>
      <c r="C656">
        <f>smds!C651</f>
        <v>0</v>
      </c>
      <c r="D656" s="6"/>
    </row>
    <row r="657" spans="2:4">
      <c r="B657" s="5"/>
      <c r="C657" t="str">
        <f ca="1">OFFSET(smds!$A$1,QUOTIENT(ROW()-2,5),1,1,1)</f>
        <v>Long Road Home</v>
      </c>
      <c r="D657" t="s">
        <v>3</v>
      </c>
    </row>
    <row r="658" spans="2:4">
      <c r="B658" s="5"/>
      <c r="C658" t="s">
        <v>1</v>
      </c>
      <c r="D658" s="6" t="str">
        <f ca="1">VLOOKUP(OFFSET(smds!$A$1,QUOTIENT(ROW()-2,5),1,1,1),channelfireball!A:C,3,FALSE)</f>
        <v>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v>
      </c>
    </row>
    <row r="659" spans="2:4">
      <c r="B659" s="5"/>
      <c r="C659">
        <f ca="1">VLOOKUP(OFFSET(smds!$A$1,QUOTIENT(ROW()-2,5),1,1,1),channelfireball!A:C,2,FALSE)</f>
        <v>1.5</v>
      </c>
      <c r="D659" s="6"/>
    </row>
    <row r="660" spans="2:4">
      <c r="B660" s="5"/>
      <c r="C660" t="s">
        <v>2</v>
      </c>
      <c r="D660" s="6"/>
    </row>
    <row r="661" spans="2:4">
      <c r="B661" s="5"/>
      <c r="C661">
        <f>smds!C656</f>
        <v>0</v>
      </c>
      <c r="D661" s="6"/>
    </row>
    <row r="662" spans="2:4">
      <c r="B662" s="5"/>
      <c r="C662" t="str">
        <f ca="1">OFFSET(smds!$A$1,QUOTIENT(ROW()-2,5),1,1,1)</f>
        <v>Lunarch Mantle</v>
      </c>
      <c r="D662" t="s">
        <v>3</v>
      </c>
    </row>
    <row r="663" spans="2:4">
      <c r="B663" s="5"/>
      <c r="C663" t="s">
        <v>1</v>
      </c>
      <c r="D663" s="6" t="str">
        <f ca="1">VLOOKUP(OFFSET(smds!$A$1,QUOTIENT(ROW()-2,5),1,1,1),channelfireball!A:C,3,FALSE)</f>
        <v>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v>
      </c>
    </row>
    <row r="664" spans="2:4">
      <c r="B664" s="5"/>
      <c r="C664">
        <f ca="1">VLOOKUP(OFFSET(smds!$A$1,QUOTIENT(ROW()-2,5),1,1,1),channelfireball!A:C,2,FALSE)</f>
        <v>1</v>
      </c>
      <c r="D664" s="6"/>
    </row>
    <row r="665" spans="2:4">
      <c r="B665" s="5"/>
      <c r="C665" t="s">
        <v>2</v>
      </c>
      <c r="D665" s="6"/>
    </row>
    <row r="666" spans="2:4">
      <c r="B666" s="5"/>
      <c r="C666">
        <f>smds!C661</f>
        <v>0</v>
      </c>
      <c r="D666" s="6"/>
    </row>
    <row r="667" spans="2:4">
      <c r="B667" s="5"/>
      <c r="C667" t="str">
        <f ca="1">OFFSET(smds!$A$1,QUOTIENT(ROW()-2,5),1,1,1)</f>
        <v>Repel the Abominable</v>
      </c>
      <c r="D667" t="s">
        <v>3</v>
      </c>
    </row>
    <row r="668" spans="2:4">
      <c r="B668" s="5"/>
      <c r="C668" t="s">
        <v>1</v>
      </c>
      <c r="D668" s="6" t="e">
        <f ca="1">VLOOKUP(OFFSET(smds!$A$1,QUOTIENT(ROW()-2,5),1,1,1),channelfireball!A:C,3,FALSE)</f>
        <v>#N/A</v>
      </c>
    </row>
    <row r="669" spans="2:4">
      <c r="B669" s="5"/>
      <c r="C669" t="e">
        <f ca="1">VLOOKUP(OFFSET(smds!$A$1,QUOTIENT(ROW()-2,5),1,1,1),channelfireball!A:C,2,FALSE)</f>
        <v>#N/A</v>
      </c>
      <c r="D669" s="6"/>
    </row>
    <row r="670" spans="2:4">
      <c r="B670" s="5"/>
      <c r="C670" t="s">
        <v>2</v>
      </c>
      <c r="D670" s="6"/>
    </row>
    <row r="671" spans="2:4">
      <c r="B671" s="5"/>
      <c r="C671">
        <f>smds!C666</f>
        <v>0</v>
      </c>
      <c r="D671" s="6"/>
    </row>
    <row r="672" spans="2:4">
      <c r="B672" s="5"/>
      <c r="C672" t="str">
        <f ca="1">OFFSET(smds!$A$1,QUOTIENT(ROW()-2,5),1,1,1)</f>
        <v>Spectral Reserves</v>
      </c>
      <c r="D672" t="s">
        <v>3</v>
      </c>
    </row>
    <row r="673" spans="2:4">
      <c r="B673" s="5"/>
      <c r="C673" t="s">
        <v>1</v>
      </c>
      <c r="D673" s="6" t="str">
        <f ca="1">VLOOKUP(OFFSET(smds!$A$1,QUOTIENT(ROW()-2,5),1,1,1),channelfireball!A:C,3,FALSE)</f>
        <v>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v>
      </c>
    </row>
    <row r="674" spans="2:4">
      <c r="B674" s="5"/>
      <c r="C674">
        <f ca="1">VLOOKUP(OFFSET(smds!$A$1,QUOTIENT(ROW()-2,5),1,1,1),channelfireball!A:C,2,FALSE)</f>
        <v>2</v>
      </c>
      <c r="D674" s="6"/>
    </row>
    <row r="675" spans="2:4">
      <c r="B675" s="5"/>
      <c r="C675" t="s">
        <v>2</v>
      </c>
      <c r="D675" s="6"/>
    </row>
    <row r="676" spans="2:4">
      <c r="B676" s="5"/>
      <c r="C676">
        <f>smds!C671</f>
        <v>0</v>
      </c>
      <c r="D676" s="6"/>
    </row>
    <row r="677" spans="2:4">
      <c r="B677" s="5"/>
      <c r="C677" t="str">
        <f ca="1">OFFSET(smds!$A$1,QUOTIENT(ROW()-2,5),1,1,1)</f>
        <v>Thraben Standard Bearer</v>
      </c>
      <c r="D677" t="s">
        <v>3</v>
      </c>
    </row>
    <row r="678" spans="2:4">
      <c r="B678" s="5"/>
      <c r="C678" t="s">
        <v>1</v>
      </c>
      <c r="D678" s="6" t="str">
        <f ca="1">VLOOKUP(OFFSET(smds!$A$1,QUOTIENT(ROW()-2,5),1,1,1),channelfireball!A:C,3,FALSE)</f>
        <v>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v>
      </c>
    </row>
    <row r="679" spans="2:4">
      <c r="B679" s="5"/>
      <c r="C679">
        <f ca="1">VLOOKUP(OFFSET(smds!$A$1,QUOTIENT(ROW()-2,5),1,1,1),channelfireball!A:C,2,FALSE)</f>
        <v>1</v>
      </c>
      <c r="D679" s="6"/>
    </row>
    <row r="680" spans="2:4">
      <c r="B680" s="5"/>
      <c r="C680" t="s">
        <v>2</v>
      </c>
      <c r="D680" s="6"/>
    </row>
    <row r="681" spans="2:4">
      <c r="B681" s="5"/>
      <c r="C681">
        <f>smds!C676</f>
        <v>0</v>
      </c>
      <c r="D681" s="6"/>
    </row>
    <row r="682" spans="2:4">
      <c r="B682" s="5"/>
      <c r="C682" t="str">
        <f ca="1">OFFSET(smds!$A$1,QUOTIENT(ROW()-2,5),1,1,1)</f>
        <v>Drag Under</v>
      </c>
      <c r="D682" t="s">
        <v>3</v>
      </c>
    </row>
    <row r="683" spans="2:4">
      <c r="B683" s="5"/>
      <c r="C683" t="s">
        <v>1</v>
      </c>
      <c r="D683" s="6" t="str">
        <f ca="1">VLOOKUP(OFFSET(smds!$A$1,QUOTIENT(ROW()-2,5),1,1,1),channelfireball!A:C,3,FALSE)</f>
        <v>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v>
      </c>
    </row>
    <row r="684" spans="2:4">
      <c r="B684" s="5"/>
      <c r="C684">
        <f ca="1">VLOOKUP(OFFSET(smds!$A$1,QUOTIENT(ROW()-2,5),1,1,1),channelfireball!A:C,2,FALSE)</f>
        <v>1.5</v>
      </c>
      <c r="D684" s="6"/>
    </row>
    <row r="685" spans="2:4">
      <c r="B685" s="5"/>
      <c r="C685" t="s">
        <v>2</v>
      </c>
      <c r="D685" s="6"/>
    </row>
    <row r="686" spans="2:4">
      <c r="B686" s="5"/>
      <c r="C686">
        <f>smds!C681</f>
        <v>0</v>
      </c>
      <c r="D686" s="6"/>
    </row>
    <row r="687" spans="2:4">
      <c r="B687" s="5"/>
      <c r="C687" t="str">
        <f ca="1">OFFSET(smds!$A$1,QUOTIENT(ROW()-2,5),1,1,1)</f>
        <v>Enlightened Maniac</v>
      </c>
      <c r="D687" t="s">
        <v>3</v>
      </c>
    </row>
    <row r="688" spans="2:4">
      <c r="B688" s="5"/>
      <c r="C688" t="s">
        <v>1</v>
      </c>
      <c r="D688" s="6" t="str">
        <f ca="1">VLOOKUP(OFFSET(smds!$A$1,QUOTIENT(ROW()-2,5),1,1,1),channelfireball!A:C,3,FALSE)</f>
        <v>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v>
      </c>
    </row>
    <row r="689" spans="2:4">
      <c r="B689" s="5"/>
      <c r="C689">
        <f ca="1">VLOOKUP(OFFSET(smds!$A$1,QUOTIENT(ROW()-2,5),1,1,1),channelfireball!A:C,2,FALSE)</f>
        <v>1.5</v>
      </c>
      <c r="D689" s="6"/>
    </row>
    <row r="690" spans="2:4">
      <c r="B690" s="5"/>
      <c r="C690" t="s">
        <v>2</v>
      </c>
      <c r="D690" s="6"/>
    </row>
    <row r="691" spans="2:4">
      <c r="B691" s="5"/>
      <c r="C691">
        <f>smds!C686</f>
        <v>0</v>
      </c>
      <c r="D691" s="6"/>
    </row>
    <row r="692" spans="2:4">
      <c r="B692" s="5"/>
      <c r="C692" t="str">
        <f ca="1">OFFSET(smds!$A$1,QUOTIENT(ROW()-2,5),1,1,1)</f>
        <v>Exultant Cultist</v>
      </c>
      <c r="D692" t="s">
        <v>3</v>
      </c>
    </row>
    <row r="693" spans="2:4">
      <c r="B693" s="5"/>
      <c r="C693" t="s">
        <v>1</v>
      </c>
      <c r="D693" s="6" t="str">
        <f ca="1">VLOOKUP(OFFSET(smds!$A$1,QUOTIENT(ROW()-2,5),1,1,1),channelfireball!A:C,3,FALSE)</f>
        <v>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v>
      </c>
    </row>
    <row r="694" spans="2:4">
      <c r="B694" s="5"/>
      <c r="C694">
        <f ca="1">VLOOKUP(OFFSET(smds!$A$1,QUOTIENT(ROW()-2,5),1,1,1),channelfireball!A:C,2,FALSE)</f>
        <v>2</v>
      </c>
      <c r="D694" s="6"/>
    </row>
    <row r="695" spans="2:4">
      <c r="B695" s="5"/>
      <c r="C695" t="s">
        <v>2</v>
      </c>
      <c r="D695" s="6"/>
    </row>
    <row r="696" spans="2:4">
      <c r="B696" s="5"/>
      <c r="C696">
        <f>smds!C691</f>
        <v>0</v>
      </c>
      <c r="D696" s="6"/>
    </row>
    <row r="697" spans="2:4">
      <c r="B697" s="5"/>
      <c r="C697" t="str">
        <f ca="1">OFFSET(smds!$A$1,QUOTIENT(ROW()-2,5),1,1,1)</f>
        <v>Fogwalker</v>
      </c>
      <c r="D697" t="s">
        <v>3</v>
      </c>
    </row>
    <row r="698" spans="2:4">
      <c r="B698" s="5"/>
      <c r="C698" t="s">
        <v>1</v>
      </c>
      <c r="D698" s="6" t="str">
        <f ca="1">VLOOKUP(OFFSET(smds!$A$1,QUOTIENT(ROW()-2,5),1,1,1),channelfireball!A:C,3,FALSE)</f>
        <v>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v>
      </c>
    </row>
    <row r="699" spans="2:4">
      <c r="B699" s="5"/>
      <c r="C699">
        <f ca="1">VLOOKUP(OFFSET(smds!$A$1,QUOTIENT(ROW()-2,5),1,1,1),channelfireball!A:C,2,FALSE)</f>
        <v>2</v>
      </c>
      <c r="D699" s="6"/>
    </row>
    <row r="700" spans="2:4">
      <c r="B700" s="5"/>
      <c r="C700" t="s">
        <v>2</v>
      </c>
      <c r="D700" s="6"/>
    </row>
    <row r="701" spans="2:4">
      <c r="B701" s="5"/>
      <c r="C701">
        <f>smds!C696</f>
        <v>0</v>
      </c>
      <c r="D701" s="6"/>
    </row>
    <row r="702" spans="2:4">
      <c r="B702" s="5"/>
      <c r="C702" t="str">
        <f ca="1">OFFSET(smds!$A$1,QUOTIENT(ROW()-2,5),1,1,1)</f>
        <v>Fortune's Favor</v>
      </c>
      <c r="D702" t="s">
        <v>3</v>
      </c>
    </row>
    <row r="703" spans="2:4">
      <c r="B703" s="5"/>
      <c r="C703" t="s">
        <v>1</v>
      </c>
      <c r="D703" s="6" t="e">
        <f ca="1">VLOOKUP(OFFSET(smds!$A$1,QUOTIENT(ROW()-2,5),1,1,1),channelfireball!A:C,3,FALSE)</f>
        <v>#N/A</v>
      </c>
    </row>
    <row r="704" spans="2:4">
      <c r="B704" s="5"/>
      <c r="C704" t="e">
        <f ca="1">VLOOKUP(OFFSET(smds!$A$1,QUOTIENT(ROW()-2,5),1,1,1),channelfireball!A:C,2,FALSE)</f>
        <v>#N/A</v>
      </c>
      <c r="D704" s="6"/>
    </row>
    <row r="705" spans="2:4">
      <c r="B705" s="5"/>
      <c r="C705" t="s">
        <v>2</v>
      </c>
      <c r="D705" s="6"/>
    </row>
    <row r="706" spans="2:4">
      <c r="B706" s="5"/>
      <c r="C706">
        <f>smds!C701</f>
        <v>0</v>
      </c>
      <c r="D706" s="6"/>
    </row>
    <row r="707" spans="2:4">
      <c r="B707" s="5"/>
      <c r="C707" t="str">
        <f ca="1">OFFSET(smds!$A$1,QUOTIENT(ROW()-2,5),1,1,1)</f>
        <v>Scour the Laboratory</v>
      </c>
      <c r="D707" t="s">
        <v>3</v>
      </c>
    </row>
    <row r="708" spans="2:4">
      <c r="B708" s="5"/>
      <c r="C708" t="s">
        <v>1</v>
      </c>
      <c r="D708" s="6" t="str">
        <f ca="1">VLOOKUP(OFFSET(smds!$A$1,QUOTIENT(ROW()-2,5),1,1,1),channelfireball!A:C,3,FALSE)</f>
        <v>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v>
      </c>
    </row>
    <row r="709" spans="2:4">
      <c r="B709" s="5"/>
      <c r="C709">
        <f ca="1">VLOOKUP(OFFSET(smds!$A$1,QUOTIENT(ROW()-2,5),1,1,1),channelfireball!A:C,2,FALSE)</f>
        <v>2.5</v>
      </c>
      <c r="D709" s="6"/>
    </row>
    <row r="710" spans="2:4">
      <c r="B710" s="5"/>
      <c r="C710" t="s">
        <v>2</v>
      </c>
      <c r="D710" s="6"/>
    </row>
    <row r="711" spans="2:4">
      <c r="B711" s="5"/>
      <c r="C711">
        <f>smds!C706</f>
        <v>0</v>
      </c>
      <c r="D711" s="6"/>
    </row>
    <row r="712" spans="2:4">
      <c r="B712" s="5"/>
      <c r="C712" t="str">
        <f ca="1">OFFSET(smds!$A$1,QUOTIENT(ROW()-2,5),1,1,1)</f>
        <v>Take Inventory</v>
      </c>
      <c r="D712" t="s">
        <v>3</v>
      </c>
    </row>
    <row r="713" spans="2:4">
      <c r="B713" s="5"/>
      <c r="C713" t="s">
        <v>1</v>
      </c>
      <c r="D713" s="6" t="str">
        <f ca="1">VLOOKUP(OFFSET(smds!$A$1,QUOTIENT(ROW()-2,5),1,1,1),channelfireball!A:C,3,FALSE)</f>
        <v>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v>
      </c>
    </row>
    <row r="714" spans="2:4">
      <c r="B714" s="5"/>
      <c r="C714">
        <f ca="1">VLOOKUP(OFFSET(smds!$A$1,QUOTIENT(ROW()-2,5),1,1,1),channelfireball!A:C,2,FALSE)</f>
        <v>1.5</v>
      </c>
      <c r="D714" s="6"/>
    </row>
    <row r="715" spans="2:4">
      <c r="B715" s="5"/>
      <c r="C715" t="s">
        <v>2</v>
      </c>
      <c r="D715" s="6"/>
    </row>
    <row r="716" spans="2:4">
      <c r="B716" s="5"/>
      <c r="C716">
        <f>smds!C711</f>
        <v>0</v>
      </c>
      <c r="D716" s="6"/>
    </row>
    <row r="717" spans="2:4">
      <c r="B717" s="5"/>
      <c r="C717" t="str">
        <f ca="1">OFFSET(smds!$A$1,QUOTIENT(ROW()-2,5),1,1,1)</f>
        <v>Borrowed Malevolence</v>
      </c>
      <c r="D717" t="s">
        <v>3</v>
      </c>
    </row>
    <row r="718" spans="2:4">
      <c r="B718" s="5"/>
      <c r="C718" t="s">
        <v>1</v>
      </c>
      <c r="D718" s="6" t="str">
        <f ca="1">VLOOKUP(OFFSET(smds!$A$1,QUOTIENT(ROW()-2,5),1,1,1),channelfireball!A:C,3,FALSE)</f>
        <v>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v>
      </c>
    </row>
    <row r="719" spans="2:4">
      <c r="B719" s="5"/>
      <c r="C719">
        <f ca="1">VLOOKUP(OFFSET(smds!$A$1,QUOTIENT(ROW()-2,5),1,1,1),channelfireball!A:C,2,FALSE)</f>
        <v>1.5</v>
      </c>
      <c r="D719" s="6"/>
    </row>
    <row r="720" spans="2:4">
      <c r="B720" s="5"/>
      <c r="C720" t="s">
        <v>2</v>
      </c>
      <c r="D720" s="6"/>
    </row>
    <row r="721" spans="2:4">
      <c r="B721" s="5"/>
      <c r="C721">
        <f>smds!C716</f>
        <v>0</v>
      </c>
      <c r="D721" s="6"/>
    </row>
    <row r="722" spans="2:4">
      <c r="B722" s="5"/>
      <c r="C722" t="str">
        <f ca="1">OFFSET(smds!$A$1,QUOTIENT(ROW()-2,5),1,1,1)</f>
        <v>Certain Death</v>
      </c>
      <c r="D722" t="s">
        <v>3</v>
      </c>
    </row>
    <row r="723" spans="2:4">
      <c r="B723" s="5"/>
      <c r="C723" t="s">
        <v>1</v>
      </c>
      <c r="D723" s="6" t="str">
        <f ca="1">VLOOKUP(OFFSET(smds!$A$1,QUOTIENT(ROW()-2,5),1,1,1),channelfireball!A:C,3,FALSE)</f>
        <v>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v>
      </c>
    </row>
    <row r="724" spans="2:4">
      <c r="B724" s="5"/>
      <c r="C724">
        <f ca="1">VLOOKUP(OFFSET(smds!$A$1,QUOTIENT(ROW()-2,5),1,1,1),channelfireball!A:C,2,FALSE)</f>
        <v>2.5</v>
      </c>
      <c r="D724" s="6"/>
    </row>
    <row r="725" spans="2:4">
      <c r="B725" s="5"/>
      <c r="C725" t="s">
        <v>2</v>
      </c>
      <c r="D725" s="6"/>
    </row>
    <row r="726" spans="2:4">
      <c r="B726" s="5"/>
      <c r="C726">
        <f>smds!C721</f>
        <v>0</v>
      </c>
      <c r="D726" s="6"/>
    </row>
    <row r="727" spans="2:4">
      <c r="B727" s="5"/>
      <c r="C727" t="str">
        <f ca="1">OFFSET(smds!$A$1,QUOTIENT(ROW()-2,5),1,1,1)</f>
        <v>Gavony Unhallowed</v>
      </c>
      <c r="D727" t="s">
        <v>3</v>
      </c>
    </row>
    <row r="728" spans="2:4">
      <c r="B728" s="5"/>
      <c r="C728" t="s">
        <v>1</v>
      </c>
      <c r="D728" s="6" t="str">
        <f ca="1">VLOOKUP(OFFSET(smds!$A$1,QUOTIENT(ROW()-2,5),1,1,1),channelfireball!A:C,3,FALSE)</f>
        <v>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v>
      </c>
    </row>
    <row r="729" spans="2:4">
      <c r="B729" s="5"/>
      <c r="C729">
        <f ca="1">VLOOKUP(OFFSET(smds!$A$1,QUOTIENT(ROW()-2,5),1,1,1),channelfireball!A:C,2,FALSE)</f>
        <v>2.5</v>
      </c>
      <c r="D729" s="6"/>
    </row>
    <row r="730" spans="2:4">
      <c r="B730" s="5"/>
      <c r="C730" t="s">
        <v>2</v>
      </c>
      <c r="D730" s="6"/>
    </row>
    <row r="731" spans="2:4">
      <c r="B731" s="5"/>
      <c r="C731">
        <f>smds!C726</f>
        <v>0</v>
      </c>
      <c r="D731" s="6"/>
    </row>
    <row r="732" spans="2:4">
      <c r="B732" s="5"/>
      <c r="C732" t="str">
        <f ca="1">OFFSET(smds!$A$1,QUOTIENT(ROW()-2,5),1,1,1)</f>
        <v>Skirsdag Supplicant</v>
      </c>
      <c r="D732" t="s">
        <v>3</v>
      </c>
    </row>
    <row r="733" spans="2:4">
      <c r="B733" s="5"/>
      <c r="C733" t="s">
        <v>1</v>
      </c>
      <c r="D733" s="6" t="str">
        <f ca="1">VLOOKUP(OFFSET(smds!$A$1,QUOTIENT(ROW()-2,5),1,1,1),channelfireball!A:C,3,FALSE)</f>
        <v>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v>
      </c>
    </row>
    <row r="734" spans="2:4">
      <c r="B734" s="5"/>
      <c r="C734">
        <f ca="1">VLOOKUP(OFFSET(smds!$A$1,QUOTIENT(ROW()-2,5),1,1,1),channelfireball!A:C,2,FALSE)</f>
        <v>1.5</v>
      </c>
      <c r="D734" s="6"/>
    </row>
    <row r="735" spans="2:4">
      <c r="B735" s="5"/>
      <c r="C735" t="s">
        <v>2</v>
      </c>
      <c r="D735" s="6"/>
    </row>
    <row r="736" spans="2:4">
      <c r="B736" s="5"/>
      <c r="C736">
        <f>smds!C731</f>
        <v>0</v>
      </c>
      <c r="D736" s="6"/>
    </row>
    <row r="737" spans="2:4">
      <c r="B737" s="5"/>
      <c r="C737" t="str">
        <f ca="1">OFFSET(smds!$A$1,QUOTIENT(ROW()-2,5),1,1,1)</f>
        <v>Succumb to Temptation</v>
      </c>
      <c r="D737" t="s">
        <v>3</v>
      </c>
    </row>
    <row r="738" spans="2:4">
      <c r="B738" s="5"/>
      <c r="C738" t="s">
        <v>1</v>
      </c>
      <c r="D738" s="6" t="str">
        <f ca="1">VLOOKUP(OFFSET(smds!$A$1,QUOTIENT(ROW()-2,5),1,1,1),channelfireball!A:C,3,FALSE)</f>
        <v>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v>
      </c>
    </row>
    <row r="739" spans="2:4">
      <c r="B739" s="5"/>
      <c r="C739">
        <f ca="1">VLOOKUP(OFFSET(smds!$A$1,QUOTIENT(ROW()-2,5),1,1,1),channelfireball!A:C,2,FALSE)</f>
        <v>1.5</v>
      </c>
      <c r="D739" s="6"/>
    </row>
    <row r="740" spans="2:4">
      <c r="B740" s="5"/>
      <c r="C740" t="s">
        <v>2</v>
      </c>
      <c r="D740" s="6"/>
    </row>
    <row r="741" spans="2:4">
      <c r="B741" s="5"/>
      <c r="C741">
        <f>smds!C736</f>
        <v>0</v>
      </c>
      <c r="D741" s="6"/>
    </row>
    <row r="742" spans="2:4">
      <c r="B742" s="5"/>
      <c r="C742" t="str">
        <f ca="1">OFFSET(smds!$A$1,QUOTIENT(ROW()-2,5),1,1,1)</f>
        <v>Wailing Ghoul</v>
      </c>
      <c r="D742" t="s">
        <v>3</v>
      </c>
    </row>
    <row r="743" spans="2:4">
      <c r="B743" s="5"/>
      <c r="C743" t="s">
        <v>1</v>
      </c>
      <c r="D743" s="6" t="str">
        <f ca="1">VLOOKUP(OFFSET(smds!$A$1,QUOTIENT(ROW()-2,5),1,1,1),channelfireball!A:C,3,FALSE)</f>
        <v>Wailing Ghoul is certainly not exciting, but is the type of card you’ll pick up late to round out your Zombie deck or your defensive black control deck.</v>
      </c>
    </row>
    <row r="744" spans="2:4">
      <c r="B744" s="5"/>
      <c r="C744">
        <f ca="1">VLOOKUP(OFFSET(smds!$A$1,QUOTIENT(ROW()-2,5),1,1,1),channelfireball!A:C,2,FALSE)</f>
        <v>1.5</v>
      </c>
      <c r="D744" s="6"/>
    </row>
    <row r="745" spans="2:4">
      <c r="B745" s="5"/>
      <c r="C745" t="s">
        <v>2</v>
      </c>
      <c r="D745" s="6"/>
    </row>
    <row r="746" spans="2:4">
      <c r="B746" s="5"/>
      <c r="C746">
        <f>smds!C741</f>
        <v>0</v>
      </c>
      <c r="D746" s="6"/>
    </row>
    <row r="747" spans="2:4">
      <c r="B747" s="5"/>
      <c r="C747" t="str">
        <f ca="1">OFFSET(smds!$A$1,QUOTIENT(ROW()-2,5),1,1,1)</f>
        <v>Weirded Vampire</v>
      </c>
      <c r="D747" t="s">
        <v>3</v>
      </c>
    </row>
    <row r="748" spans="2:4">
      <c r="B748" s="5"/>
      <c r="C748" t="s">
        <v>1</v>
      </c>
      <c r="D748" s="6" t="str">
        <f ca="1">VLOOKUP(OFFSET(smds!$A$1,QUOTIENT(ROW()-2,5),1,1,1),channelfireball!A:C,3,FALSE)</f>
        <v>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v>
      </c>
    </row>
    <row r="749" spans="2:4">
      <c r="B749" s="5"/>
      <c r="C749">
        <f ca="1">VLOOKUP(OFFSET(smds!$A$1,QUOTIENT(ROW()-2,5),1,1,1),channelfireball!A:C,2,FALSE)</f>
        <v>2</v>
      </c>
      <c r="D749" s="6"/>
    </row>
    <row r="750" spans="2:4">
      <c r="B750" s="5"/>
      <c r="C750" t="s">
        <v>2</v>
      </c>
      <c r="D750" s="6"/>
    </row>
    <row r="751" spans="2:4">
      <c r="B751" s="5"/>
      <c r="C751">
        <f>smds!C746</f>
        <v>0</v>
      </c>
      <c r="D751" s="6"/>
    </row>
    <row r="752" spans="2:4">
      <c r="B752" s="5"/>
      <c r="C752" t="str">
        <f ca="1">OFFSET(smds!$A$1,QUOTIENT(ROW()-2,5),1,1,1)</f>
        <v>Whispers of Emrakul</v>
      </c>
      <c r="D752" t="s">
        <v>3</v>
      </c>
    </row>
    <row r="753" spans="2:4">
      <c r="B753" s="5"/>
      <c r="C753" t="s">
        <v>1</v>
      </c>
      <c r="D753" s="6" t="str">
        <f ca="1">VLOOKUP(OFFSET(smds!$A$1,QUOTIENT(ROW()-2,5),1,1,1),channelfireball!A:C,3,FALSE)</f>
        <v>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v>
      </c>
    </row>
    <row r="754" spans="2:4">
      <c r="B754" s="5"/>
      <c r="C754">
        <f ca="1">VLOOKUP(OFFSET(smds!$A$1,QUOTIENT(ROW()-2,5),1,1,1),channelfireball!A:C,2,FALSE)</f>
        <v>1.5</v>
      </c>
      <c r="D754" s="6"/>
    </row>
    <row r="755" spans="2:4">
      <c r="B755" s="5"/>
      <c r="C755" t="s">
        <v>2</v>
      </c>
      <c r="D755" s="6"/>
    </row>
    <row r="756" spans="2:4">
      <c r="B756" s="5"/>
      <c r="C756">
        <f>smds!C751</f>
        <v>0</v>
      </c>
      <c r="D756" s="6"/>
    </row>
    <row r="757" spans="2:4">
      <c r="B757" s="5"/>
      <c r="C757" t="str">
        <f ca="1">OFFSET(smds!$A$1,QUOTIENT(ROW()-2,5),1,1,1)</f>
        <v>Borrowed Hostility</v>
      </c>
      <c r="D757" t="s">
        <v>3</v>
      </c>
    </row>
    <row r="758" spans="2:4">
      <c r="B758" s="5"/>
      <c r="C758" t="s">
        <v>1</v>
      </c>
      <c r="D758" s="6" t="str">
        <f ca="1">VLOOKUP(OFFSET(smds!$A$1,QUOTIENT(ROW()-2,5),1,1,1),channelfireball!A:C,3,FALSE)</f>
        <v>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v>
      </c>
    </row>
    <row r="759" spans="2:4">
      <c r="B759" s="5"/>
      <c r="C759">
        <f ca="1">VLOOKUP(OFFSET(smds!$A$1,QUOTIENT(ROW()-2,5),1,1,1),channelfireball!A:C,2,FALSE)</f>
        <v>2</v>
      </c>
      <c r="D759" s="6"/>
    </row>
    <row r="760" spans="2:4">
      <c r="B760" s="5"/>
      <c r="C760" t="s">
        <v>2</v>
      </c>
      <c r="D760" s="6"/>
    </row>
    <row r="761" spans="2:4">
      <c r="B761" s="5"/>
      <c r="C761">
        <f>smds!C756</f>
        <v>0</v>
      </c>
      <c r="D761" s="6"/>
    </row>
    <row r="762" spans="2:4">
      <c r="B762" s="5"/>
      <c r="C762" t="str">
        <f ca="1">OFFSET(smds!$A$1,QUOTIENT(ROW()-2,5),1,1,1)</f>
        <v>Falkenrath Reaver</v>
      </c>
      <c r="D762" t="s">
        <v>3</v>
      </c>
    </row>
    <row r="763" spans="2:4">
      <c r="B763" s="5"/>
      <c r="C763" t="s">
        <v>1</v>
      </c>
      <c r="D763" s="6" t="str">
        <f ca="1">VLOOKUP(OFFSET(smds!$A$1,QUOTIENT(ROW()-2,5),1,1,1),channelfireball!A:C,3,FALSE)</f>
        <v>My analysis of Falkenrath Reaver is much the same as Deranged Whelp (the Whelp is a little better, however). Red wants 2-drops, and the Vampire creature type on this makes it fairly desirable.</v>
      </c>
    </row>
    <row r="764" spans="2:4">
      <c r="B764" s="5"/>
      <c r="C764">
        <f ca="1">VLOOKUP(OFFSET(smds!$A$1,QUOTIENT(ROW()-2,5),1,1,1),channelfireball!A:C,2,FALSE)</f>
        <v>2</v>
      </c>
      <c r="D764" s="6"/>
    </row>
    <row r="765" spans="2:4">
      <c r="B765" s="5"/>
      <c r="C765" t="s">
        <v>2</v>
      </c>
      <c r="D765" s="6"/>
    </row>
    <row r="766" spans="2:4">
      <c r="B766" s="5"/>
      <c r="C766">
        <f>smds!C761</f>
        <v>0</v>
      </c>
      <c r="D766" s="6"/>
    </row>
    <row r="767" spans="2:4">
      <c r="B767" s="5"/>
      <c r="C767" t="str">
        <f ca="1">OFFSET(smds!$A$1,QUOTIENT(ROW()-2,5),1,1,1)</f>
        <v>Stensia Innkeeper</v>
      </c>
      <c r="D767" t="s">
        <v>3</v>
      </c>
    </row>
    <row r="768" spans="2:4">
      <c r="B768" s="5"/>
      <c r="C768" t="s">
        <v>1</v>
      </c>
      <c r="D768" s="6" t="str">
        <f ca="1">VLOOKUP(OFFSET(smds!$A$1,QUOTIENT(ROW()-2,5),1,1,1),channelfireball!A:C,3,FALSE)</f>
        <v>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v>
      </c>
    </row>
    <row r="769" spans="2:4">
      <c r="B769" s="5"/>
      <c r="C769">
        <f ca="1">VLOOKUP(OFFSET(smds!$A$1,QUOTIENT(ROW()-2,5),1,1,1),channelfireball!A:C,2,FALSE)</f>
        <v>2</v>
      </c>
      <c r="D769" s="6"/>
    </row>
    <row r="770" spans="2:4">
      <c r="B770" s="5"/>
      <c r="C770" t="s">
        <v>2</v>
      </c>
      <c r="D770" s="6"/>
    </row>
    <row r="771" spans="2:4">
      <c r="B771" s="5"/>
      <c r="C771">
        <f>smds!C766</f>
        <v>0</v>
      </c>
      <c r="D771" s="6"/>
    </row>
    <row r="772" spans="2:4">
      <c r="B772" s="5"/>
      <c r="C772" t="str">
        <f ca="1">OFFSET(smds!$A$1,QUOTIENT(ROW()-2,5),1,1,1)</f>
        <v>Bloodbriar</v>
      </c>
      <c r="D772" t="s">
        <v>3</v>
      </c>
    </row>
    <row r="773" spans="2:4">
      <c r="B773" s="5"/>
      <c r="C773" t="s">
        <v>1</v>
      </c>
      <c r="D773" s="6" t="str">
        <f ca="1">VLOOKUP(OFFSET(smds!$A$1,QUOTIENT(ROW()-2,5),1,1,1),channelfireball!A:C,3,FALSE)</f>
        <v>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v>
      </c>
    </row>
    <row r="774" spans="2:4">
      <c r="B774" s="5"/>
      <c r="C774">
        <f ca="1">VLOOKUP(OFFSET(smds!$A$1,QUOTIENT(ROW()-2,5),1,1,1),channelfireball!A:C,2,FALSE)</f>
        <v>2.5</v>
      </c>
      <c r="D774" s="6"/>
    </row>
    <row r="775" spans="2:4">
      <c r="B775" s="5"/>
      <c r="C775" t="s">
        <v>2</v>
      </c>
      <c r="D775" s="6"/>
    </row>
    <row r="776" spans="2:4">
      <c r="B776" s="5"/>
      <c r="C776">
        <f>smds!C771</f>
        <v>0</v>
      </c>
      <c r="D776" s="6"/>
    </row>
    <row r="777" spans="2:4">
      <c r="B777" s="5"/>
      <c r="C777" t="str">
        <f ca="1">OFFSET(smds!$A$1,QUOTIENT(ROW()-2,5),1,1,1)</f>
        <v>Grapple with the Past</v>
      </c>
      <c r="D777" t="s">
        <v>3</v>
      </c>
    </row>
    <row r="778" spans="2:4">
      <c r="B778" s="5"/>
      <c r="C778" t="s">
        <v>1</v>
      </c>
      <c r="D778" s="6" t="str">
        <f ca="1">VLOOKUP(OFFSET(smds!$A$1,QUOTIENT(ROW()-2,5),1,1,1),channelfireball!A:C,3,FALSE)</f>
        <v>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v>
      </c>
    </row>
    <row r="779" spans="2:4">
      <c r="B779" s="5"/>
      <c r="C779">
        <f ca="1">VLOOKUP(OFFSET(smds!$A$1,QUOTIENT(ROW()-2,5),1,1,1),channelfireball!A:C,2,FALSE)</f>
        <v>2</v>
      </c>
      <c r="D779" s="6"/>
    </row>
    <row r="780" spans="2:4">
      <c r="B780" s="5"/>
      <c r="C780" t="s">
        <v>2</v>
      </c>
      <c r="D780" s="6"/>
    </row>
    <row r="781" spans="2:4">
      <c r="B781" s="5"/>
      <c r="C781">
        <f>smds!C776</f>
        <v>0</v>
      </c>
      <c r="D781" s="6"/>
    </row>
    <row r="782" spans="2:4">
      <c r="B782" s="5"/>
      <c r="C782" t="str">
        <f ca="1">OFFSET(smds!$A$1,QUOTIENT(ROW()-2,5),1,1,1)</f>
        <v>Primal Druid</v>
      </c>
      <c r="D782" t="s">
        <v>3</v>
      </c>
    </row>
    <row r="783" spans="2:4">
      <c r="B783" s="5"/>
      <c r="C783" t="s">
        <v>1</v>
      </c>
      <c r="D783" s="6" t="str">
        <f ca="1">VLOOKUP(OFFSET(smds!$A$1,QUOTIENT(ROW()-2,5),1,1,1),channelfireball!A:C,3,FALSE)</f>
        <v>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v>
      </c>
    </row>
    <row r="784" spans="2:4">
      <c r="B784" s="5"/>
      <c r="C784">
        <f ca="1">VLOOKUP(OFFSET(smds!$A$1,QUOTIENT(ROW()-2,5),1,1,1),channelfireball!A:C,2,FALSE)</f>
        <v>1.5</v>
      </c>
      <c r="D784" s="6"/>
    </row>
    <row r="785" spans="2:4">
      <c r="B785" s="5"/>
      <c r="C785" t="s">
        <v>2</v>
      </c>
      <c r="D785" s="6"/>
    </row>
    <row r="786" spans="2:4">
      <c r="B786" s="5"/>
      <c r="C786">
        <f>smds!C781</f>
        <v>0</v>
      </c>
      <c r="D786" s="6"/>
    </row>
    <row r="787" spans="2:4">
      <c r="B787" s="5"/>
      <c r="C787" t="str">
        <f ca="1">OFFSET(smds!$A$1,QUOTIENT(ROW()-2,5),1,1,1)</f>
        <v>Swift Spinner</v>
      </c>
      <c r="D787" t="s">
        <v>3</v>
      </c>
    </row>
    <row r="788" spans="2:4">
      <c r="B788" s="5"/>
      <c r="C788" t="s">
        <v>1</v>
      </c>
      <c r="D788" s="6" t="str">
        <f ca="1">VLOOKUP(OFFSET(smds!$A$1,QUOTIENT(ROW()-2,5),1,1,1),channelfireball!A:C,3,FALSE)</f>
        <v>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v>
      </c>
    </row>
    <row r="789" spans="2:4">
      <c r="B789" s="5"/>
      <c r="C789">
        <f ca="1">VLOOKUP(OFFSET(smds!$A$1,QUOTIENT(ROW()-2,5),1,1,1),channelfireball!A:C,2,FALSE)</f>
        <v>1.5</v>
      </c>
      <c r="D789" s="6"/>
    </row>
    <row r="790" spans="2:4">
      <c r="B790" s="5"/>
      <c r="C790" t="s">
        <v>2</v>
      </c>
      <c r="D790" s="6"/>
    </row>
    <row r="791" spans="2:4">
      <c r="B791" s="5"/>
      <c r="C791">
        <f>smds!C786</f>
        <v>0</v>
      </c>
      <c r="D791" s="6"/>
    </row>
    <row r="792" spans="2:4">
      <c r="B792" s="5"/>
      <c r="C792" t="str">
        <f ca="1">OFFSET(smds!$A$1,QUOTIENT(ROW()-2,5),1,1,1)</f>
        <v>Mournwillow</v>
      </c>
      <c r="D792" t="s">
        <v>3</v>
      </c>
    </row>
    <row r="793" spans="2:4">
      <c r="B793" s="5"/>
      <c r="C793" t="s">
        <v>1</v>
      </c>
      <c r="D793" s="6" t="str">
        <f ca="1">VLOOKUP(OFFSET(smds!$A$1,QUOTIENT(ROW()-2,5),1,1,1),channelfireball!A:C,3,FALSE)</f>
        <v>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v>
      </c>
    </row>
    <row r="794" spans="2:4">
      <c r="B794" s="5"/>
      <c r="C794">
        <f ca="1">VLOOKUP(OFFSET(smds!$A$1,QUOTIENT(ROW()-2,5),1,1,1),channelfireball!A:C,2,FALSE)</f>
        <v>2.5</v>
      </c>
      <c r="D794" s="6"/>
    </row>
    <row r="795" spans="2:4">
      <c r="B795" s="5"/>
      <c r="C795" t="s">
        <v>2</v>
      </c>
      <c r="D795" s="6"/>
    </row>
    <row r="796" spans="2:4">
      <c r="B796" s="5"/>
      <c r="C796">
        <f>smds!C791</f>
        <v>0</v>
      </c>
      <c r="D796" s="6"/>
    </row>
    <row r="797" spans="2:4">
      <c r="B797" s="5"/>
      <c r="C797" t="str">
        <f ca="1">OFFSET(smds!$A$1,QUOTIENT(ROW()-2,5),1,1,1)</f>
        <v>Ride Down</v>
      </c>
      <c r="D797" t="s">
        <v>3</v>
      </c>
    </row>
    <row r="798" spans="2:4">
      <c r="B798" s="5"/>
      <c r="C798" t="s">
        <v>1</v>
      </c>
      <c r="D798" s="6" t="str">
        <f ca="1">VLOOKUP(OFFSET(smds!$A$1,QUOTIENT(ROW()-2,5),1,1,1),channelfireball!A:C,3,FALSE)</f>
        <v>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v>
      </c>
    </row>
    <row r="799" spans="2:4">
      <c r="B799" s="5"/>
      <c r="C799">
        <f ca="1">VLOOKUP(OFFSET(smds!$A$1,QUOTIENT(ROW()-2,5),1,1,1),channelfireball!A:C,2,FALSE)</f>
        <v>3</v>
      </c>
      <c r="D799" s="6"/>
    </row>
    <row r="800" spans="2:4">
      <c r="B800" s="5"/>
      <c r="C800" t="s">
        <v>2</v>
      </c>
      <c r="D800" s="6"/>
    </row>
    <row r="801" spans="2:4">
      <c r="B801" s="5"/>
      <c r="C801">
        <f>smds!C796</f>
        <v>0</v>
      </c>
      <c r="D801" s="6"/>
    </row>
    <row r="802" spans="2:4">
      <c r="B802" s="5"/>
      <c r="C802" t="str">
        <f ca="1">OFFSET(smds!$A$1,QUOTIENT(ROW()-2,5),1,1,1)</f>
        <v>Cathar's Shield</v>
      </c>
      <c r="D802" t="s">
        <v>3</v>
      </c>
    </row>
    <row r="803" spans="2:4">
      <c r="B803" s="5"/>
      <c r="C803" t="s">
        <v>1</v>
      </c>
      <c r="D803" s="6" t="e">
        <f ca="1">VLOOKUP(OFFSET(smds!$A$1,QUOTIENT(ROW()-2,5),1,1,1),channelfireball!A:C,3,FALSE)</f>
        <v>#N/A</v>
      </c>
    </row>
    <row r="804" spans="2:4">
      <c r="B804" s="5"/>
      <c r="C804" t="e">
        <f ca="1">VLOOKUP(OFFSET(smds!$A$1,QUOTIENT(ROW()-2,5),1,1,1),channelfireball!A:C,2,FALSE)</f>
        <v>#N/A</v>
      </c>
      <c r="D804" s="6"/>
    </row>
    <row r="805" spans="2:4">
      <c r="B805" s="5"/>
      <c r="C805" t="s">
        <v>2</v>
      </c>
      <c r="D805" s="6"/>
    </row>
    <row r="806" spans="2:4">
      <c r="B806" s="5"/>
      <c r="C806">
        <f>smds!C801</f>
        <v>0</v>
      </c>
      <c r="D806" s="6"/>
    </row>
    <row r="807" spans="2:4">
      <c r="B807" s="5"/>
      <c r="C807" t="str">
        <f ca="1">OFFSET(smds!$A$1,QUOTIENT(ROW()-2,5),1,1,1)</f>
        <v>Cultist's Staff</v>
      </c>
      <c r="D807" t="s">
        <v>3</v>
      </c>
    </row>
    <row r="808" spans="2:4">
      <c r="B808" s="5"/>
      <c r="C808" t="s">
        <v>1</v>
      </c>
      <c r="D808" s="6" t="e">
        <f ca="1">VLOOKUP(OFFSET(smds!$A$1,QUOTIENT(ROW()-2,5),1,1,1),channelfireball!A:C,3,FALSE)</f>
        <v>#N/A</v>
      </c>
    </row>
    <row r="809" spans="2:4">
      <c r="B809" s="5"/>
      <c r="C809" t="e">
        <f ca="1">VLOOKUP(OFFSET(smds!$A$1,QUOTIENT(ROW()-2,5),1,1,1),channelfireball!A:C,2,FALSE)</f>
        <v>#N/A</v>
      </c>
      <c r="D809" s="6"/>
    </row>
    <row r="810" spans="2:4">
      <c r="B810" s="5"/>
      <c r="C810" t="s">
        <v>2</v>
      </c>
      <c r="D810" s="6"/>
    </row>
    <row r="811" spans="2:4">
      <c r="B811" s="5"/>
      <c r="C811">
        <f>smds!C806</f>
        <v>0</v>
      </c>
      <c r="D811" s="6"/>
    </row>
    <row r="812" spans="2:4">
      <c r="B812" s="5"/>
      <c r="C812" t="str">
        <f ca="1">OFFSET(smds!$A$1,QUOTIENT(ROW()-2,5),1,1,1)</f>
        <v>Field Creeper</v>
      </c>
      <c r="D812" t="s">
        <v>3</v>
      </c>
    </row>
    <row r="813" spans="2:4">
      <c r="B813" s="5"/>
      <c r="C813" t="s">
        <v>1</v>
      </c>
      <c r="D813" s="6" t="str">
        <f ca="1">VLOOKUP(OFFSET(smds!$A$1,QUOTIENT(ROW()-2,5),1,1,1),channelfireball!A:C,3,FALSE)</f>
        <v>2-drops are important. Field Creeper’s stats aren’t exciting, but a 2-drop that can go in any deck and contributes an extra card type for delirium is totally fine in my book.</v>
      </c>
    </row>
    <row r="814" spans="2:4">
      <c r="B814" s="5"/>
      <c r="C814">
        <f ca="1">VLOOKUP(OFFSET(smds!$A$1,QUOTIENT(ROW()-2,5),1,1,1),channelfireball!A:C,2,FALSE)</f>
        <v>1.5</v>
      </c>
      <c r="D814" s="6"/>
    </row>
    <row r="815" spans="2:4">
      <c r="B815" s="5"/>
      <c r="C815" t="s">
        <v>2</v>
      </c>
      <c r="D815" s="6"/>
    </row>
    <row r="816" spans="2:4">
      <c r="B816" s="5"/>
      <c r="C816">
        <f>smds!C811</f>
        <v>0</v>
      </c>
      <c r="D816" s="6"/>
    </row>
    <row r="817" spans="2:4">
      <c r="B817" s="5"/>
      <c r="C817" t="str">
        <f ca="1">OFFSET(smds!$A$1,QUOTIENT(ROW()-2,5),1,1,1)</f>
        <v>Geist-Fueled Scarecrow</v>
      </c>
      <c r="D817" t="s">
        <v>3</v>
      </c>
    </row>
    <row r="818" spans="2:4">
      <c r="B818" s="5"/>
      <c r="C818" t="s">
        <v>1</v>
      </c>
      <c r="D818" s="6" t="str">
        <f ca="1">VLOOKUP(OFFSET(smds!$A$1,QUOTIENT(ROW()-2,5),1,1,1),channelfireball!A:C,3,FALSE)</f>
        <v>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v>
      </c>
    </row>
    <row r="819" spans="2:4">
      <c r="B819" s="5"/>
      <c r="C819">
        <f ca="1">VLOOKUP(OFFSET(smds!$A$1,QUOTIENT(ROW()-2,5),1,1,1),channelfireball!A:C,2,FALSE)</f>
        <v>2.5</v>
      </c>
      <c r="D819" s="6"/>
    </row>
    <row r="820" spans="2:4">
      <c r="B820" s="5"/>
      <c r="C820" t="s">
        <v>2</v>
      </c>
      <c r="D820" s="6"/>
    </row>
    <row r="821" spans="2:4">
      <c r="B821" s="5"/>
      <c r="C821">
        <f>smds!C816</f>
        <v>0</v>
      </c>
      <c r="D821" s="6"/>
    </row>
    <row r="822" spans="2:4">
      <c r="B822" s="5"/>
      <c r="C822" t="str">
        <f ca="1">OFFSET(smds!$A$1,QUOTIENT(ROW()-2,5),1,1,1)</f>
        <v>Slayer's Cleaver</v>
      </c>
      <c r="D822" t="s">
        <v>3</v>
      </c>
    </row>
    <row r="823" spans="2:4">
      <c r="B823" s="5"/>
      <c r="C823" t="s">
        <v>1</v>
      </c>
      <c r="D823" s="6" t="e">
        <f ca="1">VLOOKUP(OFFSET(smds!$A$1,QUOTIENT(ROW()-2,5),1,1,1),channelfireball!A:C,3,FALSE)</f>
        <v>#N/A</v>
      </c>
    </row>
    <row r="824" spans="2:4">
      <c r="B824" s="5"/>
      <c r="C824" t="e">
        <f ca="1">VLOOKUP(OFFSET(smds!$A$1,QUOTIENT(ROW()-2,5),1,1,1),channelfireball!A:C,2,FALSE)</f>
        <v>#N/A</v>
      </c>
      <c r="D824" s="6"/>
    </row>
    <row r="825" spans="2:4">
      <c r="B825" s="5"/>
      <c r="C825" t="s">
        <v>2</v>
      </c>
      <c r="D825" s="6"/>
    </row>
    <row r="826" spans="2:4">
      <c r="B826" s="5"/>
      <c r="C826">
        <f>smds!C821</f>
        <v>0</v>
      </c>
      <c r="D826" s="6"/>
    </row>
    <row r="827" spans="2:4">
      <c r="B827" s="5"/>
      <c r="C827" t="str">
        <f ca="1">OFFSET(smds!$A$1,QUOTIENT(ROW()-2,5),1,1,1)</f>
        <v>Terrarion</v>
      </c>
      <c r="D827" t="s">
        <v>3</v>
      </c>
    </row>
    <row r="828" spans="2:4">
      <c r="B828" s="5"/>
      <c r="C828" t="s">
        <v>1</v>
      </c>
      <c r="D828" s="6" t="str">
        <f ca="1">VLOOKUP(OFFSET(smds!$A$1,QUOTIENT(ROW()-2,5),1,1,1),channelfireball!A:C,3,FALSE)</f>
        <v>Terrarion isn’t exactly exciting, but it offers mana fixing and a contribution to delirium at a very, very low cost. You’ll be happy to play this virtually any time your deck is 3 colors, or any time you’re going for delirium (and don’t already have a handful of artifacts in your deck).</v>
      </c>
    </row>
    <row r="829" spans="2:4">
      <c r="B829" s="5"/>
      <c r="C829">
        <f ca="1">VLOOKUP(OFFSET(smds!$A$1,QUOTIENT(ROW()-2,5),1,1,1),channelfireball!A:C,2,FALSE)</f>
        <v>1.5</v>
      </c>
      <c r="D829" s="6"/>
    </row>
    <row r="830" spans="2:4">
      <c r="B830" s="5"/>
      <c r="C830" t="s">
        <v>2</v>
      </c>
      <c r="D830" s="6"/>
    </row>
    <row r="831" spans="2:4">
      <c r="B831" s="5"/>
      <c r="C831">
        <f>smds!C826</f>
        <v>0</v>
      </c>
      <c r="D831" s="6"/>
    </row>
    <row r="832" spans="2:4">
      <c r="B832" s="5"/>
      <c r="C832" t="str">
        <f ca="1">OFFSET(smds!$A$1,QUOTIENT(ROW()-2,5),1,1,1)</f>
        <v>Geier Reach Sanitarium</v>
      </c>
      <c r="D832" t="s">
        <v>3</v>
      </c>
    </row>
    <row r="833" spans="2:4">
      <c r="B833" s="5"/>
      <c r="C833" t="s">
        <v>1</v>
      </c>
      <c r="D833" s="6" t="str">
        <f ca="1">VLOOKUP(OFFSET(smds!$A$1,QUOTIENT(ROW()-2,5),1,1,1),channelfireball!A:C,3,FALSE)</f>
        <v>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v>
      </c>
    </row>
    <row r="834" spans="2:4">
      <c r="B834" s="5"/>
      <c r="C834">
        <f ca="1">VLOOKUP(OFFSET(smds!$A$1,QUOTIENT(ROW()-2,5),1,1,1),channelfireball!A:C,2,FALSE)</f>
        <v>1</v>
      </c>
      <c r="D834" s="6"/>
    </row>
    <row r="835" spans="2:4">
      <c r="B835" s="5"/>
      <c r="C835" t="s">
        <v>2</v>
      </c>
      <c r="D835" s="6"/>
    </row>
    <row r="836" spans="2:4">
      <c r="B836" s="5"/>
      <c r="C836">
        <f>smds!C831</f>
        <v>0</v>
      </c>
      <c r="D836" s="6"/>
    </row>
    <row r="837" spans="2:4">
      <c r="B837" s="5"/>
      <c r="C837" t="str">
        <f ca="1">OFFSET(smds!$A$1,QUOTIENT(ROW()-2,5),1,1,1)</f>
        <v>Providence</v>
      </c>
      <c r="D837" t="s">
        <v>3</v>
      </c>
    </row>
    <row r="838" spans="2:4">
      <c r="B838" s="5"/>
      <c r="C838" t="s">
        <v>1</v>
      </c>
      <c r="D838" s="6" t="str">
        <f ca="1">VLOOKUP(OFFSET(smds!$A$1,QUOTIENT(ROW()-2,5),1,1,1),channelfireball!A:C,3,FALSE)</f>
        <v>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v>
      </c>
    </row>
    <row r="839" spans="2:4">
      <c r="B839" s="5"/>
      <c r="C839">
        <f ca="1">VLOOKUP(OFFSET(smds!$A$1,QUOTIENT(ROW()-2,5),1,1,1),channelfireball!A:C,2,FALSE)</f>
        <v>1</v>
      </c>
      <c r="D839" s="6"/>
    </row>
    <row r="840" spans="2:4">
      <c r="B840" s="5"/>
      <c r="C840" t="s">
        <v>2</v>
      </c>
      <c r="D840" s="6"/>
    </row>
    <row r="841" spans="2:4">
      <c r="B841" s="5"/>
      <c r="C841">
        <f>smds!C836</f>
        <v>0</v>
      </c>
      <c r="D841" s="6"/>
    </row>
    <row r="842" spans="2:4">
      <c r="B842" s="5"/>
      <c r="C842" t="str">
        <f ca="1">OFFSET(smds!$A$1,QUOTIENT(ROW()-2,5),1,1,1)</f>
        <v>Sigarda's Aid</v>
      </c>
      <c r="D842" t="s">
        <v>3</v>
      </c>
    </row>
    <row r="843" spans="2:4">
      <c r="B843" s="5"/>
      <c r="C843" t="s">
        <v>1</v>
      </c>
      <c r="D843" s="6" t="str">
        <f ca="1">VLOOKUP(OFFSET(smds!$A$1,QUOTIENT(ROW()-2,5),1,1,1),channelfireball!A:C,3,FALSE)</f>
        <v>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v>
      </c>
    </row>
    <row r="844" spans="2:4">
      <c r="B844" s="5"/>
      <c r="C844">
        <f ca="1">VLOOKUP(OFFSET(smds!$A$1,QUOTIENT(ROW()-2,5),1,1,1),channelfireball!A:C,2,FALSE)</f>
        <v>0</v>
      </c>
      <c r="D844" s="6"/>
    </row>
    <row r="845" spans="2:4">
      <c r="B845" s="5"/>
      <c r="C845" t="s">
        <v>2</v>
      </c>
      <c r="D845" s="6"/>
    </row>
    <row r="846" spans="2:4">
      <c r="B846" s="5"/>
      <c r="C846">
        <f>smds!C841</f>
        <v>0</v>
      </c>
      <c r="D846" s="6"/>
    </row>
    <row r="847" spans="2:4">
      <c r="B847" s="5"/>
      <c r="C847" t="str">
        <f ca="1">OFFSET(smds!$A$1,QUOTIENT(ROW()-2,5),1,1,1)</f>
        <v>Convolute</v>
      </c>
      <c r="D847" t="s">
        <v>3</v>
      </c>
    </row>
    <row r="848" spans="2:4">
      <c r="B848" s="5"/>
      <c r="C848" t="s">
        <v>1</v>
      </c>
      <c r="D848" s="6" t="str">
        <f ca="1">VLOOKUP(OFFSET(smds!$A$1,QUOTIENT(ROW()-2,5),1,1,1),channelfireball!A:C,3,FALSE)</f>
        <v>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v>
      </c>
    </row>
    <row r="849" spans="2:4">
      <c r="B849" s="5"/>
      <c r="C849">
        <f ca="1">VLOOKUP(OFFSET(smds!$A$1,QUOTIENT(ROW()-2,5),1,1,1),channelfireball!A:C,2,FALSE)</f>
        <v>1.5</v>
      </c>
      <c r="D849" s="6"/>
    </row>
    <row r="850" spans="2:4">
      <c r="B850" s="5"/>
      <c r="C850" t="s">
        <v>2</v>
      </c>
      <c r="D850" s="6"/>
    </row>
    <row r="851" spans="2:4">
      <c r="B851" s="5"/>
      <c r="C851">
        <f>smds!C846</f>
        <v>0</v>
      </c>
      <c r="D851" s="6"/>
    </row>
    <row r="852" spans="2:4">
      <c r="B852" s="5"/>
      <c r="C852" t="str">
        <f ca="1">OFFSET(smds!$A$1,QUOTIENT(ROW()-2,5),1,1,1)</f>
        <v>Laboratory Brute</v>
      </c>
      <c r="D852" t="s">
        <v>3</v>
      </c>
    </row>
    <row r="853" spans="2:4">
      <c r="B853" s="5"/>
      <c r="C853" t="s">
        <v>1</v>
      </c>
      <c r="D853" s="6" t="str">
        <f ca="1">VLOOKUP(OFFSET(smds!$A$1,QUOTIENT(ROW()-2,5),1,1,1),channelfireball!A:C,3,FALSE)</f>
        <v>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v>
      </c>
    </row>
    <row r="854" spans="2:4">
      <c r="B854" s="5"/>
      <c r="C854">
        <f ca="1">VLOOKUP(OFFSET(smds!$A$1,QUOTIENT(ROW()-2,5),1,1,1),channelfireball!A:C,2,FALSE)</f>
        <v>1.5</v>
      </c>
      <c r="D854" s="6"/>
    </row>
    <row r="855" spans="2:4">
      <c r="B855" s="5"/>
      <c r="C855" t="s">
        <v>2</v>
      </c>
      <c r="D855" s="6"/>
    </row>
    <row r="856" spans="2:4">
      <c r="B856" s="5"/>
      <c r="C856">
        <f>smds!C851</f>
        <v>0</v>
      </c>
      <c r="D856" s="6"/>
    </row>
    <row r="857" spans="2:4">
      <c r="B857" s="5"/>
      <c r="C857" t="str">
        <f ca="1">OFFSET(smds!$A$1,QUOTIENT(ROW()-2,5),1,1,1)</f>
        <v>Lunar Force</v>
      </c>
      <c r="D857" t="s">
        <v>3</v>
      </c>
    </row>
    <row r="858" spans="2:4">
      <c r="B858" s="5"/>
      <c r="C858" t="s">
        <v>1</v>
      </c>
      <c r="D858" s="6" t="str">
        <f ca="1">VLOOKUP(OFFSET(smds!$A$1,QUOTIENT(ROW()-2,5),1,1,1),channelfireball!A:C,3,FALSE)</f>
        <v>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v>
      </c>
    </row>
    <row r="859" spans="2:4">
      <c r="B859" s="5"/>
      <c r="C859">
        <f ca="1">VLOOKUP(OFFSET(smds!$A$1,QUOTIENT(ROW()-2,5),1,1,1),channelfireball!A:C,2,FALSE)</f>
        <v>0.5</v>
      </c>
      <c r="D859" s="6"/>
    </row>
    <row r="860" spans="2:4">
      <c r="B860" s="5"/>
      <c r="C860" t="s">
        <v>2</v>
      </c>
      <c r="D860" s="6"/>
    </row>
    <row r="861" spans="2:4">
      <c r="B861" s="5"/>
      <c r="C861">
        <f>smds!C856</f>
        <v>0</v>
      </c>
      <c r="D861" s="6"/>
    </row>
    <row r="862" spans="2:4">
      <c r="B862" s="5"/>
      <c r="C862" t="str">
        <f ca="1">OFFSET(smds!$A$1,QUOTIENT(ROW()-2,5),1,1,1)</f>
        <v>Mind's Dilation</v>
      </c>
      <c r="D862" t="s">
        <v>3</v>
      </c>
    </row>
    <row r="863" spans="2:4">
      <c r="B863" s="5"/>
      <c r="C863" t="s">
        <v>1</v>
      </c>
      <c r="D863" s="6" t="e">
        <f ca="1">VLOOKUP(OFFSET(smds!$A$1,QUOTIENT(ROW()-2,5),1,1,1),channelfireball!A:C,3,FALSE)</f>
        <v>#N/A</v>
      </c>
    </row>
    <row r="864" spans="2:4">
      <c r="B864" s="5"/>
      <c r="C864" t="e">
        <f ca="1">VLOOKUP(OFFSET(smds!$A$1,QUOTIENT(ROW()-2,5),1,1,1),channelfireball!A:C,2,FALSE)</f>
        <v>#N/A</v>
      </c>
      <c r="D864" s="6"/>
    </row>
    <row r="865" spans="2:4">
      <c r="B865" s="5"/>
      <c r="C865" t="s">
        <v>2</v>
      </c>
      <c r="D865" s="6"/>
    </row>
    <row r="866" spans="2:4">
      <c r="B866" s="5"/>
      <c r="C866">
        <f>smds!C861</f>
        <v>0</v>
      </c>
      <c r="D866" s="6"/>
    </row>
    <row r="867" spans="2:4">
      <c r="B867" s="5"/>
      <c r="C867" t="str">
        <f ca="1">OFFSET(smds!$A$1,QUOTIENT(ROW()-2,5),1,1,1)</f>
        <v>Spontaneous Mutation</v>
      </c>
      <c r="D867" t="s">
        <v>3</v>
      </c>
    </row>
    <row r="868" spans="2:4">
      <c r="B868" s="5"/>
      <c r="C868" t="s">
        <v>1</v>
      </c>
      <c r="D868" s="6" t="str">
        <f ca="1">VLOOKUP(OFFSET(smds!$A$1,QUOTIENT(ROW()-2,5),1,1,1),channelfireball!A:C,3,FALSE)</f>
        <v>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v>
      </c>
    </row>
    <row r="869" spans="2:4">
      <c r="B869" s="5"/>
      <c r="C869">
        <f ca="1">VLOOKUP(OFFSET(smds!$A$1,QUOTIENT(ROW()-2,5),1,1,1),channelfireball!A:C,2,FALSE)</f>
        <v>1.5</v>
      </c>
      <c r="D869" s="6"/>
    </row>
    <row r="870" spans="2:4">
      <c r="B870" s="5"/>
      <c r="C870" t="s">
        <v>2</v>
      </c>
      <c r="D870" s="6"/>
    </row>
    <row r="871" spans="2:4">
      <c r="B871" s="5"/>
      <c r="C871">
        <f>smds!C866</f>
        <v>0</v>
      </c>
      <c r="D871" s="6"/>
    </row>
    <row r="872" spans="2:4">
      <c r="B872" s="5"/>
      <c r="C872" t="str">
        <f ca="1">OFFSET(smds!$A$1,QUOTIENT(ROW()-2,5),1,1,1)</f>
        <v>Summary Dismissal</v>
      </c>
      <c r="D872" t="s">
        <v>3</v>
      </c>
    </row>
    <row r="873" spans="2:4">
      <c r="B873" s="5"/>
      <c r="C873" t="s">
        <v>1</v>
      </c>
      <c r="D873" s="6" t="str">
        <f ca="1">VLOOKUP(OFFSET(smds!$A$1,QUOTIENT(ROW()-2,5),1,1,1),channelfireball!A:C,3,FALSE)</f>
        <v>This is a fancy way of printing what amounts to a vanilla 4-mana counterspell. I like a Cancel more than most, but I’d be quite unhappy to main deck a 4-mana Cancel, and would only sideboard it in for very slow matchups.</v>
      </c>
    </row>
    <row r="874" spans="2:4">
      <c r="B874" s="5"/>
      <c r="C874">
        <f ca="1">VLOOKUP(OFFSET(smds!$A$1,QUOTIENT(ROW()-2,5),1,1,1),channelfireball!A:C,2,FALSE)</f>
        <v>1</v>
      </c>
      <c r="D874" s="6"/>
    </row>
    <row r="875" spans="2:4">
      <c r="B875" s="5"/>
      <c r="C875" t="s">
        <v>2</v>
      </c>
      <c r="D875" s="6"/>
    </row>
    <row r="876" spans="2:4">
      <c r="B876" s="5"/>
      <c r="C876">
        <f>smds!C871</f>
        <v>0</v>
      </c>
      <c r="D876" s="6"/>
    </row>
    <row r="877" spans="2:4">
      <c r="B877" s="5"/>
      <c r="C877" t="str">
        <f ca="1">OFFSET(smds!$A$1,QUOTIENT(ROW()-2,5),1,1,1)</f>
        <v>Cemetery Recruitment</v>
      </c>
      <c r="D877" t="s">
        <v>3</v>
      </c>
    </row>
    <row r="878" spans="2:4">
      <c r="B878" s="5"/>
      <c r="C878" t="s">
        <v>1</v>
      </c>
      <c r="D878" s="6" t="str">
        <f ca="1">VLOOKUP(OFFSET(smds!$A$1,QUOTIENT(ROW()-2,5),1,1,1),channelfireball!A:C,3,FALSE)</f>
        <v>Raise Dead is never really bad in Limited. In a vanilla deck, you can either start 1 copy of this card or skip it as you see fit. If you have?Zombies, bomb rare creatures, or self-mill, then it becomes an effect you want access to.</v>
      </c>
    </row>
    <row r="879" spans="2:4">
      <c r="B879" s="5"/>
      <c r="C879">
        <f ca="1">VLOOKUP(OFFSET(smds!$A$1,QUOTIENT(ROW()-2,5),1,1,1),channelfireball!A:C,2,FALSE)</f>
        <v>1.5</v>
      </c>
      <c r="D879" s="6"/>
    </row>
    <row r="880" spans="2:4">
      <c r="B880" s="5"/>
      <c r="C880" t="s">
        <v>2</v>
      </c>
      <c r="D880" s="6"/>
    </row>
    <row r="881" spans="2:4">
      <c r="B881" s="5"/>
      <c r="C881">
        <f>smds!C876</f>
        <v>0</v>
      </c>
      <c r="D881" s="6"/>
    </row>
    <row r="882" spans="2:4">
      <c r="B882" s="5"/>
      <c r="C882" t="str">
        <f ca="1">OFFSET(smds!$A$1,QUOTIENT(ROW()-2,5),1,1,1)</f>
        <v>Bold Impaler</v>
      </c>
      <c r="D882" t="s">
        <v>3</v>
      </c>
    </row>
    <row r="883" spans="2:4">
      <c r="B883" s="5"/>
      <c r="C883" t="s">
        <v>1</v>
      </c>
      <c r="D883" s="6" t="str">
        <f ca="1">VLOOKUP(OFFSET(smds!$A$1,QUOTIENT(ROW()-2,5),1,1,1),channelfireball!A:C,3,FALSE)</f>
        <v>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v>
      </c>
    </row>
    <row r="884" spans="2:4">
      <c r="B884" s="5"/>
      <c r="C884">
        <f ca="1">VLOOKUP(OFFSET(smds!$A$1,QUOTIENT(ROW()-2,5),1,1,1),channelfireball!A:C,2,FALSE)</f>
        <v>1</v>
      </c>
      <c r="D884" s="6"/>
    </row>
    <row r="885" spans="2:4">
      <c r="B885" s="5"/>
      <c r="C885" t="s">
        <v>2</v>
      </c>
      <c r="D885" s="6"/>
    </row>
    <row r="886" spans="2:4">
      <c r="B886" s="5"/>
      <c r="C886">
        <f>smds!C881</f>
        <v>0</v>
      </c>
      <c r="D886" s="6"/>
    </row>
    <row r="887" spans="2:4">
      <c r="B887" s="5"/>
      <c r="C887" t="str">
        <f ca="1">OFFSET(smds!$A$1,QUOTIENT(ROW()-2,5),1,1,1)</f>
        <v>Distemper of the Blood</v>
      </c>
      <c r="D887" t="s">
        <v>3</v>
      </c>
    </row>
    <row r="888" spans="2:4">
      <c r="B888" s="5"/>
      <c r="C888" t="s">
        <v>1</v>
      </c>
      <c r="D888" s="6" t="str">
        <f ca="1">VLOOKUP(OFFSET(smds!$A$1,QUOTIENT(ROW()-2,5),1,1,1),channelfireball!A:C,3,FALSE)</f>
        <v>At sorcery speed, Distemper of the Blood is quite bad to hard-cast. It becomes good if you’re playing an aggressive deck that can usually count on having a madness enabler. Overall, it’s hard to make this work, and you shouldn’t be picking it highly.</v>
      </c>
    </row>
    <row r="889" spans="2:4">
      <c r="B889" s="5"/>
      <c r="C889">
        <f ca="1">VLOOKUP(OFFSET(smds!$A$1,QUOTIENT(ROW()-2,5),1,1,1),channelfireball!A:C,2,FALSE)</f>
        <v>1</v>
      </c>
      <c r="D889" s="6"/>
    </row>
    <row r="890" spans="2:4">
      <c r="B890" s="5"/>
      <c r="C890" t="s">
        <v>2</v>
      </c>
      <c r="D890" s="6"/>
    </row>
    <row r="891" spans="2:4">
      <c r="B891" s="5"/>
      <c r="C891">
        <f>smds!C886</f>
        <v>0</v>
      </c>
      <c r="D891" s="6"/>
    </row>
    <row r="892" spans="2:4">
      <c r="B892" s="5"/>
      <c r="C892" t="str">
        <f ca="1">OFFSET(smds!$A$1,QUOTIENT(ROW()-2,5),1,1,1)</f>
        <v>Make Mischief</v>
      </c>
      <c r="D892" t="s">
        <v>3</v>
      </c>
    </row>
    <row r="893" spans="2:4">
      <c r="B893" s="5"/>
      <c r="C893" t="s">
        <v>1</v>
      </c>
      <c r="D893" s="6" t="str">
        <f ca="1">VLOOKUP(OFFSET(smds!$A$1,QUOTIENT(ROW()-2,5),1,1,1),channelfireball!A:C,3,FALSE)</f>
        <v>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v>
      </c>
    </row>
    <row r="894" spans="2:4">
      <c r="B894" s="5"/>
      <c r="C894" t="str">
        <f ca="1">VLOOKUP(OFFSET(smds!$A$1,QUOTIENT(ROW()-2,5),1,1,1),channelfireball!A:C,2,FALSE)</f>
        <v>LimitedRatingg:2.0</v>
      </c>
      <c r="D894" s="6"/>
    </row>
    <row r="895" spans="2:4">
      <c r="B895" s="5"/>
      <c r="C895" t="s">
        <v>2</v>
      </c>
      <c r="D895" s="6"/>
    </row>
    <row r="896" spans="2:4">
      <c r="B896" s="5"/>
      <c r="C896">
        <f>smds!C891</f>
        <v>0</v>
      </c>
      <c r="D896" s="6"/>
    </row>
    <row r="897" spans="2:4">
      <c r="B897" s="5"/>
      <c r="C897" t="str">
        <f ca="1">OFFSET(smds!$A$1,QUOTIENT(ROW()-2,5),1,1,1)</f>
        <v>Otherworldly Outburst</v>
      </c>
      <c r="D897" t="s">
        <v>3</v>
      </c>
    </row>
    <row r="898" spans="2:4">
      <c r="B898" s="5"/>
      <c r="C898" t="s">
        <v>1</v>
      </c>
      <c r="D898" s="6" t="str">
        <f ca="1">VLOOKUP(OFFSET(smds!$A$1,QUOTIENT(ROW()-2,5),1,1,1),channelfireball!A:C,3,FALSE)</f>
        <v>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v>
      </c>
    </row>
    <row r="899" spans="2:4">
      <c r="B899" s="5"/>
      <c r="C899">
        <f ca="1">VLOOKUP(OFFSET(smds!$A$1,QUOTIENT(ROW()-2,5),1,1,1),channelfireball!A:C,2,FALSE)</f>
        <v>2</v>
      </c>
      <c r="D899" s="6"/>
    </row>
    <row r="900" spans="2:4">
      <c r="B900" s="5"/>
      <c r="C900" t="s">
        <v>2</v>
      </c>
      <c r="D900" s="6"/>
    </row>
    <row r="901" spans="2:4">
      <c r="B901" s="5"/>
      <c r="C901">
        <f>smds!C896</f>
        <v>0</v>
      </c>
      <c r="D901" s="6"/>
    </row>
    <row r="902" spans="2:4">
      <c r="B902" s="5"/>
      <c r="C902" t="str">
        <f ca="1">OFFSET(smds!$A$1,QUOTIENT(ROW()-2,5),1,1,1)</f>
        <v>Shreds of Sanity</v>
      </c>
      <c r="D902" t="s">
        <v>3</v>
      </c>
    </row>
    <row r="903" spans="2:4">
      <c r="B903" s="5"/>
      <c r="C903" t="s">
        <v>1</v>
      </c>
      <c r="D903" s="6" t="str">
        <f ca="1">VLOOKUP(OFFSET(smds!$A$1,QUOTIENT(ROW()-2,5),1,1,1),channelfireball!A:C,3,FALSE)</f>
        <v>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v>
      </c>
    </row>
    <row r="904" spans="2:4">
      <c r="B904" s="5"/>
      <c r="C904">
        <f ca="1">VLOOKUP(OFFSET(smds!$A$1,QUOTIENT(ROW()-2,5),1,1,1),channelfireball!A:C,2,FALSE)</f>
        <v>1.5</v>
      </c>
      <c r="D904" s="6"/>
    </row>
    <row r="905" spans="2:4">
      <c r="B905" s="5"/>
      <c r="C905" t="s">
        <v>2</v>
      </c>
      <c r="D905" s="6"/>
    </row>
    <row r="906" spans="2:4">
      <c r="B906" s="5"/>
      <c r="C906">
        <f>smds!C901</f>
        <v>0</v>
      </c>
      <c r="D906" s="6"/>
    </row>
    <row r="907" spans="2:4">
      <c r="B907" s="5"/>
      <c r="C907" t="str">
        <f ca="1">OFFSET(smds!$A$1,QUOTIENT(ROW()-2,5),1,1,1)</f>
        <v>Crop Sigil</v>
      </c>
      <c r="D907" t="s">
        <v>3</v>
      </c>
    </row>
    <row r="908" spans="2:4">
      <c r="B908" s="5"/>
      <c r="C908" t="s">
        <v>1</v>
      </c>
      <c r="D908" s="6" t="str">
        <f ca="1">VLOOKUP(OFFSET(smds!$A$1,QUOTIENT(ROW()-2,5),1,1,1),channelfireball!A:C,3,FALSE)</f>
        <v>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v>
      </c>
    </row>
    <row r="909" spans="2:4">
      <c r="B909" s="5"/>
      <c r="C909">
        <f ca="1">VLOOKUP(OFFSET(smds!$A$1,QUOTIENT(ROW()-2,5),1,1,1),channelfireball!A:C,2,FALSE)</f>
        <v>1.5</v>
      </c>
      <c r="D909" s="6"/>
    </row>
    <row r="910" spans="2:4">
      <c r="B910" s="5"/>
      <c r="C910" t="s">
        <v>2</v>
      </c>
      <c r="D910" s="6"/>
    </row>
    <row r="911" spans="2:4">
      <c r="B911" s="5"/>
      <c r="C911">
        <f>smds!C906</f>
        <v>0</v>
      </c>
      <c r="D911" s="6"/>
    </row>
    <row r="912" spans="2:4">
      <c r="B912" s="5"/>
      <c r="C912" t="str">
        <f ca="1">OFFSET(smds!$A$1,QUOTIENT(ROW()-2,5),1,1,1)</f>
        <v>Crossroads Consecrator</v>
      </c>
      <c r="D912" t="s">
        <v>3</v>
      </c>
    </row>
    <row r="913" spans="2:4">
      <c r="B913" s="5"/>
      <c r="C913" t="s">
        <v>1</v>
      </c>
      <c r="D913" s="6" t="str">
        <f ca="1">VLOOKUP(OFFSET(smds!$A$1,QUOTIENT(ROW()-2,5),1,1,1),channelfireball!A:C,3,FALSE)</f>
        <v>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v>
      </c>
    </row>
    <row r="914" spans="2:4">
      <c r="B914" s="5"/>
      <c r="C914">
        <f ca="1">VLOOKUP(OFFSET(smds!$A$1,QUOTIENT(ROW()-2,5),1,1,1),channelfireball!A:C,2,FALSE)</f>
        <v>1</v>
      </c>
      <c r="D914" s="6"/>
    </row>
    <row r="915" spans="2:4">
      <c r="B915" s="5"/>
      <c r="C915" t="s">
        <v>2</v>
      </c>
      <c r="D915" s="6"/>
    </row>
    <row r="916" spans="2:4">
      <c r="B916" s="5"/>
      <c r="C916">
        <f>smds!C911</f>
        <v>0</v>
      </c>
      <c r="D916" s="6"/>
    </row>
    <row r="917" spans="2:4">
      <c r="B917" s="5"/>
      <c r="C917" t="str">
        <f ca="1">OFFSET(smds!$A$1,QUOTIENT(ROW()-2,5),1,1,1)</f>
        <v>Wolfkin Bond</v>
      </c>
      <c r="D917" t="s">
        <v>3</v>
      </c>
    </row>
    <row r="918" spans="2:4">
      <c r="B918" s="5"/>
      <c r="C918" t="s">
        <v>1</v>
      </c>
      <c r="D918" s="6" t="str">
        <f ca="1">VLOOKUP(OFFSET(smds!$A$1,QUOTIENT(ROW()-2,5),1,1,1),channelfireball!A:C,3,FALSE)</f>
        <v>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v>
      </c>
    </row>
    <row r="919" spans="2:4">
      <c r="B919" s="5"/>
      <c r="C919">
        <f ca="1">VLOOKUP(OFFSET(smds!$A$1,QUOTIENT(ROW()-2,5),1,1,1),channelfireball!A:C,2,FALSE)</f>
        <v>1</v>
      </c>
      <c r="D919" s="6"/>
    </row>
    <row r="920" spans="2:4">
      <c r="B920" s="5"/>
      <c r="C920" t="s">
        <v>2</v>
      </c>
      <c r="D920" s="6"/>
    </row>
    <row r="921" spans="2:4">
      <c r="B921" s="5"/>
      <c r="C921">
        <f>smds!C916</f>
        <v>0</v>
      </c>
      <c r="D921" s="6"/>
    </row>
    <row r="922" spans="2:4">
      <c r="B922" s="5"/>
      <c r="C922" t="str">
        <f ca="1">OFFSET(smds!$A$1,QUOTIENT(ROW()-2,5),1,1,1)</f>
        <v>Woodcutter's Grit</v>
      </c>
      <c r="D922" t="s">
        <v>3</v>
      </c>
    </row>
    <row r="923" spans="2:4">
      <c r="B923" s="5"/>
      <c r="C923" t="s">
        <v>1</v>
      </c>
      <c r="D923" s="6" t="e">
        <f ca="1">VLOOKUP(OFFSET(smds!$A$1,QUOTIENT(ROW()-2,5),1,1,1),channelfireball!A:C,3,FALSE)</f>
        <v>#N/A</v>
      </c>
    </row>
    <row r="924" spans="2:4">
      <c r="B924" s="5"/>
      <c r="C924" t="e">
        <f ca="1">VLOOKUP(OFFSET(smds!$A$1,QUOTIENT(ROW()-2,5),1,1,1),channelfireball!A:C,2,FALSE)</f>
        <v>#N/A</v>
      </c>
      <c r="D924" s="6"/>
    </row>
    <row r="925" spans="2:4">
      <c r="B925" s="5"/>
      <c r="C925" t="s">
        <v>2</v>
      </c>
      <c r="D925" s="6"/>
    </row>
    <row r="926" spans="2:4">
      <c r="B926" s="5"/>
      <c r="C926">
        <f>smds!C921</f>
        <v>0</v>
      </c>
      <c r="D926" s="6"/>
    </row>
    <row r="927" spans="2:4">
      <c r="B927" s="5"/>
      <c r="C927" t="str">
        <f ca="1">OFFSET(smds!$A$1,QUOTIENT(ROW()-2,5),1,1,1)</f>
        <v>Campaign of Vengeance</v>
      </c>
      <c r="D927" t="s">
        <v>3</v>
      </c>
    </row>
    <row r="928" spans="2:4">
      <c r="B928" s="5"/>
      <c r="C928" t="s">
        <v>1</v>
      </c>
      <c r="D928" s="6" t="str">
        <f ca="1">VLOOKUP(OFFSET(smds!$A$1,QUOTIENT(ROW()-2,5),1,1,1),channelfireball!A:C,3,FALSE)</f>
        <v>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v>
      </c>
    </row>
    <row r="929" spans="2:4">
      <c r="B929" s="5"/>
      <c r="C929">
        <f ca="1">VLOOKUP(OFFSET(smds!$A$1,QUOTIENT(ROW()-2,5),1,1,1),channelfireball!A:C,2,FALSE)</f>
        <v>2.5</v>
      </c>
      <c r="D929" s="6"/>
    </row>
    <row r="930" spans="2:4">
      <c r="B930" s="5"/>
      <c r="C930" t="s">
        <v>2</v>
      </c>
      <c r="D930" s="6"/>
    </row>
    <row r="931" spans="2:4">
      <c r="B931" s="5"/>
      <c r="C931">
        <f>smds!C926</f>
        <v>0</v>
      </c>
      <c r="D931" s="6"/>
    </row>
    <row r="932" spans="2:4">
      <c r="B932" s="5"/>
      <c r="C932" t="str">
        <f ca="1">OFFSET(smds!$A$1,QUOTIENT(ROW()-2,5),1,1,1)</f>
        <v>Lupine Prototype</v>
      </c>
      <c r="D932" t="s">
        <v>3</v>
      </c>
    </row>
    <row r="933" spans="2:4">
      <c r="B933" s="5"/>
      <c r="C933" t="s">
        <v>1</v>
      </c>
      <c r="D933" s="6" t="str">
        <f ca="1">VLOOKUP(OFFSET(smds!$A$1,QUOTIENT(ROW()-2,5),1,1,1),channelfireball!A:C,3,FALSE)</f>
        <v>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v>
      </c>
    </row>
    <row r="934" spans="2:4">
      <c r="B934" s="5"/>
      <c r="C934">
        <f ca="1">VLOOKUP(OFFSET(smds!$A$1,QUOTIENT(ROW()-2,5),1,1,1),channelfireball!A:C,2,FALSE)</f>
        <v>2</v>
      </c>
      <c r="D934" s="6"/>
    </row>
    <row r="935" spans="2:4">
      <c r="B935" s="5"/>
      <c r="C935" t="s">
        <v>2</v>
      </c>
      <c r="D935" s="6"/>
    </row>
    <row r="936" spans="2:4">
      <c r="B936" s="5"/>
      <c r="C936">
        <f>smds!C931</f>
        <v>0</v>
      </c>
      <c r="D936" s="6"/>
    </row>
    <row r="937" spans="2:4">
      <c r="B937" s="5"/>
      <c r="C937" t="str">
        <f ca="1">OFFSET(smds!$A$1,QUOTIENT(ROW()-2,5),1,1,1)</f>
        <v>Thirsting Axe</v>
      </c>
      <c r="D937" t="s">
        <v>3</v>
      </c>
    </row>
    <row r="938" spans="2:4">
      <c r="B938" s="5"/>
      <c r="C938" t="s">
        <v>1</v>
      </c>
      <c r="D938" s="6" t="str">
        <f ca="1">VLOOKUP(OFFSET(smds!$A$1,QUOTIENT(ROW()-2,5),1,1,1),channelfireball!A:C,3,FALSE)</f>
        <v>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v>
      </c>
    </row>
    <row r="939" spans="2:4">
      <c r="B939" s="5"/>
      <c r="C939">
        <f ca="1">VLOOKUP(OFFSET(smds!$A$1,QUOTIENT(ROW()-2,5),1,1,1),channelfireball!A:C,2,FALSE)</f>
        <v>1.5</v>
      </c>
      <c r="D939" s="6"/>
    </row>
    <row r="940" spans="2:4">
      <c r="B940" s="5"/>
      <c r="C940" t="s">
        <v>2</v>
      </c>
      <c r="D940" s="6"/>
    </row>
    <row r="941" spans="2:4">
      <c r="B941" s="5"/>
      <c r="C941">
        <f>smds!C936</f>
        <v>0</v>
      </c>
      <c r="D941" s="6"/>
    </row>
    <row r="942" spans="2:4">
      <c r="B942" s="5"/>
      <c r="C942" t="str">
        <f ca="1">OFFSET(smds!$A$1,QUOTIENT(ROW()-2,5),1,1,1)</f>
        <v>Peace of Mind</v>
      </c>
      <c r="D942" t="s">
        <v>3</v>
      </c>
    </row>
    <row r="943" spans="2:4">
      <c r="B943" s="5"/>
      <c r="C943" t="s">
        <v>1</v>
      </c>
      <c r="D943" s="6" t="str">
        <f ca="1">VLOOKUP(OFFSET(smds!$A$1,QUOTIENT(ROW()-2,5),1,1,1),channelfireball!A:C,3,FALSE)</f>
        <v>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v>
      </c>
    </row>
    <row r="944" spans="2:4">
      <c r="B944" s="5"/>
      <c r="C944">
        <f ca="1">VLOOKUP(OFFSET(smds!$A$1,QUOTIENT(ROW()-2,5),1,1,1),channelfireball!A:C,2,FALSE)</f>
        <v>1</v>
      </c>
      <c r="D944" s="6"/>
    </row>
    <row r="945" spans="2:4">
      <c r="B945" s="5"/>
      <c r="C945" t="s">
        <v>2</v>
      </c>
      <c r="D945" s="6"/>
    </row>
    <row r="946" spans="2:4">
      <c r="B946" s="5"/>
      <c r="C946">
        <f>smds!C941</f>
        <v>0</v>
      </c>
      <c r="D946" s="6"/>
    </row>
    <row r="947" spans="2:4">
      <c r="B947" s="5"/>
      <c r="C947" t="str">
        <f ca="1">OFFSET(smds!$A$1,QUOTIENT(ROW()-2,5),1,1,1)</f>
        <v>Displace</v>
      </c>
      <c r="D947" t="s">
        <v>3</v>
      </c>
    </row>
    <row r="948" spans="2:4">
      <c r="B948" s="5"/>
      <c r="C948" t="s">
        <v>1</v>
      </c>
      <c r="D948" s="6" t="str">
        <f ca="1">VLOOKUP(OFFSET(smds!$A$1,QUOTIENT(ROW()-2,5),1,1,1),channelfireball!A:C,3,FALSE)</f>
        <v>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v>
      </c>
    </row>
    <row r="949" spans="2:4">
      <c r="B949" s="5"/>
      <c r="C949">
        <f ca="1">VLOOKUP(OFFSET(smds!$A$1,QUOTIENT(ROW()-2,5),1,1,1),channelfireball!A:C,2,FALSE)</f>
        <v>0.5</v>
      </c>
      <c r="D949" s="6"/>
    </row>
    <row r="950" spans="2:4">
      <c r="B950" s="5"/>
      <c r="C950" t="s">
        <v>2</v>
      </c>
      <c r="D950" s="6"/>
    </row>
    <row r="951" spans="2:4">
      <c r="B951" s="5"/>
      <c r="C951">
        <f>smds!C946</f>
        <v>0</v>
      </c>
      <c r="D951" s="6"/>
    </row>
    <row r="952" spans="2:4">
      <c r="B952" s="5"/>
      <c r="C952" t="str">
        <f ca="1">OFFSET(smds!$A$1,QUOTIENT(ROW()-2,5),1,1,1)</f>
        <v>Turn Aside</v>
      </c>
      <c r="D952" t="s">
        <v>3</v>
      </c>
    </row>
    <row r="953" spans="2:4">
      <c r="B953" s="5"/>
      <c r="C953" t="s">
        <v>1</v>
      </c>
      <c r="D953" s="6" t="str">
        <f ca="1">VLOOKUP(OFFSET(smds!$A$1,QUOTIENT(ROW()-2,5),1,1,1),channelfireball!A:C,3,FALSE)</f>
        <v>Highly situational cards like Turn Aside are never high draft picks. In an emergency where you’ve only drafted 19 or 20 playables, you could put Turn Aside in your main deck and hope things work out for the perfect blowout. Preferably, though, this is?sideboard material.</v>
      </c>
    </row>
    <row r="954" spans="2:4">
      <c r="B954" s="5"/>
      <c r="C954">
        <f ca="1">VLOOKUP(OFFSET(smds!$A$1,QUOTIENT(ROW()-2,5),1,1,1),channelfireball!A:C,2,FALSE)</f>
        <v>1</v>
      </c>
      <c r="D954" s="6"/>
    </row>
    <row r="955" spans="2:4">
      <c r="B955" s="5"/>
      <c r="C955" t="s">
        <v>2</v>
      </c>
      <c r="D955" s="6"/>
    </row>
    <row r="956" spans="2:4">
      <c r="B956" s="5"/>
      <c r="C956">
        <f>smds!C951</f>
        <v>0</v>
      </c>
      <c r="D956" s="6"/>
    </row>
    <row r="957" spans="2:4">
      <c r="B957" s="5"/>
      <c r="C957" t="str">
        <f ca="1">OFFSET(smds!$A$1,QUOTIENT(ROW()-2,5),1,1,1)</f>
        <v>Prying Questions</v>
      </c>
      <c r="D957" t="s">
        <v>3</v>
      </c>
    </row>
    <row r="958" spans="2:4">
      <c r="B958" s="5"/>
      <c r="C958" t="s">
        <v>1</v>
      </c>
      <c r="D958" s="6" t="str">
        <f ca="1">VLOOKUP(OFFSET(smds!$A$1,QUOTIENT(ROW()-2,5),1,1,1),channelfireball!A:C,3,FALSE)</f>
        <v>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v>
      </c>
    </row>
    <row r="959" spans="2:4">
      <c r="B959" s="5"/>
      <c r="C959">
        <f ca="1">VLOOKUP(OFFSET(smds!$A$1,QUOTIENT(ROW()-2,5),1,1,1),channelfireball!A:C,2,FALSE)</f>
        <v>1</v>
      </c>
      <c r="D959" s="6"/>
    </row>
    <row r="960" spans="2:4">
      <c r="B960" s="5"/>
      <c r="C960" t="s">
        <v>2</v>
      </c>
      <c r="D960" s="6"/>
    </row>
    <row r="961" spans="2:4">
      <c r="B961" s="5"/>
      <c r="C961">
        <f>smds!C956</f>
        <v>0</v>
      </c>
      <c r="D961" s="6"/>
    </row>
    <row r="962" spans="2:4">
      <c r="B962" s="5"/>
      <c r="C962" t="str">
        <f ca="1">OFFSET(smds!$A$1,QUOTIENT(ROW()-2,5),1,1,1)</f>
        <v>Strange Augmentation</v>
      </c>
      <c r="D962" t="s">
        <v>3</v>
      </c>
    </row>
    <row r="963" spans="2:4">
      <c r="B963" s="5"/>
      <c r="C963" t="s">
        <v>1</v>
      </c>
      <c r="D963" s="6" t="str">
        <f ca="1">VLOOKUP(OFFSET(smds!$A$1,QUOTIENT(ROW()-2,5),1,1,1),channelfireball!A:C,3,FALSE)</f>
        <v>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v>
      </c>
    </row>
    <row r="964" spans="2:4">
      <c r="B964" s="5"/>
      <c r="C964">
        <f ca="1">VLOOKUP(OFFSET(smds!$A$1,QUOTIENT(ROW()-2,5),1,1,1),channelfireball!A:C,2,FALSE)</f>
        <v>1</v>
      </c>
      <c r="D964" s="6"/>
    </row>
    <row r="965" spans="2:4">
      <c r="B965" s="5"/>
      <c r="C965" t="s">
        <v>2</v>
      </c>
      <c r="D965" s="6"/>
    </row>
    <row r="966" spans="2:4">
      <c r="B966" s="5"/>
      <c r="C966">
        <f>smds!C961</f>
        <v>0</v>
      </c>
      <c r="D966" s="6"/>
    </row>
    <row r="967" spans="2:4">
      <c r="B967" s="5"/>
      <c r="C967" t="str">
        <f ca="1">OFFSET(smds!$A$1,QUOTIENT(ROW()-2,5),1,1,1)</f>
        <v>Splendid Reclamation</v>
      </c>
      <c r="D967" t="s">
        <v>3</v>
      </c>
    </row>
    <row r="968" spans="2:4">
      <c r="B968" s="5"/>
      <c r="C968" t="s">
        <v>1</v>
      </c>
      <c r="D968" s="6" t="str">
        <f ca="1">VLOOKUP(OFFSET(smds!$A$1,QUOTIENT(ROW()-2,5),1,1,1),channelfireball!A:C,3,FALSE)</f>
        <v>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v>
      </c>
    </row>
    <row r="969" spans="2:4">
      <c r="B969" s="5"/>
      <c r="C969">
        <f ca="1">VLOOKUP(OFFSET(smds!$A$1,QUOTIENT(ROW()-2,5),1,1,1),channelfireball!A:C,2,FALSE)</f>
        <v>0</v>
      </c>
      <c r="D969" s="6"/>
    </row>
    <row r="970" spans="2:4">
      <c r="B970" s="5"/>
      <c r="C970" t="s">
        <v>2</v>
      </c>
      <c r="D970" s="6"/>
    </row>
    <row r="971" spans="2:4">
      <c r="B971" s="5"/>
      <c r="C971">
        <f>smds!C966</f>
        <v>0</v>
      </c>
      <c r="D971" s="6"/>
    </row>
    <row r="972" spans="2:4">
      <c r="B972" s="5"/>
      <c r="C972" t="str">
        <f ca="1">OFFSET(smds!$A$1,QUOTIENT(ROW()-2,5),1,1,1)</f>
        <v>Springsage Ritual</v>
      </c>
      <c r="D972" t="s">
        <v>3</v>
      </c>
    </row>
    <row r="973" spans="2:4">
      <c r="B973" s="5"/>
      <c r="C973" t="s">
        <v>1</v>
      </c>
      <c r="D973" s="6" t="str">
        <f ca="1">VLOOKUP(OFFSET(smds!$A$1,QUOTIENT(ROW()-2,5),1,1,1),channelfireball!A:C,3,FALSE)</f>
        <v>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v>
      </c>
    </row>
    <row r="974" spans="2:4">
      <c r="B974" s="5"/>
      <c r="C974">
        <f ca="1">VLOOKUP(OFFSET(smds!$A$1,QUOTIENT(ROW()-2,5),1,1,1),channelfireball!A:C,2,FALSE)</f>
        <v>1</v>
      </c>
      <c r="D974" s="6"/>
    </row>
    <row r="975" spans="2:4">
      <c r="B975" s="5"/>
      <c r="C975" t="s">
        <v>2</v>
      </c>
      <c r="D975" s="6"/>
    </row>
    <row r="976" spans="2:4">
      <c r="B976" s="5"/>
      <c r="C976">
        <f>smds!C971</f>
        <v>0</v>
      </c>
      <c r="D976" s="6"/>
    </row>
    <row r="977" spans="2:4">
      <c r="B977" s="5"/>
      <c r="C977" t="str">
        <f ca="1">OFFSET(smds!$A$1,QUOTIENT(ROW()-2,5),1,1,1)</f>
        <v>Waxing Moon</v>
      </c>
      <c r="D977" t="s">
        <v>3</v>
      </c>
    </row>
    <row r="978" spans="2:4">
      <c r="B978" s="5"/>
      <c r="C978" t="s">
        <v>1</v>
      </c>
      <c r="D978" s="6" t="str">
        <f ca="1">VLOOKUP(OFFSET(smds!$A$1,QUOTIENT(ROW()-2,5),1,1,1),channelfireball!A:C,3,FALSE)</f>
        <v>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v>
      </c>
    </row>
    <row r="979" spans="2:4">
      <c r="B979" s="5"/>
      <c r="C979">
        <f ca="1">VLOOKUP(OFFSET(smds!$A$1,QUOTIENT(ROW()-2,5),1,1,1),channelfireball!A:C,2,FALSE)</f>
        <v>1.5</v>
      </c>
      <c r="D979" s="6"/>
    </row>
    <row r="980" spans="2:4">
      <c r="B980" s="5"/>
      <c r="C980" t="s">
        <v>2</v>
      </c>
      <c r="D980" s="6"/>
    </row>
    <row r="981" spans="2:4">
      <c r="B981" s="5"/>
      <c r="C981">
        <f>smds!C976</f>
        <v>0</v>
      </c>
      <c r="D981" s="6"/>
    </row>
    <row r="982" spans="2:4">
      <c r="B982" s="5"/>
      <c r="C982" t="str">
        <f ca="1">OFFSET(smds!$A$1,QUOTIENT(ROW()-2,5),1,1,1)</f>
        <v>Ironwright's Cleansing</v>
      </c>
      <c r="D982" t="s">
        <v>3</v>
      </c>
    </row>
    <row r="983" spans="2:4">
      <c r="B983" s="5"/>
      <c r="C983" t="s">
        <v>1</v>
      </c>
      <c r="D983" s="6" t="str">
        <f ca="1">VLOOKUP(OFFSET(smds!$A$1,QUOTIENT(ROW()-2,5),1,1,1),channelfireball!A:C,3,FALSE)</f>
        <v>Try not to maindeck Ironwright’s Cleansing, but there seem to be enough artifacts and enchantments in this Limited format that it wouldn’t be a complete catastrophe if you had to do so. Beyond that, it looks like a solid sideboard card.</v>
      </c>
    </row>
    <row r="984" spans="2:4">
      <c r="B984" s="5"/>
      <c r="C984">
        <f ca="1">VLOOKUP(OFFSET(smds!$A$1,QUOTIENT(ROW()-2,5),1,1,1),channelfireball!A:C,2,FALSE)</f>
        <v>1</v>
      </c>
      <c r="D984" s="6"/>
    </row>
    <row r="985" spans="2:4">
      <c r="B985" s="5"/>
      <c r="C985" t="s">
        <v>2</v>
      </c>
      <c r="D985" s="6"/>
    </row>
    <row r="986" spans="2:4">
      <c r="B986" s="5"/>
      <c r="C986">
        <f>smds!C981</f>
        <v>0</v>
      </c>
      <c r="D986" s="6"/>
    </row>
    <row r="987" spans="2:4">
      <c r="B987" s="5"/>
      <c r="C987" t="str">
        <f ca="1">OFFSET(smds!$A$1,QUOTIENT(ROW()-2,5),1,1,1)</f>
        <v>Coax from the Blind Eternities</v>
      </c>
      <c r="D987" t="s">
        <v>3</v>
      </c>
    </row>
    <row r="988" spans="2:4">
      <c r="B988" s="5"/>
      <c r="C988" t="s">
        <v>1</v>
      </c>
      <c r="D988" s="6" t="str">
        <f ca="1">VLOOKUP(OFFSET(smds!$A$1,QUOTIENT(ROW()-2,5),1,1,1),channelfireball!A:C,3,FALSE)</f>
        <v>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v>
      </c>
    </row>
    <row r="989" spans="2:4">
      <c r="B989" s="5"/>
      <c r="C989">
        <f ca="1">VLOOKUP(OFFSET(smds!$A$1,QUOTIENT(ROW()-2,5),1,1,1),channelfireball!A:C,2,FALSE)</f>
        <v>0.5</v>
      </c>
      <c r="D989" s="6"/>
    </row>
    <row r="990" spans="2:4">
      <c r="B990" s="5"/>
      <c r="C990" t="s">
        <v>2</v>
      </c>
      <c r="D990" s="6"/>
    </row>
    <row r="991" spans="2:4">
      <c r="B991" s="5"/>
      <c r="C991">
        <f>smds!C986</f>
        <v>0</v>
      </c>
      <c r="D991" s="6"/>
    </row>
    <row r="992" spans="2:4">
      <c r="B992" s="5"/>
      <c r="C992" t="str">
        <f ca="1">OFFSET(smds!$A$1,QUOTIENT(ROW()-2,5),1,1,1)</f>
        <v>Contingency Plan</v>
      </c>
      <c r="D992" t="s">
        <v>3</v>
      </c>
    </row>
    <row r="993" spans="2:4">
      <c r="B993" s="5"/>
      <c r="C993" t="s">
        <v>1</v>
      </c>
      <c r="D993" s="6" t="str">
        <f ca="1">VLOOKUP(OFFSET(smds!$A$1,QUOTIENT(ROW()-2,5),1,1,1),channelfireball!A:C,3,FALSE)</f>
        <v>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v>
      </c>
    </row>
    <row r="994" spans="2:4">
      <c r="B994" s="5"/>
      <c r="C994">
        <f ca="1">VLOOKUP(OFFSET(smds!$A$1,QUOTIENT(ROW()-2,5),1,1,1),channelfireball!A:C,2,FALSE)</f>
        <v>0.5</v>
      </c>
      <c r="D994" s="6"/>
    </row>
    <row r="995" spans="2:4">
      <c r="B995" s="5"/>
      <c r="C995" t="s">
        <v>2</v>
      </c>
      <c r="D995" s="6"/>
    </row>
    <row r="996" spans="2:4">
      <c r="B996" s="5"/>
      <c r="C996">
        <f>smds!C991</f>
        <v>0</v>
      </c>
      <c r="D996" s="6"/>
    </row>
    <row r="997" spans="2:4">
      <c r="B997" s="5"/>
      <c r="C997" t="str">
        <f ca="1">OFFSET(smds!$A$1,QUOTIENT(ROW()-2,5),1,1,1)</f>
        <v>Harmless Offering</v>
      </c>
      <c r="D997" t="s">
        <v>3</v>
      </c>
    </row>
    <row r="998" spans="2:4">
      <c r="B998" s="5"/>
      <c r="C998" t="s">
        <v>1</v>
      </c>
      <c r="D998" s="6" t="str">
        <f ca="1">VLOOKUP(OFFSET(smds!$A$1,QUOTIENT(ROW()-2,5),1,1,1),channelfireball!A:C,3,FALSE)</f>
        <v>This is what my teammate Andrew Cuneo would call “a sideboard card.”</v>
      </c>
    </row>
    <row r="999" spans="2:4">
      <c r="B999" s="5"/>
      <c r="C999">
        <f ca="1">VLOOKUP(OFFSET(smds!$A$1,QUOTIENT(ROW()-2,5),1,1,1),channelfireball!A:C,2,FALSE)</f>
        <v>0</v>
      </c>
      <c r="D999" s="6"/>
    </row>
    <row r="1000" spans="2:4">
      <c r="B1000" s="5"/>
      <c r="C1000" t="s">
        <v>2</v>
      </c>
      <c r="D1000" s="6"/>
    </row>
    <row r="1001" spans="2:4">
      <c r="B1001" s="5"/>
      <c r="C1001">
        <f>smds!C996</f>
        <v>0</v>
      </c>
      <c r="D1001" s="6"/>
    </row>
    <row r="1002" spans="2:4">
      <c r="B1002" s="5"/>
      <c r="C1002" t="str">
        <f ca="1">OFFSET(smds!$A$1,QUOTIENT(ROW()-2,5),1,1,1)</f>
        <v>Prophetic Ravings</v>
      </c>
      <c r="D1002" t="s">
        <v>3</v>
      </c>
    </row>
    <row r="1003" spans="2:4">
      <c r="B1003" s="5"/>
      <c r="C1003" t="s">
        <v>1</v>
      </c>
      <c r="D1003" s="6" t="str">
        <f ca="1">VLOOKUP(OFFSET(smds!$A$1,QUOTIENT(ROW()-2,5),1,1,1),channelfireball!A:C,3,FALSE)</f>
        <v>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v>
      </c>
    </row>
    <row r="1004" spans="2:4">
      <c r="B1004" s="5"/>
      <c r="C1004">
        <f ca="1">VLOOKUP(OFFSET(smds!$A$1,QUOTIENT(ROW()-2,5),1,1,1),channelfireball!A:C,2,FALSE)</f>
        <v>1</v>
      </c>
      <c r="D1004" s="6"/>
    </row>
    <row r="1005" spans="2:4">
      <c r="B1005" s="5"/>
      <c r="C1005" t="s">
        <v>2</v>
      </c>
      <c r="D1005" s="6"/>
    </row>
    <row r="1006" spans="2:4">
      <c r="B1006" s="5"/>
      <c r="C1006">
        <f>smds!C1001</f>
        <v>0</v>
      </c>
      <c r="D1006" s="6"/>
    </row>
    <row r="1007" spans="2:4">
      <c r="B1007" s="5"/>
      <c r="C1007" t="str">
        <f ca="1">OFFSET(smds!$A$1,QUOTIENT(ROW()-2,5),1,1,1)</f>
        <v>Stensia Banquet</v>
      </c>
      <c r="D1007" t="s">
        <v>3</v>
      </c>
    </row>
    <row r="1008" spans="2:4">
      <c r="B1008" s="5"/>
      <c r="C1008" t="s">
        <v>1</v>
      </c>
      <c r="D1008" s="6" t="str">
        <f ca="1">VLOOKUP(OFFSET(smds!$A$1,QUOTIENT(ROW()-2,5),1,1,1),channelfireball!A:C,3,FALSE)</f>
        <v>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v>
      </c>
    </row>
    <row r="1009" spans="2:4">
      <c r="B1009" s="5"/>
      <c r="C1009">
        <f ca="1">VLOOKUP(OFFSET(smds!$A$1,QUOTIENT(ROW()-2,5),1,1,1),channelfireball!A:C,2,FALSE)</f>
        <v>1.5</v>
      </c>
      <c r="D1009" s="6"/>
    </row>
    <row r="1010" spans="2:4">
      <c r="B1010" s="5"/>
      <c r="C1010" t="s">
        <v>2</v>
      </c>
      <c r="D1010" s="6"/>
    </row>
    <row r="1011" spans="2:4">
      <c r="B1011" s="5"/>
      <c r="C1011">
        <f>smds!C1006</f>
        <v>0</v>
      </c>
      <c r="D1011" s="6"/>
    </row>
    <row r="1012" spans="2:4">
      <c r="B1012" s="5"/>
      <c r="C1012" t="str">
        <f ca="1">OFFSET(smds!$A$1,QUOTIENT(ROW()-2,5),1,1,1)</f>
        <v>Emrakul's Influence</v>
      </c>
      <c r="D1012" t="s">
        <v>3</v>
      </c>
    </row>
    <row r="1013" spans="2:4">
      <c r="B1013" s="5"/>
      <c r="C1013" t="s">
        <v>1</v>
      </c>
      <c r="D1013" s="6" t="e">
        <f ca="1">VLOOKUP(OFFSET(smds!$A$1,QUOTIENT(ROW()-2,5),1,1,1),channelfireball!A:C,3,FALSE)</f>
        <v>#N/A</v>
      </c>
    </row>
    <row r="1014" spans="2:4">
      <c r="B1014" s="5"/>
      <c r="C1014" t="e">
        <f ca="1">VLOOKUP(OFFSET(smds!$A$1,QUOTIENT(ROW()-2,5),1,1,1),channelfireball!A:C,2,FALSE)</f>
        <v>#N/A</v>
      </c>
      <c r="D1014" s="6"/>
    </row>
    <row r="1015" spans="2:4">
      <c r="B1015" s="5"/>
      <c r="C1015" t="s">
        <v>2</v>
      </c>
      <c r="D1015" s="6"/>
    </row>
    <row r="1016" spans="2:4">
      <c r="B1016" s="5"/>
      <c r="C1016">
        <f>smds!C1011</f>
        <v>0</v>
      </c>
      <c r="D1016" s="6"/>
    </row>
    <row r="1017" spans="2:4">
      <c r="B1017" s="5"/>
      <c r="C1017" t="str">
        <f ca="1">OFFSET(smds!$A$1,QUOTIENT(ROW()-2,5),1,1,1)</f>
        <v>Deploy the Gatewatch</v>
      </c>
      <c r="D1017" t="s">
        <v>3</v>
      </c>
    </row>
    <row r="1018" spans="2:4">
      <c r="B1018" s="5"/>
      <c r="C1018" t="s">
        <v>1</v>
      </c>
      <c r="D1018" s="6" t="str">
        <f ca="1">VLOOKUP(OFFSET(smds!$A$1,QUOTIENT(ROW()-2,5),1,1,1),channelfireball!A:C,3,FALSE)</f>
        <v>If you somehow end up with 3 planeswalkers and Deploy the Gatewatch in Limited―congratulations, everybody hates you.</v>
      </c>
    </row>
    <row r="1019" spans="2:4">
      <c r="B1019" s="5"/>
      <c r="C1019">
        <f ca="1">VLOOKUP(OFFSET(smds!$A$1,QUOTIENT(ROW()-2,5),1,1,1),channelfireball!A:C,2,FALSE)</f>
        <v>0</v>
      </c>
      <c r="D1019" s="6"/>
    </row>
    <row r="1020" spans="2:4">
      <c r="B1020" s="5"/>
      <c r="C1020" t="s">
        <v>2</v>
      </c>
      <c r="D1020" s="6"/>
    </row>
    <row r="1021" spans="2:4">
      <c r="B1021" s="5"/>
      <c r="C1021">
        <f>smds!C1016</f>
        <v>0</v>
      </c>
      <c r="D1021" s="6"/>
    </row>
    <row r="1022" spans="2:4">
      <c r="B1022" s="5"/>
      <c r="C1022" t="str">
        <f ca="1">OFFSET(smds!$A$1,QUOTIENT(ROW()-2,5),1,1,1)</f>
        <v>Nephalia Academy</v>
      </c>
      <c r="D1022" t="s">
        <v>3</v>
      </c>
    </row>
    <row r="1023" spans="2:4">
      <c r="B1023" s="5"/>
      <c r="C1023" t="s">
        <v>1</v>
      </c>
      <c r="D1023" s="6" t="str">
        <f ca="1">VLOOKUP(OFFSET(smds!$A$1,QUOTIENT(ROW()-2,5),1,1,1),channelfireball!A:C,3,FALSE)</f>
        <v>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v>
      </c>
    </row>
    <row r="1024" spans="2:4">
      <c r="B1024" s="5"/>
      <c r="C1024">
        <f ca="1">VLOOKUP(OFFSET(smds!$A$1,QUOTIENT(ROW()-2,5),1,1,1),channelfireball!A:C,2,FALSE)</f>
        <v>0</v>
      </c>
      <c r="D1024" s="6"/>
    </row>
    <row r="1025" spans="2:4">
      <c r="B1025" s="5"/>
      <c r="C1025" t="s">
        <v>2</v>
      </c>
      <c r="D1025" s="6"/>
    </row>
    <row r="1026" spans="2:4">
      <c r="B1026" s="5"/>
      <c r="C1026">
        <f>smds!C1021</f>
        <v>0</v>
      </c>
      <c r="D1026" s="6"/>
    </row>
    <row r="1027" spans="2:4">
      <c r="B1027" s="5"/>
      <c r="C1027">
        <f ca="1">OFFSET(smds!$A$1,QUOTIENT(ROW()-2,5),1,1,1)</f>
        <v>0</v>
      </c>
      <c r="D1027" t="s">
        <v>3</v>
      </c>
    </row>
    <row r="1028" spans="2:4">
      <c r="B1028" s="5"/>
      <c r="C1028" t="s">
        <v>1</v>
      </c>
      <c r="D1028" s="6" t="e">
        <f ca="1">VLOOKUP(OFFSET(smds!$A$1,QUOTIENT(ROW()-2,5),1,1,1),channelfireball!A:C,3,FALSE)</f>
        <v>#N/A</v>
      </c>
    </row>
    <row r="1029" spans="2:4">
      <c r="B1029" s="5"/>
      <c r="C1029" t="e">
        <f ca="1">VLOOKUP(OFFSET(smds!$A$1,QUOTIENT(ROW()-2,5),1,1,1),channelfireball!A:C,2,FALSE)</f>
        <v>#N/A</v>
      </c>
      <c r="D1029" s="6"/>
    </row>
    <row r="1030" spans="2:4">
      <c r="B1030" s="5"/>
      <c r="C1030" t="s">
        <v>2</v>
      </c>
      <c r="D1030" s="6"/>
    </row>
    <row r="1031" spans="2:4">
      <c r="B1031" s="5"/>
      <c r="C1031">
        <f>smds!C1026</f>
        <v>0</v>
      </c>
      <c r="D1031" s="6"/>
    </row>
    <row r="1032" spans="2:4">
      <c r="B1032" s="5"/>
      <c r="C1032">
        <f ca="1">OFFSET(smds!$A$1,QUOTIENT(ROW()-2,5),1,1,1)</f>
        <v>0</v>
      </c>
      <c r="D1032" t="s">
        <v>3</v>
      </c>
    </row>
    <row r="1033" spans="2:4">
      <c r="B1033" s="5"/>
      <c r="C1033" t="s">
        <v>1</v>
      </c>
      <c r="D1033" s="6" t="e">
        <f ca="1">VLOOKUP(OFFSET(smds!$A$1,QUOTIENT(ROW()-2,5),1,1,1),channelfireball!A:C,3,FALSE)</f>
        <v>#N/A</v>
      </c>
    </row>
    <row r="1034" spans="2:4">
      <c r="B1034" s="5"/>
      <c r="C1034" t="e">
        <f ca="1">VLOOKUP(OFFSET(smds!$A$1,QUOTIENT(ROW()-2,5),1,1,1),channelfireball!A:C,2,FALSE)</f>
        <v>#N/A</v>
      </c>
      <c r="D1034" s="6"/>
    </row>
    <row r="1035" spans="2:4">
      <c r="B1035" s="5"/>
      <c r="C1035" t="s">
        <v>2</v>
      </c>
      <c r="D1035" s="6"/>
    </row>
    <row r="1036" spans="2:4">
      <c r="B1036" s="5"/>
      <c r="C1036">
        <f>smds!C1031</f>
        <v>0</v>
      </c>
      <c r="D1036" s="6"/>
    </row>
    <row r="1037" spans="2:4">
      <c r="B1037" s="5"/>
      <c r="C1037">
        <f ca="1">OFFSET(smds!$A$1,QUOTIENT(ROW()-2,5),1,1,1)</f>
        <v>0</v>
      </c>
      <c r="D1037" t="s">
        <v>3</v>
      </c>
    </row>
    <row r="1038" spans="2:4">
      <c r="B1038" s="5"/>
      <c r="C1038" t="s">
        <v>1</v>
      </c>
      <c r="D1038" s="6" t="e">
        <f ca="1">VLOOKUP(OFFSET(smds!$A$1,QUOTIENT(ROW()-2,5),1,1,1),channelfireball!A:C,3,FALSE)</f>
        <v>#N/A</v>
      </c>
    </row>
    <row r="1039" spans="2:4">
      <c r="B1039" s="5"/>
      <c r="C1039" t="e">
        <f ca="1">VLOOKUP(OFFSET(smds!$A$1,QUOTIENT(ROW()-2,5),1,1,1),channelfireball!A:C,2,FALSE)</f>
        <v>#N/A</v>
      </c>
      <c r="D1039" s="6"/>
    </row>
    <row r="1040" spans="2:4">
      <c r="B1040" s="5"/>
      <c r="C1040" t="s">
        <v>2</v>
      </c>
      <c r="D1040" s="6"/>
    </row>
    <row r="1041" spans="2:4">
      <c r="B1041" s="5"/>
      <c r="C1041">
        <f>smds!C1036</f>
        <v>0</v>
      </c>
      <c r="D1041" s="6"/>
    </row>
    <row r="1042" spans="2:4">
      <c r="B1042" s="5"/>
      <c r="C1042">
        <f ca="1">OFFSET(smds!$A$1,QUOTIENT(ROW()-2,5),1,1,1)</f>
        <v>0</v>
      </c>
      <c r="D1042" t="s">
        <v>3</v>
      </c>
    </row>
    <row r="1043" spans="2:4">
      <c r="B1043" s="5"/>
      <c r="C1043" t="s">
        <v>1</v>
      </c>
      <c r="D1043" s="6" t="e">
        <f ca="1">VLOOKUP(OFFSET(smds!$A$1,QUOTIENT(ROW()-2,5),1,1,1),channelfireball!A:C,3,FALSE)</f>
        <v>#N/A</v>
      </c>
    </row>
    <row r="1044" spans="2:4">
      <c r="B1044" s="5"/>
      <c r="C1044" t="e">
        <f ca="1">VLOOKUP(OFFSET(smds!$A$1,QUOTIENT(ROW()-2,5),1,1,1),channelfireball!A:C,2,FALSE)</f>
        <v>#N/A</v>
      </c>
      <c r="D1044" s="6"/>
    </row>
    <row r="1045" spans="2:4">
      <c r="B1045" s="5"/>
      <c r="C1045" t="s">
        <v>2</v>
      </c>
      <c r="D1045" s="6"/>
    </row>
    <row r="1046" spans="2:4">
      <c r="B1046" s="5"/>
      <c r="C1046">
        <f>smds!C1041</f>
        <v>0</v>
      </c>
      <c r="D1046" s="6"/>
    </row>
    <row r="1047" spans="2:4">
      <c r="B1047" s="5"/>
      <c r="C1047">
        <f ca="1">OFFSET(smds!$A$1,QUOTIENT(ROW()-2,5),1,1,1)</f>
        <v>0</v>
      </c>
      <c r="D1047" t="s">
        <v>3</v>
      </c>
    </row>
    <row r="1048" spans="2:4">
      <c r="B1048" s="5"/>
      <c r="C1048" t="s">
        <v>1</v>
      </c>
      <c r="D1048" s="6" t="e">
        <f ca="1">VLOOKUP(OFFSET(smds!$A$1,QUOTIENT(ROW()-2,5),1,1,1),channelfireball!A:C,3,FALSE)</f>
        <v>#N/A</v>
      </c>
    </row>
    <row r="1049" spans="2:4">
      <c r="B1049" s="5"/>
      <c r="C1049" t="e">
        <f ca="1">VLOOKUP(OFFSET(smds!$A$1,QUOTIENT(ROW()-2,5),1,1,1),channelfireball!A:C,2,FALSE)</f>
        <v>#N/A</v>
      </c>
      <c r="D1049" s="6"/>
    </row>
    <row r="1050" spans="2:4">
      <c r="B1050" s="5"/>
      <c r="C1050" t="s">
        <v>2</v>
      </c>
      <c r="D1050" s="6"/>
    </row>
    <row r="1051" spans="2:4">
      <c r="B1051" s="5"/>
      <c r="C1051">
        <f>smds!C1046</f>
        <v>0</v>
      </c>
      <c r="D1051" s="6"/>
    </row>
    <row r="1052" spans="2:4">
      <c r="B1052" s="5"/>
      <c r="C1052">
        <f ca="1">OFFSET(smds!$A$1,QUOTIENT(ROW()-2,5),1,1,1)</f>
        <v>0</v>
      </c>
      <c r="D1052" t="s">
        <v>3</v>
      </c>
    </row>
    <row r="1053" spans="2:4">
      <c r="B1053" s="5"/>
      <c r="C1053" t="s">
        <v>1</v>
      </c>
      <c r="D1053" s="6" t="e">
        <f ca="1">VLOOKUP(OFFSET(smds!$A$1,QUOTIENT(ROW()-2,5),1,1,1),channelfireball!A:C,3,FALSE)</f>
        <v>#N/A</v>
      </c>
    </row>
    <row r="1054" spans="2:4">
      <c r="B1054" s="5"/>
      <c r="C1054" t="e">
        <f ca="1">VLOOKUP(OFFSET(smds!$A$1,QUOTIENT(ROW()-2,5),1,1,1),channelfireball!A:C,2,FALSE)</f>
        <v>#N/A</v>
      </c>
      <c r="D1054" s="6"/>
    </row>
    <row r="1055" spans="2:4">
      <c r="B1055" s="5"/>
      <c r="C1055" t="s">
        <v>2</v>
      </c>
      <c r="D1055" s="6"/>
    </row>
    <row r="1056" spans="2:4">
      <c r="B1056" s="5"/>
      <c r="C1056">
        <f>smds!C1051</f>
        <v>0</v>
      </c>
      <c r="D1056" s="6"/>
    </row>
    <row r="1057" spans="2:4">
      <c r="B1057" s="5"/>
      <c r="C1057">
        <f ca="1">OFFSET(smds!$A$1,QUOTIENT(ROW()-2,5),1,1,1)</f>
        <v>0</v>
      </c>
      <c r="D1057" t="s">
        <v>3</v>
      </c>
    </row>
    <row r="1058" spans="2:4">
      <c r="B1058" s="5"/>
      <c r="C1058" t="s">
        <v>1</v>
      </c>
      <c r="D1058" s="6" t="e">
        <f ca="1">VLOOKUP(OFFSET(smds!$A$1,QUOTIENT(ROW()-2,5),1,1,1),channelfireball!A:C,3,FALSE)</f>
        <v>#N/A</v>
      </c>
    </row>
    <row r="1059" spans="2:4">
      <c r="B1059" s="5"/>
      <c r="C1059" t="e">
        <f ca="1">VLOOKUP(OFFSET(smds!$A$1,QUOTIENT(ROW()-2,5),1,1,1),channelfireball!A:C,2,FALSE)</f>
        <v>#N/A</v>
      </c>
      <c r="D1059" s="6"/>
    </row>
    <row r="1060" spans="2:4">
      <c r="B1060" s="5"/>
      <c r="C1060" t="s">
        <v>2</v>
      </c>
      <c r="D1060" s="6"/>
    </row>
    <row r="1061" spans="2:4">
      <c r="B1061" s="5"/>
      <c r="C1061">
        <f>smds!C1056</f>
        <v>0</v>
      </c>
      <c r="D1061" s="6"/>
    </row>
    <row r="1062" spans="2:4">
      <c r="B1062" s="5"/>
      <c r="C1062">
        <f ca="1">OFFSET(smds!$A$1,QUOTIENT(ROW()-2,5),1,1,1)</f>
        <v>0</v>
      </c>
      <c r="D1062" t="s">
        <v>3</v>
      </c>
    </row>
    <row r="1063" spans="2:4">
      <c r="B1063" s="5"/>
      <c r="C1063" t="s">
        <v>1</v>
      </c>
      <c r="D1063" s="6" t="e">
        <f ca="1">VLOOKUP(OFFSET(smds!$A$1,QUOTIENT(ROW()-2,5),1,1,1),channelfireball!A:C,3,FALSE)</f>
        <v>#N/A</v>
      </c>
    </row>
    <row r="1064" spans="2:4">
      <c r="B1064" s="5"/>
      <c r="C1064" t="e">
        <f ca="1">VLOOKUP(OFFSET(smds!$A$1,QUOTIENT(ROW()-2,5),1,1,1),channelfireball!A:C,2,FALSE)</f>
        <v>#N/A</v>
      </c>
      <c r="D1064" s="6"/>
    </row>
    <row r="1065" spans="2:4">
      <c r="B1065" s="5"/>
      <c r="C1065" t="s">
        <v>2</v>
      </c>
      <c r="D1065" s="6"/>
    </row>
    <row r="1066" spans="2:4">
      <c r="B1066" s="5"/>
      <c r="C1066">
        <f>smds!C1061</f>
        <v>0</v>
      </c>
      <c r="D1066" s="6"/>
    </row>
    <row r="1067" spans="2:4">
      <c r="B1067" s="5"/>
      <c r="C1067">
        <f ca="1">OFFSET(smds!$A$1,QUOTIENT(ROW()-2,5),1,1,1)</f>
        <v>0</v>
      </c>
      <c r="D1067" t="s">
        <v>3</v>
      </c>
    </row>
    <row r="1068" spans="2:4">
      <c r="B1068" s="5"/>
      <c r="C1068" t="s">
        <v>1</v>
      </c>
      <c r="D1068" s="6" t="e">
        <f ca="1">VLOOKUP(OFFSET(smds!$A$1,QUOTIENT(ROW()-2,5),1,1,1),channelfireball!A:C,3,FALSE)</f>
        <v>#N/A</v>
      </c>
    </row>
    <row r="1069" spans="2:4">
      <c r="B1069" s="5"/>
      <c r="C1069" t="e">
        <f ca="1">VLOOKUP(OFFSET(smds!$A$1,QUOTIENT(ROW()-2,5),1,1,1),channelfireball!A:C,2,FALSE)</f>
        <v>#N/A</v>
      </c>
      <c r="D1069" s="6"/>
    </row>
    <row r="1070" spans="2:4">
      <c r="B1070" s="5"/>
      <c r="C1070" t="s">
        <v>2</v>
      </c>
      <c r="D1070" s="6"/>
    </row>
    <row r="1071" spans="2:4">
      <c r="B1071" s="5"/>
      <c r="C1071">
        <f>smds!C1066</f>
        <v>0</v>
      </c>
      <c r="D1071" s="6"/>
    </row>
    <row r="1072" spans="2:4">
      <c r="B1072" s="5"/>
      <c r="C1072">
        <f ca="1">OFFSET(smds!$A$1,QUOTIENT(ROW()-2,5),1,1,1)</f>
        <v>0</v>
      </c>
      <c r="D1072" t="s">
        <v>3</v>
      </c>
    </row>
    <row r="1073" spans="2:4">
      <c r="B1073" s="5"/>
      <c r="C1073" t="s">
        <v>1</v>
      </c>
      <c r="D1073" s="6" t="e">
        <f ca="1">VLOOKUP(OFFSET(smds!$A$1,QUOTIENT(ROW()-2,5),1,1,1),channelfireball!A:C,3,FALSE)</f>
        <v>#N/A</v>
      </c>
    </row>
    <row r="1074" spans="2:4">
      <c r="B1074" s="5"/>
      <c r="C1074" t="e">
        <f ca="1">VLOOKUP(OFFSET(smds!$A$1,QUOTIENT(ROW()-2,5),1,1,1),channelfireball!A:C,2,FALSE)</f>
        <v>#N/A</v>
      </c>
      <c r="D1074" s="6"/>
    </row>
    <row r="1075" spans="2:4">
      <c r="B1075" s="5"/>
      <c r="C1075" t="s">
        <v>2</v>
      </c>
      <c r="D1075" s="6"/>
    </row>
    <row r="1076" spans="2:4">
      <c r="B1076" s="5"/>
      <c r="C1076">
        <f>smds!C1071</f>
        <v>0</v>
      </c>
      <c r="D1076" s="6"/>
    </row>
    <row r="1077" spans="2:4">
      <c r="B1077" s="5"/>
      <c r="C1077">
        <f ca="1">OFFSET(smds!$A$1,QUOTIENT(ROW()-2,5),1,1,1)</f>
        <v>0</v>
      </c>
      <c r="D1077" t="s">
        <v>3</v>
      </c>
    </row>
    <row r="1078" spans="2:4">
      <c r="B1078" s="5"/>
      <c r="C1078" t="s">
        <v>1</v>
      </c>
      <c r="D1078" s="6" t="e">
        <f ca="1">VLOOKUP(OFFSET(smds!$A$1,QUOTIENT(ROW()-2,5),1,1,1),channelfireball!A:C,3,FALSE)</f>
        <v>#N/A</v>
      </c>
    </row>
    <row r="1079" spans="2:4">
      <c r="B1079" s="5"/>
      <c r="C1079" t="e">
        <f ca="1">VLOOKUP(OFFSET(smds!$A$1,QUOTIENT(ROW()-2,5),1,1,1),channelfireball!A:C,2,FALSE)</f>
        <v>#N/A</v>
      </c>
      <c r="D1079" s="6"/>
    </row>
    <row r="1080" spans="2:4">
      <c r="B1080" s="5"/>
      <c r="C1080" t="s">
        <v>2</v>
      </c>
      <c r="D1080" s="6"/>
    </row>
    <row r="1081" spans="2:4">
      <c r="B1081" s="5"/>
      <c r="C1081">
        <f>smds!C1076</f>
        <v>0</v>
      </c>
      <c r="D1081" s="6"/>
    </row>
    <row r="1082" spans="2:4">
      <c r="B1082" s="5"/>
      <c r="C1082">
        <f ca="1">OFFSET(smds!$A$1,QUOTIENT(ROW()-2,5),1,1,1)</f>
        <v>0</v>
      </c>
      <c r="D1082" t="s">
        <v>3</v>
      </c>
    </row>
    <row r="1083" spans="2:4">
      <c r="B1083" s="5"/>
      <c r="C1083" t="s">
        <v>1</v>
      </c>
      <c r="D1083" s="6" t="e">
        <f ca="1">VLOOKUP(OFFSET(smds!$A$1,QUOTIENT(ROW()-2,5),1,1,1),channelfireball!A:C,3,FALSE)</f>
        <v>#N/A</v>
      </c>
    </row>
    <row r="1084" spans="2:4">
      <c r="B1084" s="5"/>
      <c r="C1084" t="e">
        <f ca="1">VLOOKUP(OFFSET(smds!$A$1,QUOTIENT(ROW()-2,5),1,1,1),channelfireball!A:C,2,FALSE)</f>
        <v>#N/A</v>
      </c>
      <c r="D1084" s="6"/>
    </row>
    <row r="1085" spans="2:4">
      <c r="B1085" s="5"/>
      <c r="C1085" t="s">
        <v>2</v>
      </c>
      <c r="D1085" s="6"/>
    </row>
    <row r="1086" spans="2:4">
      <c r="B1086" s="5"/>
      <c r="C1086">
        <f>smds!C1081</f>
        <v>0</v>
      </c>
      <c r="D1086" s="6"/>
    </row>
    <row r="1087" spans="2:4">
      <c r="B1087" s="5"/>
      <c r="C1087">
        <f ca="1">OFFSET(smds!$A$1,QUOTIENT(ROW()-2,5),1,1,1)</f>
        <v>0</v>
      </c>
      <c r="D1087" t="s">
        <v>3</v>
      </c>
    </row>
    <row r="1088" spans="2:4">
      <c r="B1088" s="5"/>
      <c r="C1088" t="s">
        <v>1</v>
      </c>
      <c r="D1088" s="6" t="e">
        <f ca="1">VLOOKUP(OFFSET(smds!$A$1,QUOTIENT(ROW()-2,5),1,1,1),channelfireball!A:C,3,FALSE)</f>
        <v>#N/A</v>
      </c>
    </row>
    <row r="1089" spans="2:4">
      <c r="B1089" s="5"/>
      <c r="C1089" t="e">
        <f ca="1">VLOOKUP(OFFSET(smds!$A$1,QUOTIENT(ROW()-2,5),1,1,1),channelfireball!A:C,2,FALSE)</f>
        <v>#N/A</v>
      </c>
      <c r="D1089" s="6"/>
    </row>
    <row r="1090" spans="2:4">
      <c r="B1090" s="5"/>
      <c r="C1090" t="s">
        <v>2</v>
      </c>
      <c r="D1090" s="6"/>
    </row>
    <row r="1091" spans="2:4">
      <c r="B1091" s="5"/>
      <c r="C1091">
        <f>smds!C1086</f>
        <v>0</v>
      </c>
      <c r="D1091" s="6"/>
    </row>
    <row r="1092" spans="2:4">
      <c r="B1092" s="5"/>
      <c r="C1092">
        <f ca="1">OFFSET(smds!$A$1,QUOTIENT(ROW()-2,5),1,1,1)</f>
        <v>0</v>
      </c>
      <c r="D1092" t="s">
        <v>3</v>
      </c>
    </row>
    <row r="1093" spans="2:4">
      <c r="B1093" s="5"/>
      <c r="C1093" t="s">
        <v>1</v>
      </c>
      <c r="D1093" s="6" t="e">
        <f ca="1">VLOOKUP(OFFSET(smds!$A$1,QUOTIENT(ROW()-2,5),1,1,1),channelfireball!A:C,3,FALSE)</f>
        <v>#N/A</v>
      </c>
    </row>
    <row r="1094" spans="2:4">
      <c r="B1094" s="5"/>
      <c r="C1094" t="e">
        <f ca="1">VLOOKUP(OFFSET(smds!$A$1,QUOTIENT(ROW()-2,5),1,1,1),channelfireball!A:C,2,FALSE)</f>
        <v>#N/A</v>
      </c>
      <c r="D1094" s="6"/>
    </row>
    <row r="1095" spans="2:4">
      <c r="B1095" s="5"/>
      <c r="C1095" t="s">
        <v>2</v>
      </c>
      <c r="D1095" s="6"/>
    </row>
    <row r="1096" spans="2:4">
      <c r="B1096" s="5"/>
      <c r="C1096">
        <f>smds!C1091</f>
        <v>0</v>
      </c>
      <c r="D1096" s="6"/>
    </row>
    <row r="1097" spans="2:4">
      <c r="B1097" s="5"/>
      <c r="C1097">
        <f ca="1">OFFSET(smds!$A$1,QUOTIENT(ROW()-2,5),1,1,1)</f>
        <v>0</v>
      </c>
      <c r="D1097" t="s">
        <v>3</v>
      </c>
    </row>
    <row r="1098" spans="2:4">
      <c r="B1098" s="5"/>
      <c r="C1098" t="s">
        <v>1</v>
      </c>
      <c r="D1098" s="6" t="e">
        <f ca="1">VLOOKUP(OFFSET(smds!$A$1,QUOTIENT(ROW()-2,5),1,1,1),channelfireball!A:C,3,FALSE)</f>
        <v>#N/A</v>
      </c>
    </row>
    <row r="1099" spans="2:4">
      <c r="B1099" s="5"/>
      <c r="C1099" t="e">
        <f ca="1">VLOOKUP(OFFSET(smds!$A$1,QUOTIENT(ROW()-2,5),1,1,1),channelfireball!A:C,2,FALSE)</f>
        <v>#N/A</v>
      </c>
      <c r="D1099" s="6"/>
    </row>
    <row r="1100" spans="2:4">
      <c r="B1100" s="5"/>
      <c r="C1100" t="s">
        <v>2</v>
      </c>
      <c r="D1100" s="6"/>
    </row>
    <row r="1101" spans="2:4">
      <c r="B1101" s="5"/>
      <c r="C1101">
        <f>smds!C1096</f>
        <v>0</v>
      </c>
      <c r="D1101" s="6"/>
    </row>
    <row r="1102" spans="2:4">
      <c r="B1102" s="5"/>
      <c r="C1102">
        <f ca="1">OFFSET(smds!$A$1,QUOTIENT(ROW()-2,5),1,1,1)</f>
        <v>0</v>
      </c>
      <c r="D1102" t="s">
        <v>3</v>
      </c>
    </row>
    <row r="1103" spans="2:4">
      <c r="B1103" s="5"/>
      <c r="C1103" t="s">
        <v>1</v>
      </c>
      <c r="D1103" s="6" t="e">
        <f ca="1">VLOOKUP(OFFSET(smds!$A$1,QUOTIENT(ROW()-2,5),1,1,1),channelfireball!A:C,3,FALSE)</f>
        <v>#N/A</v>
      </c>
    </row>
    <row r="1104" spans="2:4">
      <c r="B1104" s="5"/>
      <c r="C1104" t="e">
        <f ca="1">VLOOKUP(OFFSET(smds!$A$1,QUOTIENT(ROW()-2,5),1,1,1),channelfireball!A:C,2,FALSE)</f>
        <v>#N/A</v>
      </c>
      <c r="D1104" s="6"/>
    </row>
    <row r="1105" spans="2:4">
      <c r="B1105" s="5"/>
      <c r="C1105" t="s">
        <v>2</v>
      </c>
      <c r="D1105" s="6"/>
    </row>
    <row r="1106" spans="2:4">
      <c r="B1106" s="5"/>
      <c r="C1106">
        <f>smds!C1101</f>
        <v>0</v>
      </c>
      <c r="D1106" s="6"/>
    </row>
    <row r="1107" spans="2:4">
      <c r="B1107" s="5"/>
      <c r="C1107">
        <f ca="1">OFFSET(smds!$A$1,QUOTIENT(ROW()-2,5),1,1,1)</f>
        <v>0</v>
      </c>
      <c r="D1107" t="s">
        <v>3</v>
      </c>
    </row>
    <row r="1108" spans="2:4">
      <c r="B1108" s="5"/>
      <c r="C1108" t="s">
        <v>1</v>
      </c>
      <c r="D1108" s="6" t="e">
        <f ca="1">VLOOKUP(OFFSET(smds!$A$1,QUOTIENT(ROW()-2,5),1,1,1),channelfireball!A:C,3,FALSE)</f>
        <v>#N/A</v>
      </c>
    </row>
    <row r="1109" spans="2:4">
      <c r="B1109" s="5"/>
      <c r="C1109" t="e">
        <f ca="1">VLOOKUP(OFFSET(smds!$A$1,QUOTIENT(ROW()-2,5),1,1,1),channelfireball!A:C,2,FALSE)</f>
        <v>#N/A</v>
      </c>
      <c r="D1109" s="6"/>
    </row>
    <row r="1110" spans="2:4">
      <c r="B1110" s="5"/>
      <c r="C1110" t="s">
        <v>2</v>
      </c>
      <c r="D1110" s="6"/>
    </row>
    <row r="1111" spans="2:4">
      <c r="B1111" s="5"/>
      <c r="C1111">
        <f>smds!C1106</f>
        <v>0</v>
      </c>
      <c r="D1111" s="6"/>
    </row>
    <row r="1112" spans="2:4">
      <c r="B1112" s="5"/>
      <c r="C1112">
        <f ca="1">OFFSET(smds!$A$1,QUOTIENT(ROW()-2,5),1,1,1)</f>
        <v>0</v>
      </c>
      <c r="D1112" t="s">
        <v>3</v>
      </c>
    </row>
    <row r="1113" spans="2:4">
      <c r="B1113" s="5"/>
      <c r="C1113" t="s">
        <v>1</v>
      </c>
      <c r="D1113" s="6" t="e">
        <f ca="1">VLOOKUP(OFFSET(smds!$A$1,QUOTIENT(ROW()-2,5),1,1,1),channelfireball!A:C,3,FALSE)</f>
        <v>#N/A</v>
      </c>
    </row>
    <row r="1114" spans="2:4">
      <c r="B1114" s="5"/>
      <c r="C1114" t="e">
        <f ca="1">VLOOKUP(OFFSET(smds!$A$1,QUOTIENT(ROW()-2,5),1,1,1),channelfireball!A:C,2,FALSE)</f>
        <v>#N/A</v>
      </c>
      <c r="D1114" s="6"/>
    </row>
    <row r="1115" spans="2:4">
      <c r="B1115" s="5"/>
      <c r="C1115" t="s">
        <v>2</v>
      </c>
      <c r="D1115" s="6"/>
    </row>
    <row r="1116" spans="2:4">
      <c r="B1116" s="5"/>
      <c r="C1116">
        <f>smds!C1111</f>
        <v>0</v>
      </c>
      <c r="D1116" s="6"/>
    </row>
    <row r="1117" spans="2:4">
      <c r="B1117" s="5"/>
      <c r="C1117">
        <f ca="1">OFFSET(smds!$A$1,QUOTIENT(ROW()-2,5),1,1,1)</f>
        <v>0</v>
      </c>
      <c r="D1117" t="s">
        <v>3</v>
      </c>
    </row>
    <row r="1118" spans="2:4">
      <c r="B1118" s="5"/>
      <c r="C1118" t="s">
        <v>1</v>
      </c>
      <c r="D1118" s="6" t="e">
        <f ca="1">VLOOKUP(OFFSET(smds!$A$1,QUOTIENT(ROW()-2,5),1,1,1),channelfireball!A:C,3,FALSE)</f>
        <v>#N/A</v>
      </c>
    </row>
    <row r="1119" spans="2:4">
      <c r="B1119" s="5"/>
      <c r="C1119" t="e">
        <f ca="1">VLOOKUP(OFFSET(smds!$A$1,QUOTIENT(ROW()-2,5),1,1,1),channelfireball!A:C,2,FALSE)</f>
        <v>#N/A</v>
      </c>
      <c r="D1119" s="6"/>
    </row>
    <row r="1120" spans="2:4">
      <c r="B1120" s="5"/>
      <c r="C1120" t="s">
        <v>2</v>
      </c>
      <c r="D1120" s="6"/>
    </row>
    <row r="1121" spans="2:4">
      <c r="B1121" s="5"/>
      <c r="C1121">
        <f>smds!C1116</f>
        <v>0</v>
      </c>
      <c r="D1121" s="6"/>
    </row>
    <row r="1122" spans="2:4">
      <c r="B1122" s="5"/>
      <c r="C1122">
        <f ca="1">OFFSET(smds!$A$1,QUOTIENT(ROW()-2,5),1,1,1)</f>
        <v>0</v>
      </c>
      <c r="D1122" t="s">
        <v>3</v>
      </c>
    </row>
    <row r="1123" spans="2:4">
      <c r="B1123" s="5"/>
      <c r="C1123" t="s">
        <v>1</v>
      </c>
      <c r="D1123" s="6" t="e">
        <f ca="1">VLOOKUP(OFFSET(smds!$A$1,QUOTIENT(ROW()-2,5),1,1,1),channelfireball!A:C,3,FALSE)</f>
        <v>#N/A</v>
      </c>
    </row>
    <row r="1124" spans="2:4">
      <c r="B1124" s="5"/>
      <c r="C1124" t="e">
        <f ca="1">VLOOKUP(OFFSET(smds!$A$1,QUOTIENT(ROW()-2,5),1,1,1),channelfireball!A:C,2,FALSE)</f>
        <v>#N/A</v>
      </c>
      <c r="D1124" s="6"/>
    </row>
    <row r="1125" spans="2:4">
      <c r="B1125" s="5"/>
      <c r="C1125" t="s">
        <v>2</v>
      </c>
      <c r="D1125" s="6"/>
    </row>
    <row r="1126" spans="2:4">
      <c r="B1126" s="5"/>
      <c r="C1126">
        <f>smds!C1121</f>
        <v>0</v>
      </c>
      <c r="D1126" s="6"/>
    </row>
    <row r="1127" spans="2:4">
      <c r="B1127" s="5"/>
      <c r="C1127" s="3"/>
      <c r="D1127" s="3"/>
    </row>
    <row r="1128" spans="2:4">
      <c r="B1128" s="5"/>
      <c r="C1128" s="3"/>
      <c r="D1128" s="5"/>
    </row>
    <row r="1129" spans="2:4">
      <c r="B1129" s="5"/>
      <c r="C1129" s="3"/>
      <c r="D1129" s="5"/>
    </row>
    <row r="1130" spans="2:4">
      <c r="B1130" s="5"/>
      <c r="C1130" s="3"/>
      <c r="D1130" s="5"/>
    </row>
    <row r="1131" spans="2:4">
      <c r="B1131" s="5"/>
      <c r="C1131" s="3"/>
      <c r="D1131" s="5"/>
    </row>
    <row r="1132" spans="2:4">
      <c r="B1132" s="5"/>
      <c r="C1132" s="3"/>
      <c r="D1132" s="3"/>
    </row>
    <row r="1133" spans="2:4">
      <c r="B1133" s="5"/>
      <c r="C1133" s="3"/>
      <c r="D1133" s="5"/>
    </row>
    <row r="1134" spans="2:4">
      <c r="B1134" s="5"/>
      <c r="C1134" s="3"/>
      <c r="D1134" s="5"/>
    </row>
    <row r="1135" spans="2:4">
      <c r="B1135" s="5"/>
      <c r="C1135" s="3"/>
      <c r="D1135" s="5"/>
    </row>
    <row r="1136" spans="2:4">
      <c r="B1136" s="5"/>
      <c r="C1136" s="3"/>
      <c r="D1136" s="5"/>
    </row>
    <row r="1137" spans="2:4">
      <c r="B1137" s="5"/>
      <c r="C1137" s="3"/>
      <c r="D1137" s="3"/>
    </row>
    <row r="1138" spans="2:4">
      <c r="B1138" s="5"/>
      <c r="C1138" s="3"/>
      <c r="D1138" s="5"/>
    </row>
    <row r="1139" spans="2:4">
      <c r="B1139" s="5"/>
      <c r="C1139" s="3"/>
      <c r="D1139" s="5"/>
    </row>
    <row r="1140" spans="2:4">
      <c r="B1140" s="5"/>
      <c r="C1140" s="3"/>
      <c r="D1140" s="5"/>
    </row>
    <row r="1141" spans="2:4">
      <c r="B1141" s="5"/>
      <c r="C1141" s="3"/>
      <c r="D1141" s="5"/>
    </row>
    <row r="1142" spans="2:4">
      <c r="B1142" s="5"/>
      <c r="C1142" s="3"/>
      <c r="D1142" s="3"/>
    </row>
    <row r="1143" spans="2:4">
      <c r="B1143" s="5"/>
      <c r="C1143" s="3"/>
      <c r="D1143" s="5"/>
    </row>
    <row r="1144" spans="2:4">
      <c r="B1144" s="5"/>
      <c r="C1144" s="3"/>
      <c r="D1144" s="5"/>
    </row>
    <row r="1145" spans="2:4">
      <c r="B1145" s="5"/>
      <c r="C1145" s="3"/>
      <c r="D1145" s="5"/>
    </row>
    <row r="1146" spans="2:4">
      <c r="B1146" s="5"/>
      <c r="C1146" s="3"/>
      <c r="D1146" s="5"/>
    </row>
    <row r="1147" spans="2:4">
      <c r="B1147" s="5"/>
      <c r="C1147" s="3"/>
      <c r="D1147" s="3"/>
    </row>
    <row r="1148" spans="2:4">
      <c r="B1148" s="5"/>
      <c r="C1148" s="3"/>
      <c r="D1148" s="5"/>
    </row>
    <row r="1149" spans="2:4">
      <c r="B1149" s="5"/>
      <c r="C1149" s="3"/>
      <c r="D1149" s="5"/>
    </row>
    <row r="1150" spans="2:4">
      <c r="B1150" s="5"/>
      <c r="C1150" s="3"/>
      <c r="D1150" s="5"/>
    </row>
    <row r="1151" spans="2:4">
      <c r="B1151" s="5"/>
      <c r="C1151" s="3"/>
      <c r="D1151" s="5"/>
    </row>
    <row r="1152" spans="2:4">
      <c r="B1152" s="5"/>
      <c r="C1152" s="3"/>
      <c r="D1152" s="3"/>
    </row>
    <row r="1153" spans="2:4">
      <c r="B1153" s="5"/>
      <c r="C1153" s="3"/>
      <c r="D1153" s="5"/>
    </row>
    <row r="1154" spans="2:4">
      <c r="B1154" s="5"/>
      <c r="C1154" s="3"/>
      <c r="D1154" s="5"/>
    </row>
    <row r="1155" spans="2:4">
      <c r="B1155" s="5"/>
      <c r="C1155" s="3"/>
      <c r="D1155" s="5"/>
    </row>
    <row r="1156" spans="2:4">
      <c r="B1156" s="5"/>
      <c r="C1156" s="3"/>
      <c r="D1156" s="5"/>
    </row>
    <row r="1157" spans="2:4">
      <c r="B1157" s="5"/>
      <c r="C1157" s="3"/>
      <c r="D1157" s="3"/>
    </row>
    <row r="1158" spans="2:4">
      <c r="B1158" s="5"/>
      <c r="C1158" s="3"/>
      <c r="D1158" s="5"/>
    </row>
    <row r="1159" spans="2:4">
      <c r="B1159" s="5"/>
      <c r="C1159" s="3"/>
      <c r="D1159" s="5"/>
    </row>
    <row r="1160" spans="2:4">
      <c r="B1160" s="5"/>
      <c r="C1160" s="3"/>
      <c r="D1160" s="5"/>
    </row>
    <row r="1161" spans="2:4">
      <c r="B1161" s="5"/>
      <c r="C1161" s="3"/>
      <c r="D1161" s="5"/>
    </row>
    <row r="1162" spans="2:4">
      <c r="B1162" s="5"/>
      <c r="C1162" s="3"/>
      <c r="D1162" s="3"/>
    </row>
    <row r="1163" spans="2:4">
      <c r="B1163" s="5"/>
      <c r="C1163" s="3"/>
      <c r="D1163" s="5"/>
    </row>
    <row r="1164" spans="2:4">
      <c r="B1164" s="5"/>
      <c r="C1164" s="3"/>
      <c r="D1164" s="5"/>
    </row>
    <row r="1165" spans="2:4">
      <c r="B1165" s="5"/>
      <c r="C1165" s="3"/>
      <c r="D1165" s="5"/>
    </row>
    <row r="1166" spans="2:4">
      <c r="B1166" s="5"/>
      <c r="C1166" s="3"/>
      <c r="D1166" s="5"/>
    </row>
    <row r="1167" spans="2:4">
      <c r="B1167" s="5"/>
      <c r="C1167" s="3"/>
      <c r="D1167" s="3"/>
    </row>
    <row r="1168" spans="2:4">
      <c r="B1168" s="5"/>
      <c r="C1168" s="3"/>
      <c r="D1168" s="5"/>
    </row>
    <row r="1169" spans="2:4">
      <c r="B1169" s="5"/>
      <c r="C1169" s="3"/>
      <c r="D1169" s="5"/>
    </row>
    <row r="1170" spans="2:4">
      <c r="B1170" s="5"/>
      <c r="C1170" s="3"/>
      <c r="D1170" s="5"/>
    </row>
    <row r="1171" spans="2:4">
      <c r="B1171" s="5"/>
      <c r="C1171" s="3"/>
      <c r="D1171" s="5"/>
    </row>
    <row r="1172" spans="2:4">
      <c r="B1172" s="5"/>
      <c r="C1172" s="3"/>
      <c r="D1172" s="3"/>
    </row>
    <row r="1173" spans="2:4">
      <c r="B1173" s="5"/>
      <c r="C1173" s="3"/>
      <c r="D1173" s="5"/>
    </row>
    <row r="1174" spans="2:4">
      <c r="B1174" s="5"/>
      <c r="C1174" s="3"/>
      <c r="D1174" s="5"/>
    </row>
    <row r="1175" spans="2:4">
      <c r="B1175" s="5"/>
      <c r="C1175" s="3"/>
      <c r="D1175" s="5"/>
    </row>
    <row r="1176" spans="2:4">
      <c r="B1176" s="5"/>
      <c r="C1176" s="3"/>
      <c r="D1176" s="5"/>
    </row>
    <row r="1177" spans="2:4">
      <c r="B1177" s="5"/>
      <c r="C1177" s="3"/>
      <c r="D1177" s="3"/>
    </row>
    <row r="1178" spans="2:4">
      <c r="B1178" s="5"/>
      <c r="C1178" s="3"/>
      <c r="D1178" s="5"/>
    </row>
    <row r="1179" spans="2:4">
      <c r="B1179" s="5"/>
      <c r="C1179" s="3"/>
      <c r="D1179" s="5"/>
    </row>
    <row r="1180" spans="2:4">
      <c r="B1180" s="5"/>
      <c r="C1180" s="3"/>
      <c r="D1180" s="5"/>
    </row>
    <row r="1181" spans="2:4">
      <c r="B1181" s="5"/>
      <c r="C1181" s="3"/>
      <c r="D1181" s="5"/>
    </row>
    <row r="1182" spans="2:4">
      <c r="B1182" s="5"/>
      <c r="C1182" s="3"/>
      <c r="D1182" s="3"/>
    </row>
    <row r="1183" spans="2:4">
      <c r="B1183" s="5"/>
      <c r="C1183" s="3"/>
      <c r="D1183" s="5"/>
    </row>
    <row r="1184" spans="2:4">
      <c r="B1184" s="5"/>
      <c r="C1184" s="3"/>
      <c r="D1184" s="5"/>
    </row>
    <row r="1185" spans="2:4">
      <c r="B1185" s="5"/>
      <c r="C1185" s="3"/>
      <c r="D1185" s="5"/>
    </row>
    <row r="1186" spans="2:4">
      <c r="B1186" s="5"/>
      <c r="C1186" s="3"/>
      <c r="D1186" s="5"/>
    </row>
    <row r="1187" spans="2:4">
      <c r="B1187" s="5"/>
      <c r="C1187" s="3"/>
      <c r="D1187" s="3"/>
    </row>
    <row r="1188" spans="2:4">
      <c r="B1188" s="5"/>
      <c r="C1188" s="3"/>
      <c r="D1188" s="5"/>
    </row>
    <row r="1189" spans="2:4">
      <c r="B1189" s="5"/>
      <c r="C1189" s="3"/>
      <c r="D1189" s="5"/>
    </row>
    <row r="1190" spans="2:4">
      <c r="B1190" s="5"/>
      <c r="C1190" s="3"/>
      <c r="D1190" s="5"/>
    </row>
    <row r="1191" spans="2:4">
      <c r="B1191" s="5"/>
      <c r="C1191" s="3"/>
      <c r="D1191" s="5"/>
    </row>
    <row r="1192" spans="2:4">
      <c r="B1192" s="5"/>
      <c r="C1192" s="3"/>
      <c r="D1192" s="3"/>
    </row>
    <row r="1193" spans="2:4">
      <c r="B1193" s="5"/>
      <c r="C1193" s="3"/>
      <c r="D1193" s="5"/>
    </row>
    <row r="1194" spans="2:4">
      <c r="B1194" s="5"/>
      <c r="C1194" s="3"/>
      <c r="D1194" s="5"/>
    </row>
    <row r="1195" spans="2:4">
      <c r="B1195" s="5"/>
      <c r="C1195" s="3"/>
      <c r="D1195" s="5"/>
    </row>
    <row r="1196" spans="2:4">
      <c r="B1196" s="5"/>
      <c r="C1196" s="3"/>
      <c r="D1196" s="5"/>
    </row>
    <row r="1197" spans="2:4">
      <c r="B1197" s="5"/>
      <c r="C1197" s="3"/>
      <c r="D1197" s="3"/>
    </row>
    <row r="1198" spans="2:4">
      <c r="B1198" s="5"/>
      <c r="C1198" s="3"/>
      <c r="D1198" s="5"/>
    </row>
    <row r="1199" spans="2:4">
      <c r="B1199" s="5"/>
      <c r="C1199" s="3"/>
      <c r="D1199" s="5"/>
    </row>
    <row r="1200" spans="2:4">
      <c r="B1200" s="5"/>
      <c r="C1200" s="3"/>
      <c r="D1200" s="5"/>
    </row>
    <row r="1201" spans="2:4">
      <c r="B1201" s="5"/>
      <c r="C1201" s="3"/>
      <c r="D1201" s="5"/>
    </row>
    <row r="1202" spans="2:4">
      <c r="B1202" s="5"/>
      <c r="C1202" s="3"/>
      <c r="D1202" s="3"/>
    </row>
    <row r="1203" spans="2:4">
      <c r="B1203" s="5"/>
      <c r="C1203" s="3"/>
      <c r="D1203" s="5"/>
    </row>
    <row r="1204" spans="2:4">
      <c r="B1204" s="5"/>
      <c r="C1204" s="3"/>
      <c r="D1204" s="5"/>
    </row>
    <row r="1205" spans="2:4">
      <c r="B1205" s="5"/>
      <c r="C1205" s="3"/>
      <c r="D1205" s="5"/>
    </row>
    <row r="1206" spans="2:4">
      <c r="B1206" s="5"/>
      <c r="C1206" s="3"/>
      <c r="D1206" s="5"/>
    </row>
    <row r="1207" spans="2:4">
      <c r="B1207" s="5"/>
      <c r="C1207" s="3"/>
      <c r="D1207" s="3"/>
    </row>
    <row r="1208" spans="2:4">
      <c r="B1208" s="5"/>
      <c r="C1208" s="3"/>
      <c r="D1208" s="5"/>
    </row>
    <row r="1209" spans="2:4">
      <c r="B1209" s="5"/>
      <c r="C1209" s="3"/>
      <c r="D1209" s="5"/>
    </row>
    <row r="1210" spans="2:4">
      <c r="B1210" s="5"/>
      <c r="C1210" s="3"/>
      <c r="D1210" s="5"/>
    </row>
    <row r="1211" spans="2:4">
      <c r="B1211" s="5"/>
      <c r="C1211" s="3"/>
      <c r="D1211" s="5"/>
    </row>
    <row r="1212" spans="2:4">
      <c r="B1212" s="5"/>
      <c r="C1212" s="3"/>
      <c r="D1212" s="3"/>
    </row>
    <row r="1213" spans="2:4">
      <c r="B1213" s="5"/>
      <c r="C1213" s="3"/>
      <c r="D1213" s="5"/>
    </row>
    <row r="1214" spans="2:4">
      <c r="B1214" s="5"/>
      <c r="C1214" s="3"/>
      <c r="D1214" s="5"/>
    </row>
    <row r="1215" spans="2:4">
      <c r="B1215" s="5"/>
      <c r="C1215" s="3"/>
      <c r="D1215" s="5"/>
    </row>
    <row r="1216" spans="2:4">
      <c r="B1216" s="5"/>
      <c r="C1216" s="3"/>
      <c r="D1216" s="5"/>
    </row>
    <row r="1217" spans="2:4">
      <c r="B1217" s="5"/>
      <c r="C1217" s="3"/>
      <c r="D1217" s="3"/>
    </row>
    <row r="1218" spans="2:4">
      <c r="B1218" s="5"/>
      <c r="C1218" s="3"/>
      <c r="D1218" s="5"/>
    </row>
    <row r="1219" spans="2:4">
      <c r="B1219" s="5"/>
      <c r="C1219" s="3"/>
      <c r="D1219" s="5"/>
    </row>
    <row r="1220" spans="2:4">
      <c r="B1220" s="5"/>
      <c r="C1220" s="3"/>
      <c r="D1220" s="5"/>
    </row>
    <row r="1221" spans="2:4">
      <c r="B1221" s="5"/>
      <c r="C1221" s="3"/>
      <c r="D1221" s="5"/>
    </row>
    <row r="1222" spans="2:4">
      <c r="B1222" s="5"/>
      <c r="C1222" s="3"/>
      <c r="D1222" s="3"/>
    </row>
    <row r="1223" spans="2:4">
      <c r="B1223" s="5"/>
      <c r="C1223" s="3"/>
      <c r="D1223" s="5"/>
    </row>
    <row r="1224" spans="2:4">
      <c r="B1224" s="5"/>
      <c r="C1224" s="3"/>
      <c r="D1224" s="5"/>
    </row>
    <row r="1225" spans="2:4">
      <c r="B1225" s="5"/>
      <c r="C1225" s="3"/>
      <c r="D1225" s="5"/>
    </row>
    <row r="1226" spans="2:4">
      <c r="B1226" s="5"/>
      <c r="C1226" s="3"/>
      <c r="D1226" s="5"/>
    </row>
    <row r="1227" spans="2:4">
      <c r="B1227" s="5"/>
      <c r="C1227" s="3"/>
      <c r="D1227" s="3"/>
    </row>
    <row r="1228" spans="2:4">
      <c r="B1228" s="5"/>
      <c r="C1228" s="3"/>
      <c r="D1228" s="5"/>
    </row>
    <row r="1229" spans="2:4">
      <c r="B1229" s="5"/>
      <c r="C1229" s="3"/>
      <c r="D1229" s="5"/>
    </row>
    <row r="1230" spans="2:4">
      <c r="B1230" s="5"/>
      <c r="C1230" s="3"/>
      <c r="D1230" s="5"/>
    </row>
    <row r="1231" spans="2:4">
      <c r="B1231" s="5"/>
      <c r="C1231" s="3"/>
      <c r="D1231" s="5"/>
    </row>
    <row r="1232" spans="2:4">
      <c r="B1232" s="5"/>
      <c r="C1232" s="3"/>
      <c r="D1232" s="3"/>
    </row>
    <row r="1233" spans="2:4">
      <c r="B1233" s="5"/>
      <c r="C1233" s="3"/>
      <c r="D1233" s="5"/>
    </row>
    <row r="1234" spans="2:4">
      <c r="B1234" s="5"/>
      <c r="C1234" s="3"/>
      <c r="D1234" s="5"/>
    </row>
    <row r="1235" spans="2:4">
      <c r="B1235" s="5"/>
      <c r="C1235" s="3"/>
      <c r="D1235" s="5"/>
    </row>
    <row r="1236" spans="2:4">
      <c r="B1236" s="5"/>
      <c r="C1236" s="3"/>
      <c r="D1236" s="5"/>
    </row>
    <row r="1237" spans="2:4">
      <c r="B1237" s="5"/>
      <c r="C1237" s="3"/>
      <c r="D1237" s="3"/>
    </row>
    <row r="1238" spans="2:4">
      <c r="B1238" s="5"/>
      <c r="C1238" s="3"/>
      <c r="D1238" s="5"/>
    </row>
    <row r="1239" spans="2:4">
      <c r="B1239" s="5"/>
      <c r="C1239" s="3"/>
      <c r="D1239" s="5"/>
    </row>
    <row r="1240" spans="2:4">
      <c r="B1240" s="5"/>
      <c r="C1240" s="3"/>
      <c r="D1240" s="5"/>
    </row>
    <row r="1241" spans="2:4">
      <c r="B1241" s="5"/>
      <c r="C1241" s="3"/>
      <c r="D1241" s="5"/>
    </row>
    <row r="1242" spans="2:4">
      <c r="B1242" s="5"/>
      <c r="C1242" s="3"/>
      <c r="D1242" s="3"/>
    </row>
    <row r="1243" spans="2:4">
      <c r="B1243" s="5"/>
      <c r="C1243" s="3"/>
      <c r="D1243" s="5"/>
    </row>
    <row r="1244" spans="2:4">
      <c r="B1244" s="5"/>
      <c r="C1244" s="3"/>
      <c r="D1244" s="5"/>
    </row>
    <row r="1245" spans="2:4">
      <c r="B1245" s="5"/>
      <c r="C1245" s="3"/>
      <c r="D1245" s="5"/>
    </row>
    <row r="1246" spans="2:4">
      <c r="B1246" s="5"/>
      <c r="C1246" s="3"/>
      <c r="D1246" s="5"/>
    </row>
    <row r="1247" spans="2:4">
      <c r="B1247" s="5"/>
      <c r="C1247" s="3"/>
      <c r="D1247" s="3"/>
    </row>
    <row r="1248" spans="2:4">
      <c r="B1248" s="5"/>
      <c r="C1248" s="3"/>
      <c r="D1248" s="5"/>
    </row>
    <row r="1249" spans="2:4">
      <c r="B1249" s="5"/>
      <c r="C1249" s="3"/>
      <c r="D1249" s="5"/>
    </row>
    <row r="1250" spans="2:4">
      <c r="B1250" s="5"/>
      <c r="C1250" s="3"/>
      <c r="D1250" s="5"/>
    </row>
    <row r="1251" spans="2:4">
      <c r="B1251" s="5"/>
      <c r="C1251" s="3"/>
      <c r="D1251" s="5"/>
    </row>
    <row r="1252" spans="2:4">
      <c r="B1252" s="5"/>
      <c r="C1252" s="3"/>
      <c r="D1252" s="3"/>
    </row>
    <row r="1253" spans="2:4">
      <c r="B1253" s="5"/>
      <c r="C1253" s="3"/>
      <c r="D1253" s="5"/>
    </row>
    <row r="1254" spans="2:4">
      <c r="B1254" s="5"/>
      <c r="C1254" s="3"/>
      <c r="D1254" s="5"/>
    </row>
    <row r="1255" spans="2:4">
      <c r="B1255" s="5"/>
      <c r="C1255" s="3"/>
      <c r="D1255" s="5"/>
    </row>
    <row r="1256" spans="2:4">
      <c r="B1256" s="5"/>
      <c r="C1256" s="3"/>
      <c r="D1256" s="5"/>
    </row>
    <row r="1257" spans="2:4">
      <c r="B1257" s="5"/>
      <c r="C1257" s="3"/>
      <c r="D1257" s="3"/>
    </row>
    <row r="1258" spans="2:4">
      <c r="B1258" s="5"/>
      <c r="C1258" s="3"/>
      <c r="D1258" s="5"/>
    </row>
    <row r="1259" spans="2:4">
      <c r="B1259" s="5"/>
      <c r="C1259" s="3"/>
      <c r="D1259" s="5"/>
    </row>
    <row r="1260" spans="2:4">
      <c r="B1260" s="5"/>
      <c r="C1260" s="3"/>
      <c r="D1260" s="5"/>
    </row>
    <row r="1261" spans="2:4">
      <c r="B1261" s="5"/>
      <c r="C1261" s="3"/>
      <c r="D1261" s="5"/>
    </row>
    <row r="1262" spans="2:4">
      <c r="B1262" s="5"/>
      <c r="C1262" s="3"/>
      <c r="D1262" s="3"/>
    </row>
    <row r="1263" spans="2:4">
      <c r="B1263" s="5"/>
      <c r="C1263" s="3"/>
      <c r="D1263" s="5"/>
    </row>
    <row r="1264" spans="2:4">
      <c r="B1264" s="5"/>
      <c r="C1264" s="3"/>
      <c r="D1264" s="5"/>
    </row>
    <row r="1265" spans="2:4">
      <c r="B1265" s="5"/>
      <c r="C1265" s="3"/>
      <c r="D1265" s="5"/>
    </row>
    <row r="1266" spans="2:4">
      <c r="B1266" s="5"/>
      <c r="C1266" s="3"/>
      <c r="D1266" s="5"/>
    </row>
    <row r="1267" spans="2:4">
      <c r="B1267" s="5"/>
      <c r="C1267" s="3"/>
      <c r="D1267" s="3"/>
    </row>
    <row r="1268" spans="2:4">
      <c r="B1268" s="5"/>
      <c r="C1268" s="3"/>
      <c r="D1268" s="5"/>
    </row>
    <row r="1269" spans="2:4">
      <c r="B1269" s="5"/>
      <c r="C1269" s="3"/>
      <c r="D1269" s="5"/>
    </row>
    <row r="1270" spans="2:4">
      <c r="B1270" s="5"/>
      <c r="C1270" s="3"/>
      <c r="D1270" s="5"/>
    </row>
    <row r="1271" spans="2:4">
      <c r="B1271" s="5"/>
      <c r="C1271" s="3"/>
      <c r="D1271" s="5"/>
    </row>
    <row r="1272" spans="2:4">
      <c r="B1272" s="5"/>
      <c r="C1272" s="3"/>
      <c r="D1272" s="3"/>
    </row>
    <row r="1273" spans="2:4">
      <c r="B1273" s="5"/>
      <c r="C1273" s="3"/>
      <c r="D1273" s="5"/>
    </row>
    <row r="1274" spans="2:4">
      <c r="B1274" s="5"/>
      <c r="C1274" s="3"/>
      <c r="D1274" s="5"/>
    </row>
    <row r="1275" spans="2:4">
      <c r="B1275" s="5"/>
      <c r="C1275" s="3"/>
      <c r="D1275" s="5"/>
    </row>
    <row r="1276" spans="2:4">
      <c r="B1276" s="5"/>
      <c r="C1276" s="3"/>
      <c r="D1276" s="5"/>
    </row>
    <row r="1277" spans="2:4">
      <c r="B1277" s="5"/>
      <c r="C1277" s="3"/>
      <c r="D1277" s="3"/>
    </row>
    <row r="1278" spans="2:4">
      <c r="B1278" s="5"/>
      <c r="C1278" s="3"/>
      <c r="D1278" s="5"/>
    </row>
    <row r="1279" spans="2:4">
      <c r="B1279" s="5"/>
      <c r="C1279" s="3"/>
      <c r="D1279" s="5"/>
    </row>
    <row r="1280" spans="2:4">
      <c r="B1280" s="5"/>
      <c r="C1280" s="3"/>
      <c r="D1280" s="5"/>
    </row>
    <row r="1281" spans="2:4">
      <c r="B1281" s="5"/>
      <c r="C1281" s="3"/>
      <c r="D1281" s="5"/>
    </row>
    <row r="1282" spans="2:4">
      <c r="B1282" s="5"/>
      <c r="C1282" s="3"/>
      <c r="D1282" s="3"/>
    </row>
    <row r="1283" spans="2:4">
      <c r="B1283" s="5"/>
      <c r="C1283" s="3"/>
      <c r="D1283" s="5"/>
    </row>
    <row r="1284" spans="2:4">
      <c r="B1284" s="5"/>
      <c r="C1284" s="3"/>
      <c r="D1284" s="5"/>
    </row>
    <row r="1285" spans="2:4">
      <c r="B1285" s="5"/>
      <c r="C1285" s="3"/>
      <c r="D1285" s="5"/>
    </row>
    <row r="1286" spans="2:4">
      <c r="B1286" s="5"/>
      <c r="C1286" s="3"/>
      <c r="D1286" s="5"/>
    </row>
    <row r="1287" spans="2:4">
      <c r="B1287" s="5"/>
      <c r="C1287" s="3"/>
      <c r="D1287" s="3"/>
    </row>
    <row r="1288" spans="2:4">
      <c r="B1288" s="5"/>
      <c r="C1288" s="3"/>
      <c r="D1288" s="5"/>
    </row>
    <row r="1289" spans="2:4">
      <c r="B1289" s="5"/>
      <c r="C1289" s="3"/>
      <c r="D1289" s="5"/>
    </row>
    <row r="1290" spans="2:4">
      <c r="B1290" s="5"/>
      <c r="C1290" s="3"/>
      <c r="D1290" s="5"/>
    </row>
    <row r="1291" spans="2:4">
      <c r="B1291" s="5"/>
      <c r="C1291" s="3"/>
      <c r="D1291" s="5"/>
    </row>
    <row r="1292" spans="2:4">
      <c r="B1292" s="5"/>
      <c r="C1292" s="3"/>
      <c r="D1292" s="3"/>
    </row>
    <row r="1293" spans="2:4">
      <c r="B1293" s="5"/>
      <c r="C1293" s="3"/>
      <c r="D1293" s="5"/>
    </row>
    <row r="1294" spans="2:4">
      <c r="B1294" s="5"/>
      <c r="C1294" s="3"/>
      <c r="D1294" s="5"/>
    </row>
    <row r="1295" spans="2:4">
      <c r="B1295" s="5"/>
      <c r="C1295" s="3"/>
      <c r="D1295" s="5"/>
    </row>
    <row r="1296" spans="2:4">
      <c r="B1296" s="5"/>
      <c r="C1296" s="3"/>
      <c r="D1296" s="5"/>
    </row>
    <row r="1297" spans="2:4">
      <c r="B1297" s="5"/>
      <c r="C1297" s="3"/>
      <c r="D1297" s="3"/>
    </row>
    <row r="1298" spans="2:4">
      <c r="B1298" s="5"/>
      <c r="C1298" s="3"/>
      <c r="D1298" s="5"/>
    </row>
    <row r="1299" spans="2:4">
      <c r="B1299" s="5"/>
      <c r="C1299" s="3"/>
      <c r="D1299" s="5"/>
    </row>
    <row r="1300" spans="2:4">
      <c r="B1300" s="5"/>
      <c r="C1300" s="3"/>
      <c r="D1300" s="5"/>
    </row>
    <row r="1301" spans="2:4">
      <c r="B1301" s="5"/>
      <c r="C1301" s="3"/>
      <c r="D1301" s="5"/>
    </row>
    <row r="1302" spans="2:4">
      <c r="B1302" s="5"/>
      <c r="C1302" s="3"/>
      <c r="D1302" s="3"/>
    </row>
    <row r="1303" spans="2:4">
      <c r="B1303" s="5"/>
      <c r="C1303" s="3"/>
      <c r="D1303" s="5"/>
    </row>
    <row r="1304" spans="2:4">
      <c r="B1304" s="5"/>
      <c r="C1304" s="3"/>
      <c r="D1304" s="5"/>
    </row>
    <row r="1305" spans="2:4">
      <c r="B1305" s="5"/>
      <c r="C1305" s="3"/>
      <c r="D1305" s="5"/>
    </row>
    <row r="1306" spans="2:4">
      <c r="B1306" s="5"/>
      <c r="C1306" s="3"/>
      <c r="D1306" s="5"/>
    </row>
    <row r="1307" spans="2:4">
      <c r="B1307" s="5"/>
      <c r="C1307" s="3"/>
      <c r="D1307" s="3"/>
    </row>
    <row r="1308" spans="2:4">
      <c r="B1308" s="5"/>
      <c r="C1308" s="3"/>
      <c r="D1308" s="5"/>
    </row>
    <row r="1309" spans="2:4">
      <c r="B1309" s="5"/>
      <c r="C1309" s="3"/>
      <c r="D1309" s="5"/>
    </row>
    <row r="1310" spans="2:4">
      <c r="B1310" s="5"/>
      <c r="C1310" s="3"/>
      <c r="D1310" s="5"/>
    </row>
    <row r="1311" spans="2:4">
      <c r="B1311" s="5"/>
      <c r="C1311" s="3"/>
      <c r="D1311" s="5"/>
    </row>
    <row r="1312" spans="2:4">
      <c r="B1312" s="5"/>
      <c r="C1312" s="3"/>
      <c r="D1312" s="3"/>
    </row>
    <row r="1313" spans="2:4">
      <c r="B1313" s="5"/>
      <c r="C1313" s="3"/>
      <c r="D1313" s="5"/>
    </row>
    <row r="1314" spans="2:4">
      <c r="B1314" s="5"/>
      <c r="C1314" s="3"/>
      <c r="D1314" s="5"/>
    </row>
    <row r="1315" spans="2:4">
      <c r="B1315" s="5"/>
      <c r="C1315" s="3"/>
      <c r="D1315" s="5"/>
    </row>
    <row r="1316" spans="2:4">
      <c r="B1316" s="5"/>
      <c r="C1316" s="3"/>
      <c r="D1316" s="5"/>
    </row>
    <row r="1317" spans="2:4">
      <c r="B1317" s="5"/>
      <c r="C1317" s="3"/>
      <c r="D1317" s="3"/>
    </row>
    <row r="1318" spans="2:4">
      <c r="B1318" s="5"/>
      <c r="C1318" s="3"/>
      <c r="D1318" s="5"/>
    </row>
    <row r="1319" spans="2:4">
      <c r="B1319" s="5"/>
      <c r="C1319" s="3"/>
      <c r="D1319" s="5"/>
    </row>
    <row r="1320" spans="2:4">
      <c r="B1320" s="5"/>
      <c r="C1320" s="3"/>
      <c r="D1320" s="5"/>
    </row>
    <row r="1321" spans="2:4">
      <c r="B1321" s="5"/>
      <c r="C1321" s="3"/>
      <c r="D1321" s="5"/>
    </row>
    <row r="1322" spans="2:4">
      <c r="B1322" s="5"/>
      <c r="C1322" s="3"/>
      <c r="D1322" s="3"/>
    </row>
    <row r="1323" spans="2:4">
      <c r="B1323" s="5"/>
      <c r="C1323" s="3"/>
      <c r="D1323" s="5"/>
    </row>
    <row r="1324" spans="2:4">
      <c r="B1324" s="5"/>
      <c r="C1324" s="3"/>
      <c r="D1324" s="5"/>
    </row>
    <row r="1325" spans="2:4">
      <c r="B1325" s="5"/>
      <c r="C1325" s="3"/>
      <c r="D1325" s="5"/>
    </row>
    <row r="1326" spans="2:4">
      <c r="B1326" s="5"/>
      <c r="C1326" s="3"/>
      <c r="D1326" s="5"/>
    </row>
    <row r="1327" spans="2:4">
      <c r="B1327" s="5"/>
      <c r="C1327" s="3"/>
      <c r="D1327" s="3"/>
    </row>
    <row r="1328" spans="2:4">
      <c r="B1328" s="5"/>
      <c r="C1328" s="3"/>
      <c r="D1328" s="5"/>
    </row>
    <row r="1329" spans="2:4">
      <c r="B1329" s="5"/>
      <c r="C1329" s="3"/>
      <c r="D1329" s="5"/>
    </row>
    <row r="1330" spans="2:4">
      <c r="B1330" s="5"/>
      <c r="C1330" s="3"/>
      <c r="D1330" s="5"/>
    </row>
    <row r="1331" spans="2:4">
      <c r="B1331" s="5"/>
      <c r="C1331" s="3"/>
      <c r="D1331" s="5"/>
    </row>
    <row r="1332" spans="2:4">
      <c r="B1332" s="5"/>
      <c r="C1332" s="3"/>
      <c r="D1332" s="3"/>
    </row>
    <row r="1333" spans="2:4">
      <c r="B1333" s="5"/>
      <c r="C1333" s="3"/>
      <c r="D1333" s="5"/>
    </row>
    <row r="1334" spans="2:4">
      <c r="B1334" s="5"/>
      <c r="C1334" s="3"/>
      <c r="D1334" s="5"/>
    </row>
    <row r="1335" spans="2:4">
      <c r="B1335" s="5"/>
      <c r="C1335" s="3"/>
      <c r="D1335" s="5"/>
    </row>
    <row r="1336" spans="2:4">
      <c r="B1336" s="5"/>
      <c r="C1336" s="3"/>
      <c r="D1336" s="5"/>
    </row>
    <row r="1337" spans="2:4">
      <c r="B1337" s="5"/>
      <c r="C1337" s="3"/>
      <c r="D1337" s="3"/>
    </row>
    <row r="1338" spans="2:4">
      <c r="B1338" s="5"/>
      <c r="C1338" s="3"/>
      <c r="D1338" s="5"/>
    </row>
    <row r="1339" spans="2:4">
      <c r="B1339" s="5"/>
      <c r="C1339" s="3"/>
      <c r="D1339" s="5"/>
    </row>
    <row r="1340" spans="2:4">
      <c r="B1340" s="5"/>
      <c r="C1340" s="3"/>
      <c r="D1340" s="5"/>
    </row>
    <row r="1341" spans="2:4">
      <c r="B1341" s="5"/>
      <c r="C1341" s="3"/>
      <c r="D1341" s="5"/>
    </row>
    <row r="1342" spans="2:4">
      <c r="B1342" s="5"/>
      <c r="C1342" s="3"/>
      <c r="D1342" s="3"/>
    </row>
    <row r="1343" spans="2:4">
      <c r="B1343" s="5"/>
      <c r="C1343" s="3"/>
      <c r="D1343" s="5"/>
    </row>
    <row r="1344" spans="2:4">
      <c r="B1344" s="5"/>
      <c r="C1344" s="3"/>
      <c r="D1344" s="5"/>
    </row>
    <row r="1345" spans="2:4">
      <c r="B1345" s="5"/>
      <c r="C1345" s="3"/>
      <c r="D1345" s="5"/>
    </row>
    <row r="1346" spans="2:4">
      <c r="B1346" s="5"/>
      <c r="C1346" s="3"/>
      <c r="D1346" s="5"/>
    </row>
    <row r="1347" spans="2:4">
      <c r="B1347" s="5"/>
      <c r="C1347" s="3"/>
      <c r="D1347" s="3"/>
    </row>
    <row r="1348" spans="2:4">
      <c r="B1348" s="5"/>
      <c r="C1348" s="3"/>
      <c r="D1348" s="5"/>
    </row>
    <row r="1349" spans="2:4">
      <c r="B1349" s="5"/>
      <c r="C1349" s="3"/>
      <c r="D1349" s="5"/>
    </row>
    <row r="1350" spans="2:4">
      <c r="B1350" s="5"/>
      <c r="C1350" s="3"/>
      <c r="D1350" s="5"/>
    </row>
    <row r="1351" spans="2:4">
      <c r="B1351" s="5"/>
      <c r="C1351" s="3"/>
      <c r="D1351" s="5"/>
    </row>
    <row r="1352" spans="2:4">
      <c r="B1352" s="5"/>
      <c r="C1352" s="3"/>
      <c r="D1352" s="3"/>
    </row>
    <row r="1353" spans="2:4">
      <c r="B1353" s="5"/>
      <c r="C1353" s="3"/>
      <c r="D1353" s="5"/>
    </row>
    <row r="1354" spans="2:4">
      <c r="B1354" s="5"/>
      <c r="C1354" s="3"/>
      <c r="D1354" s="5"/>
    </row>
    <row r="1355" spans="2:4">
      <c r="B1355" s="5"/>
      <c r="C1355" s="3"/>
      <c r="D1355" s="5"/>
    </row>
    <row r="1356" spans="2:4">
      <c r="B1356" s="5"/>
      <c r="C1356" s="3"/>
      <c r="D1356" s="5"/>
    </row>
    <row r="1357" spans="2:4">
      <c r="B1357" s="5"/>
      <c r="C1357" s="3"/>
      <c r="D1357" s="3"/>
    </row>
    <row r="1358" spans="2:4">
      <c r="B1358" s="5"/>
      <c r="C1358" s="3"/>
      <c r="D1358" s="5"/>
    </row>
    <row r="1359" spans="2:4">
      <c r="B1359" s="5"/>
      <c r="C1359" s="3"/>
      <c r="D1359" s="5"/>
    </row>
    <row r="1360" spans="2:4">
      <c r="B1360" s="5"/>
      <c r="C1360" s="3"/>
      <c r="D1360" s="5"/>
    </row>
    <row r="1361" spans="2:4">
      <c r="B1361" s="5"/>
      <c r="C1361" s="3"/>
      <c r="D1361" s="5"/>
    </row>
    <row r="1362" spans="2:4">
      <c r="B1362" s="5"/>
      <c r="C1362" s="3"/>
      <c r="D1362" s="3"/>
    </row>
    <row r="1363" spans="2:4">
      <c r="B1363" s="5"/>
      <c r="C1363" s="3"/>
      <c r="D1363" s="5"/>
    </row>
    <row r="1364" spans="2:4">
      <c r="B1364" s="5"/>
      <c r="C1364" s="3"/>
      <c r="D1364" s="5"/>
    </row>
    <row r="1365" spans="2:4">
      <c r="B1365" s="5"/>
      <c r="C1365" s="3"/>
      <c r="D1365" s="5"/>
    </row>
    <row r="1366" spans="2:4">
      <c r="B1366" s="5"/>
      <c r="C1366" s="3"/>
      <c r="D1366" s="5"/>
    </row>
    <row r="1367" spans="2:4">
      <c r="B1367" s="5"/>
      <c r="C1367" s="3"/>
      <c r="D1367" s="3"/>
    </row>
    <row r="1368" spans="2:4">
      <c r="B1368" s="5"/>
      <c r="C1368" s="3"/>
      <c r="D1368" s="5"/>
    </row>
    <row r="1369" spans="2:4">
      <c r="B1369" s="5"/>
      <c r="C1369" s="3"/>
      <c r="D1369" s="5"/>
    </row>
    <row r="1370" spans="2:4">
      <c r="B1370" s="5"/>
      <c r="C1370" s="3"/>
      <c r="D1370" s="5"/>
    </row>
    <row r="1371" spans="2:4">
      <c r="B1371" s="5"/>
      <c r="C1371" s="3"/>
      <c r="D1371" s="5"/>
    </row>
    <row r="1372" spans="2:4">
      <c r="B1372" s="5"/>
      <c r="C1372" s="3"/>
      <c r="D1372" s="3"/>
    </row>
    <row r="1373" spans="2:4">
      <c r="B1373" s="5"/>
      <c r="C1373" s="3"/>
      <c r="D1373" s="5"/>
    </row>
    <row r="1374" spans="2:4">
      <c r="B1374" s="5"/>
      <c r="C1374" s="3"/>
      <c r="D1374" s="5"/>
    </row>
    <row r="1375" spans="2:4">
      <c r="B1375" s="5"/>
      <c r="C1375" s="3"/>
      <c r="D1375" s="5"/>
    </row>
    <row r="1376" spans="2:4">
      <c r="B1376" s="5"/>
      <c r="C1376" s="3"/>
      <c r="D1376" s="5"/>
    </row>
    <row r="1377" spans="2:4">
      <c r="B1377" s="5"/>
      <c r="C1377" s="3"/>
      <c r="D1377" s="3"/>
    </row>
    <row r="1378" spans="2:4">
      <c r="B1378" s="5"/>
      <c r="C1378" s="3"/>
      <c r="D1378" s="5"/>
    </row>
    <row r="1379" spans="2:4">
      <c r="B1379" s="5"/>
      <c r="C1379" s="3"/>
      <c r="D1379" s="5"/>
    </row>
    <row r="1380" spans="2:4">
      <c r="B1380" s="5"/>
      <c r="C1380" s="3"/>
      <c r="D1380" s="5"/>
    </row>
    <row r="1381" spans="2:4">
      <c r="B1381" s="5"/>
      <c r="C1381" s="3"/>
      <c r="D1381" s="5"/>
    </row>
    <row r="1382" spans="2:4">
      <c r="B1382" s="5"/>
      <c r="C1382" s="3"/>
      <c r="D1382" s="3"/>
    </row>
    <row r="1383" spans="2:4">
      <c r="B1383" s="5"/>
      <c r="C1383" s="3"/>
      <c r="D1383" s="5"/>
    </row>
    <row r="1384" spans="2:4">
      <c r="B1384" s="5"/>
      <c r="C1384" s="3"/>
      <c r="D1384" s="5"/>
    </row>
    <row r="1385" spans="2:4">
      <c r="B1385" s="5"/>
      <c r="C1385" s="3"/>
      <c r="D1385" s="5"/>
    </row>
    <row r="1386" spans="2:4">
      <c r="B1386" s="5"/>
      <c r="C1386" s="3"/>
      <c r="D1386" s="5"/>
    </row>
    <row r="1387" spans="2:4">
      <c r="B1387" s="5"/>
      <c r="C1387" s="3"/>
      <c r="D1387" s="3"/>
    </row>
    <row r="1388" spans="2:4">
      <c r="B1388" s="5"/>
      <c r="C1388" s="3"/>
      <c r="D1388" s="5"/>
    </row>
    <row r="1389" spans="2:4">
      <c r="B1389" s="5"/>
      <c r="C1389" s="3"/>
      <c r="D1389" s="5"/>
    </row>
    <row r="1390" spans="2:4">
      <c r="B1390" s="5"/>
      <c r="C1390" s="3"/>
      <c r="D1390" s="5"/>
    </row>
    <row r="1391" spans="2:4">
      <c r="B1391" s="5"/>
      <c r="C1391" s="3"/>
      <c r="D1391" s="5"/>
    </row>
    <row r="1392" spans="2:4">
      <c r="B1392" s="5"/>
      <c r="C1392" s="3"/>
      <c r="D1392" s="3"/>
    </row>
    <row r="1393" spans="2:4">
      <c r="B1393" s="5"/>
      <c r="C1393" s="3"/>
      <c r="D1393" s="5"/>
    </row>
    <row r="1394" spans="2:4">
      <c r="B1394" s="5"/>
      <c r="C1394" s="3"/>
      <c r="D1394" s="5"/>
    </row>
    <row r="1395" spans="2:4">
      <c r="B1395" s="5"/>
      <c r="C1395" s="3"/>
      <c r="D1395" s="5"/>
    </row>
    <row r="1396" spans="2:4">
      <c r="B1396" s="5"/>
      <c r="C1396" s="3"/>
      <c r="D1396" s="5"/>
    </row>
    <row r="1397" spans="2:4">
      <c r="B1397" s="5"/>
      <c r="C1397" s="3"/>
      <c r="D1397" s="3"/>
    </row>
    <row r="1398" spans="2:4">
      <c r="B1398" s="5"/>
      <c r="C1398" s="3"/>
      <c r="D1398" s="5"/>
    </row>
    <row r="1399" spans="2:4">
      <c r="B1399" s="5"/>
      <c r="C1399" s="3"/>
      <c r="D1399" s="5"/>
    </row>
    <row r="1400" spans="2:4">
      <c r="B1400" s="5"/>
      <c r="C1400" s="3"/>
      <c r="D1400" s="5"/>
    </row>
    <row r="1401" spans="2:4">
      <c r="B1401" s="5"/>
      <c r="C1401" s="3"/>
      <c r="D1401" s="5"/>
    </row>
    <row r="1402" spans="2:4">
      <c r="B1402" s="5"/>
      <c r="C1402" s="3"/>
      <c r="D1402" s="3"/>
    </row>
    <row r="1403" spans="2:4">
      <c r="B1403" s="5"/>
      <c r="C1403" s="3"/>
      <c r="D1403" s="5"/>
    </row>
    <row r="1404" spans="2:4">
      <c r="B1404" s="5"/>
      <c r="C1404" s="3"/>
      <c r="D1404" s="5"/>
    </row>
    <row r="1405" spans="2:4">
      <c r="B1405" s="5"/>
      <c r="C1405" s="3"/>
      <c r="D1405" s="5"/>
    </row>
    <row r="1406" spans="2:4">
      <c r="B1406" s="5"/>
      <c r="C1406" s="3"/>
      <c r="D1406" s="5"/>
    </row>
    <row r="1407" spans="2:4">
      <c r="B1407" s="5"/>
      <c r="C1407" s="3"/>
      <c r="D1407" s="3"/>
    </row>
    <row r="1408" spans="2:4">
      <c r="B1408" s="5"/>
      <c r="C1408" s="3"/>
      <c r="D1408" s="5"/>
    </row>
    <row r="1409" spans="2:4">
      <c r="B1409" s="5"/>
      <c r="C1409" s="3"/>
      <c r="D1409" s="5"/>
    </row>
    <row r="1410" spans="2:4">
      <c r="B1410" s="5"/>
      <c r="C1410" s="3"/>
      <c r="D1410" s="5"/>
    </row>
    <row r="1411" spans="2:4">
      <c r="B1411" s="5"/>
      <c r="C1411" s="3"/>
      <c r="D1411" s="5"/>
    </row>
    <row r="1412" spans="2:4">
      <c r="B1412" s="5"/>
      <c r="C1412" s="3"/>
      <c r="D1412" s="3"/>
    </row>
    <row r="1413" spans="2:4">
      <c r="B1413" s="5"/>
      <c r="C1413" s="3"/>
      <c r="D1413" s="5"/>
    </row>
    <row r="1414" spans="2:4">
      <c r="B1414" s="5"/>
      <c r="C1414" s="3"/>
      <c r="D1414" s="5"/>
    </row>
    <row r="1415" spans="2:4">
      <c r="B1415" s="5"/>
      <c r="C1415" s="3"/>
      <c r="D1415" s="5"/>
    </row>
    <row r="1416" spans="2:4">
      <c r="B1416" s="5"/>
      <c r="C1416" s="3"/>
      <c r="D1416" s="5"/>
    </row>
    <row r="1417" spans="2:4">
      <c r="B1417" s="5"/>
      <c r="C1417" s="3"/>
      <c r="D1417" s="3"/>
    </row>
    <row r="1418" spans="2:4">
      <c r="B1418" s="5"/>
      <c r="C1418" s="3"/>
      <c r="D1418" s="5"/>
    </row>
    <row r="1419" spans="2:4">
      <c r="B1419" s="5"/>
      <c r="C1419" s="3"/>
      <c r="D1419" s="5"/>
    </row>
    <row r="1420" spans="2:4">
      <c r="B1420" s="5"/>
      <c r="C1420" s="3"/>
      <c r="D1420" s="5"/>
    </row>
    <row r="1421" spans="2:4">
      <c r="B1421" s="5"/>
      <c r="C1421" s="3"/>
      <c r="D1421" s="5"/>
    </row>
    <row r="1422" spans="2:4">
      <c r="B1422" s="5"/>
      <c r="C1422" s="3"/>
      <c r="D1422" s="3"/>
    </row>
    <row r="1423" spans="2:4">
      <c r="B1423" s="5"/>
      <c r="C1423" s="3"/>
      <c r="D1423" s="5"/>
    </row>
    <row r="1424" spans="2:4">
      <c r="B1424" s="5"/>
      <c r="C1424" s="3"/>
      <c r="D1424" s="5"/>
    </row>
    <row r="1425" spans="2:4">
      <c r="B1425" s="5"/>
      <c r="C1425" s="3"/>
      <c r="D1425" s="5"/>
    </row>
    <row r="1426" spans="2:4">
      <c r="B1426" s="5"/>
      <c r="C1426" s="3"/>
      <c r="D1426" s="5"/>
    </row>
    <row r="1427" spans="2:4">
      <c r="B1427" s="5"/>
      <c r="C1427" s="3"/>
      <c r="D1427" s="3"/>
    </row>
    <row r="1428" spans="2:4">
      <c r="B1428" s="5"/>
      <c r="C1428" s="3"/>
      <c r="D1428" s="5"/>
    </row>
    <row r="1429" spans="2:4">
      <c r="B1429" s="5"/>
      <c r="C1429" s="3"/>
      <c r="D1429" s="5"/>
    </row>
    <row r="1430" spans="2:4">
      <c r="B1430" s="5"/>
      <c r="C1430" s="3"/>
      <c r="D1430" s="5"/>
    </row>
    <row r="1431" spans="2:4">
      <c r="B1431" s="5"/>
      <c r="C1431" s="3"/>
      <c r="D1431" s="5"/>
    </row>
    <row r="1432" spans="2:4">
      <c r="B1432" s="5"/>
      <c r="C1432" s="3"/>
      <c r="D1432" s="3"/>
    </row>
    <row r="1433" spans="2:4">
      <c r="B1433" s="5"/>
      <c r="C1433" s="3"/>
      <c r="D1433" s="5"/>
    </row>
    <row r="1434" spans="2:4">
      <c r="B1434" s="5"/>
      <c r="C1434" s="3"/>
      <c r="D1434" s="5"/>
    </row>
    <row r="1435" spans="2:4">
      <c r="B1435" s="5"/>
      <c r="C1435" s="3"/>
      <c r="D1435" s="5"/>
    </row>
    <row r="1436" spans="2:4">
      <c r="B1436" s="5"/>
      <c r="C1436" s="3"/>
      <c r="D1436" s="5"/>
    </row>
    <row r="1437" spans="2:4">
      <c r="B1437" s="5"/>
      <c r="C1437" s="3"/>
      <c r="D1437" s="3"/>
    </row>
    <row r="1438" spans="2:4">
      <c r="B1438" s="5"/>
      <c r="C1438" s="3"/>
      <c r="D1438" s="5"/>
    </row>
    <row r="1439" spans="2:4">
      <c r="B1439" s="5"/>
      <c r="C1439" s="3"/>
      <c r="D1439" s="5"/>
    </row>
    <row r="1440" spans="2:4">
      <c r="B1440" s="5"/>
      <c r="C1440" s="3"/>
      <c r="D1440" s="5"/>
    </row>
    <row r="1441" spans="2:4">
      <c r="B1441" s="5"/>
      <c r="C1441" s="3"/>
      <c r="D1441" s="5"/>
    </row>
    <row r="1442" spans="2:4">
      <c r="B1442" s="5"/>
      <c r="C1442" s="3"/>
      <c r="D1442" s="3"/>
    </row>
    <row r="1443" spans="2:4">
      <c r="B1443" s="5"/>
      <c r="C1443" s="3"/>
      <c r="D1443" s="5"/>
    </row>
    <row r="1444" spans="2:4">
      <c r="B1444" s="5"/>
      <c r="C1444" s="3"/>
      <c r="D1444" s="5"/>
    </row>
    <row r="1445" spans="2:4">
      <c r="B1445" s="5"/>
      <c r="C1445" s="3"/>
      <c r="D1445" s="5"/>
    </row>
    <row r="1446" spans="2:4">
      <c r="B1446" s="5"/>
      <c r="C1446" s="3"/>
      <c r="D1446" s="5"/>
    </row>
    <row r="1447" spans="2:4">
      <c r="B1447" s="5"/>
      <c r="C1447" s="3"/>
      <c r="D1447" s="3"/>
    </row>
    <row r="1448" spans="2:4">
      <c r="B1448" s="5"/>
      <c r="C1448" s="3"/>
      <c r="D1448" s="5"/>
    </row>
    <row r="1449" spans="2:4">
      <c r="B1449" s="5"/>
      <c r="C1449" s="3"/>
      <c r="D1449" s="5"/>
    </row>
    <row r="1450" spans="2:4">
      <c r="B1450" s="5"/>
      <c r="C1450" s="3"/>
      <c r="D1450" s="5"/>
    </row>
    <row r="1451" spans="2:4">
      <c r="B1451" s="5"/>
      <c r="C1451" s="3"/>
      <c r="D1451" s="5"/>
    </row>
    <row r="1452" spans="2:4">
      <c r="B1452" s="5"/>
      <c r="C1452" s="3"/>
      <c r="D1452" s="3"/>
    </row>
    <row r="1453" spans="2:4">
      <c r="B1453" s="5"/>
      <c r="C1453" s="3"/>
      <c r="D1453" s="5"/>
    </row>
    <row r="1454" spans="2:4">
      <c r="B1454" s="5"/>
      <c r="C1454" s="3"/>
      <c r="D1454" s="5"/>
    </row>
    <row r="1455" spans="2:4">
      <c r="B1455" s="5"/>
      <c r="C1455" s="3"/>
      <c r="D1455" s="5"/>
    </row>
    <row r="1456" spans="2:4">
      <c r="B1456" s="5"/>
      <c r="C1456" s="3"/>
      <c r="D1456" s="5"/>
    </row>
    <row r="1457" spans="2:4">
      <c r="B1457" s="5"/>
      <c r="C1457" s="3"/>
      <c r="D1457" s="3"/>
    </row>
    <row r="1458" spans="2:4">
      <c r="B1458" s="5"/>
      <c r="C1458" s="3"/>
      <c r="D1458" s="5"/>
    </row>
    <row r="1459" spans="2:4">
      <c r="B1459" s="5"/>
      <c r="C1459" s="3"/>
      <c r="D1459" s="5"/>
    </row>
    <row r="1460" spans="2:4">
      <c r="B1460" s="5"/>
      <c r="C1460" s="3"/>
      <c r="D1460" s="5"/>
    </row>
    <row r="1461" spans="2:4">
      <c r="B1461" s="5"/>
      <c r="C1461" s="3"/>
      <c r="D1461" s="5"/>
    </row>
    <row r="1462" spans="2:4">
      <c r="B1462" s="5"/>
      <c r="C1462" s="3"/>
      <c r="D1462" s="3"/>
    </row>
    <row r="1463" spans="2:4">
      <c r="B1463" s="5"/>
      <c r="C1463" s="3"/>
      <c r="D1463" s="5"/>
    </row>
    <row r="1464" spans="2:4">
      <c r="B1464" s="5"/>
      <c r="C1464" s="3"/>
      <c r="D1464" s="5"/>
    </row>
    <row r="1465" spans="2:4">
      <c r="B1465" s="5"/>
      <c r="C1465" s="3"/>
      <c r="D1465" s="5"/>
    </row>
    <row r="1466" spans="2:4">
      <c r="B1466" s="5"/>
      <c r="C1466" s="3"/>
      <c r="D1466" s="5"/>
    </row>
    <row r="1467" spans="2:4">
      <c r="B1467" s="5"/>
      <c r="C1467" s="3"/>
      <c r="D1467" s="3"/>
    </row>
    <row r="1468" spans="2:4">
      <c r="B1468" s="5"/>
      <c r="C1468" s="3"/>
      <c r="D1468" s="5"/>
    </row>
    <row r="1469" spans="2:4">
      <c r="B1469" s="5"/>
      <c r="C1469" s="3"/>
      <c r="D1469" s="5"/>
    </row>
    <row r="1470" spans="2:4">
      <c r="B1470" s="5"/>
      <c r="C1470" s="3"/>
      <c r="D1470" s="5"/>
    </row>
    <row r="1471" spans="2:4">
      <c r="B1471" s="5"/>
      <c r="C1471" s="3"/>
      <c r="D1471" s="5"/>
    </row>
    <row r="1472" spans="2:4">
      <c r="B1472" s="5"/>
      <c r="C1472" s="3"/>
      <c r="D1472" s="3"/>
    </row>
    <row r="1473" spans="2:4">
      <c r="B1473" s="5"/>
      <c r="C1473" s="3"/>
      <c r="D1473" s="5"/>
    </row>
    <row r="1474" spans="2:4">
      <c r="B1474" s="5"/>
      <c r="C1474" s="3"/>
      <c r="D1474" s="5"/>
    </row>
    <row r="1475" spans="2:4">
      <c r="B1475" s="5"/>
      <c r="C1475" s="3"/>
      <c r="D1475" s="5"/>
    </row>
    <row r="1476" spans="2:4">
      <c r="B1476" s="5"/>
      <c r="C1476" s="3"/>
      <c r="D1476" s="5"/>
    </row>
    <row r="1477" spans="2:4">
      <c r="B1477" s="5"/>
      <c r="C1477" s="3"/>
      <c r="D1477" s="3"/>
    </row>
    <row r="1478" spans="2:4">
      <c r="B1478" s="5"/>
      <c r="C1478" s="3"/>
      <c r="D1478" s="5"/>
    </row>
    <row r="1479" spans="2:4">
      <c r="B1479" s="5"/>
      <c r="C1479" s="3"/>
      <c r="D1479" s="5"/>
    </row>
    <row r="1480" spans="2:4">
      <c r="B1480" s="5"/>
      <c r="C1480" s="3"/>
      <c r="D1480" s="5"/>
    </row>
    <row r="1481" spans="2:4">
      <c r="B1481" s="5"/>
      <c r="C1481" s="3"/>
      <c r="D1481" s="5"/>
    </row>
    <row r="1482" spans="2:4">
      <c r="B1482" s="5"/>
      <c r="C1482" s="3"/>
      <c r="D1482" s="3"/>
    </row>
    <row r="1483" spans="2:4">
      <c r="B1483" s="5"/>
      <c r="C1483" s="3"/>
      <c r="D1483" s="5"/>
    </row>
    <row r="1484" spans="2:4">
      <c r="B1484" s="5"/>
      <c r="C1484" s="3"/>
      <c r="D1484" s="5"/>
    </row>
    <row r="1485" spans="2:4">
      <c r="B1485" s="5"/>
      <c r="C1485" s="3"/>
      <c r="D1485" s="5"/>
    </row>
    <row r="1486" spans="2:4">
      <c r="B1486" s="5"/>
      <c r="C1486" s="3"/>
      <c r="D1486" s="5"/>
    </row>
    <row r="1487" spans="2:4">
      <c r="B1487" s="5"/>
      <c r="C1487" s="3"/>
      <c r="D1487" s="3"/>
    </row>
    <row r="1488" spans="2:4">
      <c r="B1488" s="5"/>
      <c r="C1488" s="3"/>
      <c r="D1488" s="5"/>
    </row>
    <row r="1489" spans="2:4">
      <c r="B1489" s="5"/>
      <c r="C1489" s="3"/>
      <c r="D1489" s="5"/>
    </row>
    <row r="1490" spans="2:4">
      <c r="B1490" s="5"/>
      <c r="C1490" s="3"/>
      <c r="D1490" s="5"/>
    </row>
    <row r="1491" spans="2:4">
      <c r="B1491" s="5"/>
      <c r="C1491" s="3"/>
      <c r="D1491" s="5"/>
    </row>
    <row r="1492" spans="2:4">
      <c r="B1492" s="5"/>
      <c r="C1492" s="3"/>
      <c r="D1492" s="3"/>
    </row>
    <row r="1493" spans="2:4">
      <c r="B1493" s="5"/>
      <c r="C1493" s="3"/>
      <c r="D1493" s="5"/>
    </row>
    <row r="1494" spans="2:4">
      <c r="B1494" s="5"/>
      <c r="C1494" s="3"/>
      <c r="D1494" s="5"/>
    </row>
    <row r="1495" spans="2:4">
      <c r="B1495" s="5"/>
      <c r="C1495" s="3"/>
      <c r="D1495" s="5"/>
    </row>
    <row r="1496" spans="2:4">
      <c r="B1496" s="5"/>
      <c r="C1496" s="3"/>
      <c r="D1496" s="5"/>
    </row>
    <row r="1497" spans="2:4">
      <c r="B1497" s="5"/>
      <c r="C1497" s="3"/>
      <c r="D1497" s="3"/>
    </row>
    <row r="1498" spans="2:4">
      <c r="B1498" s="5"/>
      <c r="C1498" s="3"/>
      <c r="D1498" s="5"/>
    </row>
    <row r="1499" spans="2:4">
      <c r="B1499" s="5"/>
      <c r="C1499" s="3"/>
      <c r="D1499" s="5"/>
    </row>
    <row r="1500" spans="2:4">
      <c r="B1500" s="5"/>
      <c r="C1500" s="3"/>
      <c r="D1500" s="5"/>
    </row>
    <row r="1501" spans="2:4">
      <c r="B1501" s="5"/>
      <c r="C1501" s="3"/>
      <c r="D1501" s="5"/>
    </row>
    <row r="1502" spans="2:4">
      <c r="B1502" s="5"/>
      <c r="C1502" s="3"/>
      <c r="D1502" s="3"/>
    </row>
    <row r="1503" spans="2:4">
      <c r="B1503" s="5"/>
      <c r="C1503" s="3"/>
      <c r="D1503" s="5"/>
    </row>
    <row r="1504" spans="2:4">
      <c r="B1504" s="5"/>
      <c r="C1504" s="3"/>
      <c r="D1504" s="5"/>
    </row>
    <row r="1505" spans="2:4">
      <c r="B1505" s="5"/>
      <c r="C1505" s="3"/>
      <c r="D1505" s="5"/>
    </row>
    <row r="1506" spans="2:4">
      <c r="B1506" s="5"/>
      <c r="C1506" s="3"/>
      <c r="D1506" s="5"/>
    </row>
    <row r="1507" spans="2:4">
      <c r="B1507" s="5"/>
      <c r="C1507" s="3"/>
      <c r="D1507" s="3"/>
    </row>
    <row r="1508" spans="2:4">
      <c r="B1508" s="5"/>
      <c r="C1508" s="3"/>
      <c r="D1508" s="5"/>
    </row>
    <row r="1509" spans="2:4">
      <c r="B1509" s="5"/>
      <c r="C1509" s="3"/>
      <c r="D1509" s="5"/>
    </row>
    <row r="1510" spans="2:4">
      <c r="B1510" s="5"/>
      <c r="C1510" s="3"/>
      <c r="D1510" s="5"/>
    </row>
    <row r="1511" spans="2:4">
      <c r="B1511" s="5"/>
      <c r="C1511" s="3"/>
      <c r="D1511" s="5"/>
    </row>
    <row r="1512" spans="2:4">
      <c r="B1512" s="5"/>
      <c r="C1512" s="3"/>
      <c r="D1512" s="3"/>
    </row>
    <row r="1513" spans="2:4">
      <c r="B1513" s="5"/>
      <c r="C1513" s="3"/>
      <c r="D1513" s="5"/>
    </row>
    <row r="1514" spans="2:4">
      <c r="B1514" s="5"/>
      <c r="C1514" s="3"/>
      <c r="D1514" s="5"/>
    </row>
    <row r="1515" spans="2:4">
      <c r="B1515" s="5"/>
      <c r="C1515" s="3"/>
      <c r="D1515" s="5"/>
    </row>
    <row r="1516" spans="2:4">
      <c r="B1516" s="5"/>
      <c r="C1516" s="3"/>
      <c r="D1516" s="5"/>
    </row>
    <row r="1517" spans="2:4">
      <c r="B1517" s="5"/>
      <c r="C1517" s="3"/>
      <c r="D1517" s="3"/>
    </row>
    <row r="1518" spans="2:4">
      <c r="B1518" s="5"/>
      <c r="C1518" s="3"/>
      <c r="D1518" s="5"/>
    </row>
    <row r="1519" spans="2:4">
      <c r="B1519" s="5"/>
      <c r="C1519" s="3"/>
      <c r="D1519" s="5"/>
    </row>
    <row r="1520" spans="2:4">
      <c r="B1520" s="5"/>
      <c r="C1520" s="3"/>
      <c r="D1520" s="5"/>
    </row>
    <row r="1521" spans="2:4">
      <c r="B1521" s="5"/>
      <c r="C1521" s="3"/>
      <c r="D1521" s="5"/>
    </row>
    <row r="1522" spans="2:4">
      <c r="B1522" s="5"/>
      <c r="C1522" s="3"/>
      <c r="D1522" s="3"/>
    </row>
    <row r="1523" spans="2:4">
      <c r="B1523" s="5"/>
      <c r="C1523" s="3"/>
      <c r="D1523" s="5"/>
    </row>
    <row r="1524" spans="2:4">
      <c r="B1524" s="5"/>
      <c r="C1524" s="3"/>
      <c r="D1524" s="5"/>
    </row>
    <row r="1525" spans="2:4">
      <c r="B1525" s="5"/>
      <c r="C1525" s="3"/>
      <c r="D1525" s="5"/>
    </row>
    <row r="1526" spans="2:4">
      <c r="B1526" s="5"/>
      <c r="C1526" s="3"/>
      <c r="D1526" s="5"/>
    </row>
    <row r="1527" spans="2:4">
      <c r="B1527" s="5"/>
      <c r="C1527" s="3"/>
      <c r="D1527" s="3"/>
    </row>
    <row r="1528" spans="2:4">
      <c r="B1528" s="5"/>
      <c r="C1528" s="3"/>
      <c r="D1528" s="5"/>
    </row>
    <row r="1529" spans="2:4">
      <c r="B1529" s="5"/>
      <c r="C1529" s="3"/>
      <c r="D1529" s="5"/>
    </row>
    <row r="1530" spans="2:4">
      <c r="B1530" s="5"/>
      <c r="C1530" s="3"/>
      <c r="D1530" s="5"/>
    </row>
    <row r="1531" spans="2:4">
      <c r="B1531" s="5"/>
      <c r="C1531" s="3"/>
      <c r="D1531" s="5"/>
    </row>
    <row r="1532" spans="2:4">
      <c r="B1532" s="5"/>
      <c r="C1532" s="3"/>
      <c r="D1532" s="3"/>
    </row>
    <row r="1533" spans="2:4">
      <c r="B1533" s="5"/>
      <c r="C1533" s="3"/>
      <c r="D1533" s="5"/>
    </row>
    <row r="1534" spans="2:4">
      <c r="B1534" s="5"/>
      <c r="C1534" s="3"/>
      <c r="D1534" s="5"/>
    </row>
    <row r="1535" spans="2:4">
      <c r="B1535" s="5"/>
      <c r="C1535" s="3"/>
      <c r="D1535" s="5"/>
    </row>
    <row r="1536" spans="2:4">
      <c r="B1536" s="5"/>
      <c r="C1536" s="3"/>
      <c r="D1536" s="5"/>
    </row>
    <row r="1537" spans="2:4">
      <c r="B1537" s="5"/>
      <c r="C1537" s="3"/>
      <c r="D1537" s="3"/>
    </row>
    <row r="1538" spans="2:4">
      <c r="B1538" s="5"/>
      <c r="C1538" s="3"/>
      <c r="D1538" s="5"/>
    </row>
    <row r="1539" spans="2:4">
      <c r="B1539" s="5"/>
      <c r="C1539" s="3"/>
      <c r="D1539" s="5"/>
    </row>
    <row r="1540" spans="2:4">
      <c r="B1540" s="5"/>
      <c r="C1540" s="3"/>
      <c r="D1540" s="5"/>
    </row>
    <row r="1541" spans="2:4">
      <c r="B1541" s="5"/>
      <c r="C1541" s="3"/>
      <c r="D1541" s="5"/>
    </row>
    <row r="1542" spans="2:4">
      <c r="B1542" s="5"/>
      <c r="C1542" s="3"/>
      <c r="D1542" s="3"/>
    </row>
    <row r="1543" spans="2:4">
      <c r="B1543" s="5"/>
      <c r="C1543" s="3"/>
      <c r="D1543" s="5"/>
    </row>
    <row r="1544" spans="2:4">
      <c r="B1544" s="5"/>
      <c r="C1544" s="3"/>
      <c r="D1544" s="5"/>
    </row>
    <row r="1545" spans="2:4">
      <c r="B1545" s="5"/>
      <c r="C1545" s="3"/>
      <c r="D1545" s="5"/>
    </row>
    <row r="1546" spans="2:4">
      <c r="B1546" s="5"/>
      <c r="C1546" s="3"/>
      <c r="D1546" s="5"/>
    </row>
    <row r="1547" spans="2:4">
      <c r="B1547" s="5"/>
      <c r="C1547" s="3"/>
      <c r="D1547" s="3"/>
    </row>
    <row r="1548" spans="2:4">
      <c r="B1548" s="5"/>
      <c r="C1548" s="3"/>
      <c r="D1548" s="5"/>
    </row>
    <row r="1549" spans="2:4">
      <c r="B1549" s="5"/>
      <c r="C1549" s="3"/>
      <c r="D1549" s="5"/>
    </row>
    <row r="1550" spans="2:4">
      <c r="B1550" s="5"/>
      <c r="C1550" s="3"/>
      <c r="D1550" s="5"/>
    </row>
    <row r="1551" spans="2:4">
      <c r="B1551" s="5"/>
      <c r="C1551" s="3"/>
      <c r="D1551" s="5"/>
    </row>
    <row r="1552" spans="2:4">
      <c r="B1552" s="5"/>
      <c r="C1552" s="3"/>
      <c r="D1552" s="3"/>
    </row>
    <row r="1553" spans="2:4">
      <c r="B1553" s="5"/>
      <c r="C1553" s="3"/>
      <c r="D1553" s="5"/>
    </row>
    <row r="1554" spans="2:4">
      <c r="B1554" s="5"/>
      <c r="C1554" s="3"/>
      <c r="D1554" s="5"/>
    </row>
    <row r="1555" spans="2:4">
      <c r="B1555" s="5"/>
      <c r="C1555" s="3"/>
      <c r="D1555" s="5"/>
    </row>
    <row r="1556" spans="2:4">
      <c r="B1556" s="5"/>
      <c r="C1556" s="3"/>
      <c r="D1556" s="5"/>
    </row>
    <row r="1557" spans="2:4">
      <c r="B1557" s="5"/>
      <c r="C1557" s="3"/>
      <c r="D1557" s="3"/>
    </row>
    <row r="1558" spans="2:4">
      <c r="B1558" s="5"/>
      <c r="C1558" s="3"/>
      <c r="D1558" s="5"/>
    </row>
    <row r="1559" spans="2:4">
      <c r="B1559" s="5"/>
      <c r="C1559" s="3"/>
      <c r="D1559" s="5"/>
    </row>
    <row r="1560" spans="2:4">
      <c r="B1560" s="5"/>
      <c r="C1560" s="3"/>
      <c r="D1560" s="5"/>
    </row>
    <row r="1561" spans="2:4">
      <c r="B1561" s="5"/>
      <c r="C1561" s="3"/>
      <c r="D1561" s="5"/>
    </row>
    <row r="1562" spans="2:4">
      <c r="B1562" s="5"/>
      <c r="C1562" s="3"/>
      <c r="D1562" s="3"/>
    </row>
    <row r="1563" spans="2:4">
      <c r="B1563" s="5"/>
      <c r="C1563" s="3"/>
      <c r="D1563" s="5"/>
    </row>
    <row r="1564" spans="2:4">
      <c r="B1564" s="5"/>
      <c r="C1564" s="3"/>
      <c r="D1564" s="5"/>
    </row>
    <row r="1565" spans="2:4">
      <c r="B1565" s="5"/>
      <c r="C1565" s="3"/>
      <c r="D1565" s="5"/>
    </row>
    <row r="1566" spans="2:4">
      <c r="B1566" s="5"/>
      <c r="C1566" s="3"/>
      <c r="D1566" s="5"/>
    </row>
    <row r="1567" spans="2:4">
      <c r="B1567" s="5"/>
      <c r="C1567" s="3"/>
      <c r="D1567" s="3"/>
    </row>
    <row r="1568" spans="2:4">
      <c r="B1568" s="5"/>
      <c r="C1568" s="3"/>
      <c r="D1568" s="5"/>
    </row>
    <row r="1569" spans="2:4">
      <c r="B1569" s="5"/>
      <c r="C1569" s="3"/>
      <c r="D1569" s="5"/>
    </row>
    <row r="1570" spans="2:4">
      <c r="B1570" s="5"/>
      <c r="C1570" s="3"/>
      <c r="D1570" s="5"/>
    </row>
    <row r="1571" spans="2:4">
      <c r="B1571" s="5"/>
      <c r="C1571" s="3"/>
      <c r="D1571" s="5"/>
    </row>
    <row r="1572" spans="2:4">
      <c r="B1572" s="5"/>
      <c r="C1572" s="3"/>
      <c r="D1572" s="3"/>
    </row>
    <row r="1573" spans="2:4">
      <c r="B1573" s="5"/>
      <c r="C1573" s="3"/>
      <c r="D1573" s="5"/>
    </row>
    <row r="1574" spans="2:4">
      <c r="B1574" s="5"/>
      <c r="C1574" s="3"/>
      <c r="D1574" s="5"/>
    </row>
    <row r="1575" spans="2:4">
      <c r="B1575" s="5"/>
      <c r="C1575" s="3"/>
      <c r="D1575" s="5"/>
    </row>
    <row r="1576" spans="2:4">
      <c r="B1576" s="5"/>
      <c r="C1576" s="3"/>
      <c r="D1576" s="5"/>
    </row>
    <row r="1577" spans="2:4">
      <c r="B1577" s="5"/>
      <c r="C1577" s="3"/>
      <c r="D1577" s="3"/>
    </row>
    <row r="1578" spans="2:4">
      <c r="B1578" s="5"/>
      <c r="C1578" s="3"/>
      <c r="D1578" s="5"/>
    </row>
    <row r="1579" spans="2:4">
      <c r="B1579" s="5"/>
      <c r="C1579" s="3"/>
      <c r="D1579" s="5"/>
    </row>
    <row r="1580" spans="2:4">
      <c r="B1580" s="5"/>
      <c r="C1580" s="3"/>
      <c r="D1580" s="5"/>
    </row>
    <row r="1581" spans="2:4">
      <c r="B1581" s="5"/>
      <c r="C1581" s="3"/>
      <c r="D1581" s="5"/>
    </row>
    <row r="1582" spans="2:4">
      <c r="B1582" s="5"/>
      <c r="C1582" s="3"/>
      <c r="D1582" s="3"/>
    </row>
    <row r="1583" spans="2:4">
      <c r="B1583" s="5"/>
      <c r="C1583" s="3"/>
      <c r="D1583" s="5"/>
    </row>
    <row r="1584" spans="2:4">
      <c r="B1584" s="5"/>
      <c r="C1584" s="3"/>
      <c r="D1584" s="5"/>
    </row>
    <row r="1585" spans="2:4">
      <c r="B1585" s="5"/>
      <c r="C1585" s="3"/>
      <c r="D1585" s="5"/>
    </row>
    <row r="1586" spans="2:4">
      <c r="B1586" s="5"/>
      <c r="C1586" s="3"/>
      <c r="D1586" s="5"/>
    </row>
    <row r="1587" spans="2:4">
      <c r="B1587" s="5"/>
      <c r="C1587" s="3"/>
      <c r="D1587" s="3"/>
    </row>
    <row r="1588" spans="2:4">
      <c r="B1588" s="5"/>
      <c r="C1588" s="3"/>
      <c r="D1588" s="5"/>
    </row>
    <row r="1589" spans="2:4">
      <c r="B1589" s="5"/>
      <c r="C1589" s="3"/>
      <c r="D1589" s="5"/>
    </row>
    <row r="1590" spans="2:4">
      <c r="B1590" s="5"/>
      <c r="C1590" s="3"/>
      <c r="D1590" s="5"/>
    </row>
    <row r="1591" spans="2:4">
      <c r="B1591" s="5"/>
      <c r="C1591" s="3"/>
      <c r="D1591" s="5"/>
    </row>
    <row r="1592" spans="2:4">
      <c r="B1592" s="5"/>
      <c r="C1592" s="3"/>
      <c r="D1592" s="3"/>
    </row>
    <row r="1593" spans="2:4">
      <c r="B1593" s="5"/>
      <c r="C1593" s="3"/>
      <c r="D1593" s="5"/>
    </row>
    <row r="1594" spans="2:4">
      <c r="B1594" s="5"/>
      <c r="C1594" s="3"/>
      <c r="D1594" s="5"/>
    </row>
    <row r="1595" spans="2:4">
      <c r="B1595" s="5"/>
      <c r="C1595" s="3"/>
      <c r="D1595" s="5"/>
    </row>
    <row r="1596" spans="2:4">
      <c r="B1596" s="5"/>
      <c r="C1596" s="3"/>
      <c r="D1596" s="5"/>
    </row>
    <row r="1597" spans="2:4">
      <c r="B1597" s="5"/>
      <c r="C1597" s="3"/>
      <c r="D1597" s="3"/>
    </row>
    <row r="1598" spans="2:4">
      <c r="B1598" s="5"/>
      <c r="C1598" s="3"/>
      <c r="D1598" s="5"/>
    </row>
    <row r="1599" spans="2:4">
      <c r="B1599" s="5"/>
      <c r="C1599" s="3"/>
      <c r="D1599" s="5"/>
    </row>
    <row r="1600" spans="2:4">
      <c r="B1600" s="5"/>
      <c r="C1600" s="3"/>
      <c r="D1600" s="5"/>
    </row>
    <row r="1601" spans="2:4">
      <c r="B1601" s="5"/>
      <c r="C1601" s="3"/>
      <c r="D1601" s="5"/>
    </row>
    <row r="1602" spans="2:4">
      <c r="B1602" s="5"/>
      <c r="C1602" s="3"/>
      <c r="D1602" s="3"/>
    </row>
    <row r="1603" spans="2:4">
      <c r="B1603" s="5"/>
      <c r="C1603" s="3"/>
      <c r="D1603" s="5"/>
    </row>
    <row r="1604" spans="2:4">
      <c r="B1604" s="5"/>
      <c r="C1604" s="3"/>
      <c r="D1604" s="5"/>
    </row>
    <row r="1605" spans="2:4">
      <c r="B1605" s="5"/>
      <c r="C1605" s="3"/>
      <c r="D1605" s="5"/>
    </row>
    <row r="1606" spans="2:4">
      <c r="B1606" s="5"/>
      <c r="C1606" s="3"/>
      <c r="D1606" s="5"/>
    </row>
    <row r="1607" spans="2:4">
      <c r="B1607" s="5"/>
      <c r="C1607" s="3"/>
      <c r="D1607" s="3"/>
    </row>
    <row r="1608" spans="2:4">
      <c r="B1608" s="5"/>
      <c r="C1608" s="3"/>
      <c r="D1608" s="5"/>
    </row>
    <row r="1609" spans="2:4">
      <c r="B1609" s="5"/>
      <c r="C1609" s="3"/>
      <c r="D1609" s="5"/>
    </row>
    <row r="1610" spans="2:4">
      <c r="B1610" s="5"/>
      <c r="C1610" s="3"/>
      <c r="D1610" s="5"/>
    </row>
    <row r="1611" spans="2:4">
      <c r="B1611" s="5"/>
      <c r="C1611" s="3"/>
      <c r="D1611" s="5"/>
    </row>
    <row r="1612" spans="2:4">
      <c r="B1612" s="5"/>
      <c r="C1612" s="3"/>
      <c r="D1612" s="3"/>
    </row>
    <row r="1613" spans="2:4">
      <c r="B1613" s="5"/>
      <c r="C1613" s="3"/>
      <c r="D1613" s="5"/>
    </row>
    <row r="1614" spans="2:4">
      <c r="B1614" s="5"/>
      <c r="C1614" s="3"/>
      <c r="D1614" s="5"/>
    </row>
    <row r="1615" spans="2:4">
      <c r="B1615" s="5"/>
      <c r="C1615" s="3"/>
      <c r="D1615" s="5"/>
    </row>
    <row r="1616" spans="2:4">
      <c r="B1616" s="5"/>
      <c r="C1616" s="3"/>
      <c r="D1616" s="5"/>
    </row>
    <row r="1617" spans="2:4">
      <c r="B1617" s="5"/>
      <c r="C1617" s="3"/>
      <c r="D1617" s="3"/>
    </row>
    <row r="1618" spans="2:4">
      <c r="B1618" s="5"/>
      <c r="C1618" s="3"/>
      <c r="D1618" s="5"/>
    </row>
    <row r="1619" spans="2:4">
      <c r="B1619" s="5"/>
      <c r="C1619" s="3"/>
      <c r="D1619" s="5"/>
    </row>
    <row r="1620" spans="2:4">
      <c r="B1620" s="5"/>
      <c r="C1620" s="3"/>
      <c r="D1620" s="5"/>
    </row>
    <row r="1621" spans="2:4">
      <c r="B1621" s="5"/>
      <c r="C1621" s="3"/>
      <c r="D1621" s="5"/>
    </row>
    <row r="1622" spans="2:4">
      <c r="B1622" s="5"/>
      <c r="C1622" s="3"/>
      <c r="D1622" s="3"/>
    </row>
    <row r="1623" spans="2:4">
      <c r="B1623" s="5"/>
      <c r="C1623" s="3"/>
      <c r="D1623" s="5"/>
    </row>
    <row r="1624" spans="2:4">
      <c r="B1624" s="5"/>
      <c r="C1624" s="3"/>
      <c r="D1624" s="5"/>
    </row>
    <row r="1625" spans="2:4">
      <c r="B1625" s="5"/>
      <c r="C1625" s="3"/>
      <c r="D1625" s="5"/>
    </row>
    <row r="1626" spans="2:4">
      <c r="B1626" s="5"/>
      <c r="C1626" s="3"/>
      <c r="D1626" s="5"/>
    </row>
    <row r="1627" spans="2:4">
      <c r="B1627" s="5"/>
      <c r="C1627" s="3"/>
      <c r="D1627" s="3"/>
    </row>
    <row r="1628" spans="2:4">
      <c r="B1628" s="5"/>
      <c r="C1628" s="3"/>
      <c r="D1628" s="5"/>
    </row>
    <row r="1629" spans="2:4">
      <c r="B1629" s="5"/>
      <c r="C1629" s="3"/>
      <c r="D1629" s="5"/>
    </row>
    <row r="1630" spans="2:4">
      <c r="B1630" s="5"/>
      <c r="C1630" s="3"/>
      <c r="D1630" s="5"/>
    </row>
    <row r="1631" spans="2:4">
      <c r="B1631" s="5"/>
      <c r="C1631" s="3"/>
      <c r="D1631" s="5"/>
    </row>
    <row r="1632" spans="2:4">
      <c r="B1632" s="5"/>
      <c r="C1632" s="3"/>
      <c r="D1632" s="3"/>
    </row>
    <row r="1633" spans="2:4">
      <c r="B1633" s="5"/>
      <c r="C1633" s="3"/>
      <c r="D1633" s="5"/>
    </row>
    <row r="1634" spans="2:4">
      <c r="B1634" s="5"/>
      <c r="C1634" s="3"/>
      <c r="D1634" s="5"/>
    </row>
    <row r="1635" spans="2:4">
      <c r="B1635" s="5"/>
      <c r="C1635" s="3"/>
      <c r="D1635" s="5"/>
    </row>
    <row r="1636" spans="2:4">
      <c r="B1636" s="5"/>
      <c r="C1636" s="3"/>
      <c r="D1636" s="5"/>
    </row>
    <row r="1637" spans="2:4">
      <c r="B1637" s="5"/>
      <c r="C1637" s="3"/>
      <c r="D1637" s="3"/>
    </row>
    <row r="1638" spans="2:4">
      <c r="B1638" s="5"/>
      <c r="C1638" s="3"/>
      <c r="D1638" s="5"/>
    </row>
    <row r="1639" spans="2:4">
      <c r="B1639" s="5"/>
      <c r="C1639" s="3"/>
      <c r="D1639" s="5"/>
    </row>
    <row r="1640" spans="2:4">
      <c r="B1640" s="5"/>
      <c r="C1640" s="3"/>
      <c r="D1640" s="5"/>
    </row>
    <row r="1641" spans="2:4">
      <c r="B1641" s="5"/>
      <c r="C1641" s="3"/>
      <c r="D1641" s="5"/>
    </row>
    <row r="1642" spans="2:4">
      <c r="B1642" s="5"/>
      <c r="C1642" s="3"/>
      <c r="D1642" s="3"/>
    </row>
    <row r="1643" spans="2:4">
      <c r="B1643" s="5"/>
      <c r="C1643" s="3"/>
      <c r="D1643" s="5"/>
    </row>
    <row r="1644" spans="2:4">
      <c r="B1644" s="5"/>
      <c r="C1644" s="3"/>
      <c r="D1644" s="5"/>
    </row>
    <row r="1645" spans="2:4">
      <c r="B1645" s="5"/>
      <c r="C1645" s="3"/>
      <c r="D1645" s="5"/>
    </row>
    <row r="1646" spans="2:4">
      <c r="B1646" s="5"/>
      <c r="C1646" s="3"/>
      <c r="D1646" s="5"/>
    </row>
    <row r="1647" spans="2:4">
      <c r="B1647" s="5"/>
      <c r="C1647" s="3"/>
      <c r="D1647" s="3"/>
    </row>
    <row r="1648" spans="2:4">
      <c r="B1648" s="5"/>
      <c r="C1648" s="3"/>
      <c r="D1648" s="5"/>
    </row>
    <row r="1649" spans="2:4">
      <c r="B1649" s="5"/>
      <c r="C1649" s="3"/>
      <c r="D1649" s="5"/>
    </row>
    <row r="1650" spans="2:4">
      <c r="B1650" s="5"/>
      <c r="C1650" s="3"/>
      <c r="D1650" s="5"/>
    </row>
    <row r="1651" spans="2:4">
      <c r="B1651" s="5"/>
      <c r="C1651" s="3"/>
      <c r="D1651" s="5"/>
    </row>
    <row r="1652" spans="2:4">
      <c r="B1652" s="5"/>
      <c r="C1652" s="3"/>
      <c r="D1652" s="3"/>
    </row>
    <row r="1653" spans="2:4">
      <c r="B1653" s="5"/>
      <c r="C1653" s="3"/>
      <c r="D1653" s="5"/>
    </row>
    <row r="1654" spans="2:4">
      <c r="B1654" s="5"/>
      <c r="C1654" s="3"/>
      <c r="D1654" s="5"/>
    </row>
    <row r="1655" spans="2:4">
      <c r="B1655" s="5"/>
      <c r="C1655" s="3"/>
      <c r="D1655" s="5"/>
    </row>
    <row r="1656" spans="2:4">
      <c r="B1656" s="5"/>
      <c r="C1656" s="3"/>
      <c r="D1656" s="5"/>
    </row>
    <row r="1657" spans="2:4">
      <c r="B1657" s="5"/>
      <c r="C1657" s="3"/>
      <c r="D1657" s="3"/>
    </row>
    <row r="1658" spans="2:4">
      <c r="B1658" s="5"/>
      <c r="C1658" s="3"/>
      <c r="D1658" s="5"/>
    </row>
    <row r="1659" spans="2:4">
      <c r="B1659" s="5"/>
      <c r="C1659" s="3"/>
      <c r="D1659" s="5"/>
    </row>
    <row r="1660" spans="2:4">
      <c r="B1660" s="5"/>
      <c r="C1660" s="3"/>
      <c r="D1660" s="5"/>
    </row>
    <row r="1661" spans="2:4">
      <c r="B1661" s="5"/>
      <c r="C1661" s="3"/>
      <c r="D1661" s="5"/>
    </row>
    <row r="1662" spans="2:4">
      <c r="B1662" s="5"/>
      <c r="C1662" s="3"/>
      <c r="D1662" s="3"/>
    </row>
    <row r="1663" spans="2:4">
      <c r="B1663" s="5"/>
      <c r="C1663" s="3"/>
      <c r="D1663" s="5"/>
    </row>
    <row r="1664" spans="2:4">
      <c r="B1664" s="5"/>
      <c r="C1664" s="3"/>
      <c r="D1664" s="5"/>
    </row>
    <row r="1665" spans="2:4">
      <c r="B1665" s="5"/>
      <c r="C1665" s="3"/>
      <c r="D1665" s="5"/>
    </row>
    <row r="1666" spans="2:4">
      <c r="B1666" s="5"/>
      <c r="C1666" s="3"/>
      <c r="D1666" s="5"/>
    </row>
    <row r="1667" spans="2:4">
      <c r="B1667" s="5"/>
      <c r="C1667" s="3"/>
      <c r="D1667" s="3"/>
    </row>
    <row r="1668" spans="2:4">
      <c r="B1668" s="5"/>
      <c r="C1668" s="3"/>
      <c r="D1668" s="5"/>
    </row>
    <row r="1669" spans="2:4">
      <c r="B1669" s="5"/>
      <c r="C1669" s="3"/>
      <c r="D1669" s="5"/>
    </row>
    <row r="1670" spans="2:4">
      <c r="B1670" s="5"/>
      <c r="C1670" s="3"/>
      <c r="D1670" s="5"/>
    </row>
    <row r="1671" spans="2:4">
      <c r="B1671" s="5"/>
      <c r="C1671" s="3"/>
      <c r="D1671" s="5"/>
    </row>
    <row r="1672" spans="2:4">
      <c r="B1672" s="5"/>
      <c r="C1672" s="3"/>
      <c r="D1672" s="3"/>
    </row>
    <row r="1673" spans="2:4">
      <c r="B1673" s="5"/>
      <c r="C1673" s="3"/>
      <c r="D1673" s="5"/>
    </row>
    <row r="1674" spans="2:4">
      <c r="B1674" s="5"/>
      <c r="C1674" s="3"/>
      <c r="D1674" s="5"/>
    </row>
    <row r="1675" spans="2:4">
      <c r="B1675" s="5"/>
      <c r="C1675" s="3"/>
      <c r="D1675" s="5"/>
    </row>
    <row r="1676" spans="2:4">
      <c r="B1676" s="5"/>
      <c r="C1676" s="3"/>
      <c r="D1676" s="5"/>
    </row>
    <row r="1677" spans="2:4">
      <c r="B1677" s="5"/>
      <c r="C1677" s="3"/>
      <c r="D1677" s="3"/>
    </row>
    <row r="1678" spans="2:4">
      <c r="B1678" s="5"/>
      <c r="C1678" s="3"/>
      <c r="D1678" s="5"/>
    </row>
    <row r="1679" spans="2:4">
      <c r="B1679" s="5"/>
      <c r="C1679" s="3"/>
      <c r="D1679" s="5"/>
    </row>
    <row r="1680" spans="2:4">
      <c r="B1680" s="5"/>
      <c r="C1680" s="3"/>
      <c r="D1680" s="5"/>
    </row>
    <row r="1681" spans="2:4">
      <c r="B1681" s="5"/>
      <c r="C1681" s="3"/>
      <c r="D1681" s="5"/>
    </row>
    <row r="1682" spans="2:4">
      <c r="B1682" s="5"/>
      <c r="C1682" s="3"/>
      <c r="D1682" s="3"/>
    </row>
    <row r="1683" spans="2:4">
      <c r="B1683" s="5"/>
      <c r="C1683" s="3"/>
      <c r="D1683" s="5"/>
    </row>
    <row r="1684" spans="2:4">
      <c r="B1684" s="5"/>
      <c r="C1684" s="3"/>
      <c r="D1684" s="5"/>
    </row>
    <row r="1685" spans="2:4">
      <c r="B1685" s="5"/>
      <c r="C1685" s="3"/>
      <c r="D1685" s="5"/>
    </row>
    <row r="1686" spans="2:4">
      <c r="B1686" s="5"/>
      <c r="C1686" s="3"/>
      <c r="D1686" s="5"/>
    </row>
    <row r="1687" spans="2:4">
      <c r="B1687" s="5"/>
      <c r="C1687" s="3"/>
      <c r="D1687" s="3"/>
    </row>
    <row r="1688" spans="2:4">
      <c r="B1688" s="5"/>
      <c r="C1688" s="3"/>
      <c r="D1688" s="5"/>
    </row>
    <row r="1689" spans="2:4">
      <c r="B1689" s="5"/>
      <c r="C1689" s="3"/>
      <c r="D1689" s="5"/>
    </row>
    <row r="1690" spans="2:4">
      <c r="B1690" s="5"/>
      <c r="C1690" s="3"/>
      <c r="D1690" s="5"/>
    </row>
    <row r="1691" spans="2:4">
      <c r="B1691" s="5"/>
      <c r="C1691" s="3"/>
      <c r="D1691" s="5"/>
    </row>
    <row r="1692" spans="2:4">
      <c r="B1692" s="5"/>
      <c r="C1692" s="3"/>
      <c r="D1692" s="3"/>
    </row>
    <row r="1693" spans="2:4">
      <c r="B1693" s="5"/>
      <c r="C1693" s="3"/>
      <c r="D1693" s="5"/>
    </row>
    <row r="1694" spans="2:4">
      <c r="B1694" s="5"/>
      <c r="C1694" s="3"/>
      <c r="D1694" s="5"/>
    </row>
    <row r="1695" spans="2:4">
      <c r="B1695" s="5"/>
      <c r="C1695" s="3"/>
      <c r="D1695" s="5"/>
    </row>
    <row r="1696" spans="2:4">
      <c r="B1696" s="5"/>
      <c r="C1696" s="3"/>
      <c r="D1696" s="5"/>
    </row>
    <row r="1697" spans="2:4">
      <c r="B1697" s="5"/>
      <c r="C1697" s="3"/>
      <c r="D1697" s="3"/>
    </row>
    <row r="1698" spans="2:4">
      <c r="B1698" s="5"/>
      <c r="C1698" s="3"/>
      <c r="D1698" s="5"/>
    </row>
    <row r="1699" spans="2:4">
      <c r="B1699" s="5"/>
      <c r="C1699" s="3"/>
      <c r="D1699" s="5"/>
    </row>
    <row r="1700" spans="2:4">
      <c r="B1700" s="5"/>
      <c r="C1700" s="3"/>
      <c r="D1700" s="5"/>
    </row>
    <row r="1701" spans="2:4">
      <c r="B1701" s="5"/>
      <c r="C1701" s="3"/>
      <c r="D1701" s="5"/>
    </row>
    <row r="1702" spans="2:4">
      <c r="B1702" s="5"/>
      <c r="C1702" s="3"/>
      <c r="D1702" s="3"/>
    </row>
    <row r="1703" spans="2:4">
      <c r="B1703" s="5"/>
      <c r="C1703" s="3"/>
      <c r="D1703" s="5"/>
    </row>
    <row r="1704" spans="2:4">
      <c r="B1704" s="5"/>
      <c r="C1704" s="3"/>
      <c r="D1704" s="5"/>
    </row>
    <row r="1705" spans="2:4">
      <c r="B1705" s="5"/>
      <c r="C1705" s="3"/>
      <c r="D1705" s="5"/>
    </row>
    <row r="1706" spans="2:4">
      <c r="B1706" s="5"/>
      <c r="C1706" s="3"/>
      <c r="D1706" s="5"/>
    </row>
    <row r="1707" spans="2:4">
      <c r="B1707" s="5"/>
      <c r="C1707" s="3"/>
      <c r="D1707" s="3"/>
    </row>
    <row r="1708" spans="2:4">
      <c r="B1708" s="5"/>
      <c r="C1708" s="3"/>
      <c r="D1708" s="5"/>
    </row>
    <row r="1709" spans="2:4">
      <c r="B1709" s="5"/>
      <c r="C1709" s="3"/>
      <c r="D1709" s="5"/>
    </row>
    <row r="1710" spans="2:4">
      <c r="B1710" s="5"/>
      <c r="C1710" s="3"/>
      <c r="D1710" s="5"/>
    </row>
    <row r="1711" spans="2:4">
      <c r="B1711" s="5"/>
      <c r="C1711" s="3"/>
      <c r="D1711" s="5"/>
    </row>
    <row r="1712" spans="2:4">
      <c r="B1712" s="5"/>
      <c r="C1712" s="3"/>
      <c r="D1712" s="3"/>
    </row>
    <row r="1713" spans="2:4">
      <c r="B1713" s="5"/>
      <c r="C1713" s="3"/>
      <c r="D1713" s="5"/>
    </row>
    <row r="1714" spans="2:4">
      <c r="B1714" s="5"/>
      <c r="C1714" s="3"/>
      <c r="D1714" s="5"/>
    </row>
    <row r="1715" spans="2:4">
      <c r="B1715" s="5"/>
      <c r="C1715" s="3"/>
      <c r="D1715" s="5"/>
    </row>
    <row r="1716" spans="2:4">
      <c r="B1716" s="5"/>
      <c r="C1716" s="3"/>
      <c r="D1716" s="5"/>
    </row>
    <row r="1717" spans="2:4">
      <c r="B1717" s="5"/>
      <c r="C1717" s="3"/>
      <c r="D1717" s="3"/>
    </row>
    <row r="1718" spans="2:4">
      <c r="B1718" s="5"/>
      <c r="C1718" s="3"/>
      <c r="D1718" s="5"/>
    </row>
    <row r="1719" spans="2:4">
      <c r="B1719" s="5"/>
      <c r="C1719" s="3"/>
      <c r="D1719" s="5"/>
    </row>
    <row r="1720" spans="2:4">
      <c r="B1720" s="5"/>
      <c r="C1720" s="3"/>
      <c r="D1720" s="5"/>
    </row>
    <row r="1721" spans="2:4">
      <c r="B1721" s="5"/>
      <c r="C1721" s="3"/>
      <c r="D1721" s="5"/>
    </row>
    <row r="1722" spans="2:4">
      <c r="B1722" s="5"/>
      <c r="C1722" s="3"/>
      <c r="D1722" s="3"/>
    </row>
    <row r="1723" spans="2:4">
      <c r="B1723" s="5"/>
      <c r="C1723" s="3"/>
      <c r="D1723" s="5"/>
    </row>
    <row r="1724" spans="2:4">
      <c r="B1724" s="5"/>
      <c r="C1724" s="3"/>
      <c r="D1724" s="5"/>
    </row>
    <row r="1725" spans="2:4">
      <c r="B1725" s="5"/>
      <c r="C1725" s="3"/>
      <c r="D1725" s="5"/>
    </row>
    <row r="1726" spans="2:4">
      <c r="B1726" s="5"/>
      <c r="C1726" s="3"/>
      <c r="D1726" s="5"/>
    </row>
    <row r="1727" spans="2:4">
      <c r="B1727" s="5"/>
      <c r="C1727" s="3"/>
      <c r="D1727" s="3"/>
    </row>
    <row r="1728" spans="2:4">
      <c r="B1728" s="5"/>
      <c r="C1728" s="3"/>
      <c r="D1728" s="5"/>
    </row>
    <row r="1729" spans="2:4">
      <c r="B1729" s="5"/>
      <c r="C1729" s="3"/>
      <c r="D1729" s="5"/>
    </row>
    <row r="1730" spans="2:4">
      <c r="B1730" s="5"/>
      <c r="C1730" s="3"/>
      <c r="D1730" s="5"/>
    </row>
    <row r="1731" spans="2:4">
      <c r="B1731" s="5"/>
      <c r="C1731" s="3"/>
      <c r="D1731" s="5"/>
    </row>
    <row r="1732" spans="2:4">
      <c r="B1732" s="5"/>
      <c r="C1732" s="3"/>
      <c r="D1732" s="3"/>
    </row>
    <row r="1733" spans="2:4">
      <c r="B1733" s="5"/>
      <c r="C1733" s="3"/>
      <c r="D1733" s="5"/>
    </row>
    <row r="1734" spans="2:4">
      <c r="B1734" s="5"/>
      <c r="C1734" s="3"/>
      <c r="D1734" s="5"/>
    </row>
    <row r="1735" spans="2:4">
      <c r="B1735" s="5"/>
      <c r="C1735" s="3"/>
      <c r="D1735" s="5"/>
    </row>
    <row r="1736" spans="2:4">
      <c r="B1736" s="5"/>
      <c r="C1736" s="3"/>
      <c r="D1736" s="5"/>
    </row>
    <row r="1737" spans="2:4">
      <c r="B1737" s="5"/>
      <c r="C1737" s="3"/>
      <c r="D1737" s="3"/>
    </row>
    <row r="1738" spans="2:4">
      <c r="B1738" s="5"/>
      <c r="C1738" s="3"/>
      <c r="D1738" s="5"/>
    </row>
    <row r="1739" spans="2:4">
      <c r="B1739" s="5"/>
      <c r="C1739" s="3"/>
      <c r="D1739" s="5"/>
    </row>
    <row r="1740" spans="2:4">
      <c r="B1740" s="5"/>
      <c r="C1740" s="3"/>
      <c r="D1740" s="5"/>
    </row>
    <row r="1741" spans="2:4">
      <c r="B1741" s="5"/>
      <c r="C1741" s="3"/>
      <c r="D1741" s="5"/>
    </row>
    <row r="1742" spans="2:4">
      <c r="B1742" s="5"/>
      <c r="C1742" s="3"/>
      <c r="D1742" s="3"/>
    </row>
    <row r="1743" spans="2:4">
      <c r="B1743" s="5"/>
      <c r="C1743" s="3"/>
      <c r="D1743" s="5"/>
    </row>
    <row r="1744" spans="2:4">
      <c r="B1744" s="5"/>
      <c r="C1744" s="3"/>
      <c r="D1744" s="5"/>
    </row>
    <row r="1745" spans="2:4">
      <c r="B1745" s="5"/>
      <c r="C1745" s="3"/>
      <c r="D1745" s="5"/>
    </row>
    <row r="1746" spans="2:4">
      <c r="B1746" s="5"/>
      <c r="C1746" s="3"/>
      <c r="D1746" s="5"/>
    </row>
    <row r="1747" spans="2:4">
      <c r="B1747" s="5"/>
      <c r="C1747" s="3"/>
      <c r="D1747" s="3"/>
    </row>
    <row r="1748" spans="2:4">
      <c r="B1748" s="5"/>
      <c r="C1748" s="3"/>
      <c r="D1748" s="5"/>
    </row>
    <row r="1749" spans="2:4">
      <c r="B1749" s="5"/>
      <c r="C1749" s="3"/>
      <c r="D1749" s="5"/>
    </row>
    <row r="1750" spans="2:4">
      <c r="B1750" s="5"/>
      <c r="C1750" s="3"/>
      <c r="D1750" s="5"/>
    </row>
    <row r="1751" spans="2:4">
      <c r="B1751" s="5"/>
      <c r="C1751" s="3"/>
      <c r="D1751" s="5"/>
    </row>
    <row r="1752" spans="2:4">
      <c r="B1752" s="5"/>
      <c r="C1752" s="3"/>
      <c r="D1752" s="3"/>
    </row>
    <row r="1753" spans="2:4">
      <c r="B1753" s="5"/>
      <c r="C1753" s="3"/>
      <c r="D1753" s="5"/>
    </row>
    <row r="1754" spans="2:4">
      <c r="B1754" s="5"/>
      <c r="C1754" s="3"/>
      <c r="D1754" s="5"/>
    </row>
    <row r="1755" spans="2:4">
      <c r="B1755" s="5"/>
      <c r="C1755" s="3"/>
      <c r="D1755" s="5"/>
    </row>
    <row r="1756" spans="2:4">
      <c r="B1756" s="5"/>
      <c r="C1756" s="3"/>
      <c r="D1756" s="5"/>
    </row>
    <row r="1757" spans="2:4">
      <c r="B1757" s="5"/>
      <c r="C1757" s="3"/>
      <c r="D1757" s="3"/>
    </row>
    <row r="1758" spans="2:4">
      <c r="B1758" s="5"/>
      <c r="C1758" s="3"/>
      <c r="D1758" s="5"/>
    </row>
    <row r="1759" spans="2:4">
      <c r="B1759" s="5"/>
      <c r="C1759" s="3"/>
      <c r="D1759" s="5"/>
    </row>
    <row r="1760" spans="2:4">
      <c r="B1760" s="5"/>
      <c r="C1760" s="3"/>
      <c r="D1760" s="5"/>
    </row>
    <row r="1761" spans="2:4">
      <c r="B1761" s="5"/>
      <c r="C1761" s="3"/>
      <c r="D1761" s="5"/>
    </row>
    <row r="1762" spans="2:4">
      <c r="B1762" s="5"/>
      <c r="C1762" s="3"/>
      <c r="D1762" s="3"/>
    </row>
    <row r="1763" spans="2:4">
      <c r="B1763" s="5"/>
      <c r="C1763" s="3"/>
      <c r="D1763" s="5"/>
    </row>
    <row r="1764" spans="2:4">
      <c r="B1764" s="5"/>
      <c r="C1764" s="3"/>
      <c r="D1764" s="5"/>
    </row>
    <row r="1765" spans="2:4">
      <c r="B1765" s="5"/>
      <c r="C1765" s="3"/>
      <c r="D1765" s="5"/>
    </row>
    <row r="1766" spans="2:4">
      <c r="B1766" s="5"/>
      <c r="C1766" s="3"/>
      <c r="D1766" s="5"/>
    </row>
    <row r="1767" spans="2:4">
      <c r="B1767" s="5"/>
      <c r="C1767" s="3"/>
      <c r="D1767" s="3"/>
    </row>
    <row r="1768" spans="2:4">
      <c r="B1768" s="5"/>
      <c r="C1768" s="3"/>
      <c r="D1768" s="5"/>
    </row>
    <row r="1769" spans="2:4">
      <c r="B1769" s="5"/>
      <c r="C1769" s="3"/>
      <c r="D1769" s="5"/>
    </row>
    <row r="1770" spans="2:4">
      <c r="B1770" s="5"/>
      <c r="C1770" s="3"/>
      <c r="D1770" s="5"/>
    </row>
    <row r="1771" spans="2:4">
      <c r="B1771" s="5"/>
      <c r="C1771" s="3"/>
      <c r="D1771" s="5"/>
    </row>
    <row r="1772" spans="2:4">
      <c r="B1772" s="5"/>
      <c r="C1772" s="3"/>
      <c r="D1772" s="3"/>
    </row>
    <row r="1773" spans="2:4">
      <c r="B1773" s="5"/>
      <c r="C1773" s="3"/>
      <c r="D1773" s="5"/>
    </row>
    <row r="1774" spans="2:4">
      <c r="B1774" s="5"/>
      <c r="C1774" s="3"/>
      <c r="D1774" s="5"/>
    </row>
    <row r="1775" spans="2:4">
      <c r="B1775" s="5"/>
      <c r="C1775" s="3"/>
      <c r="D1775" s="5"/>
    </row>
    <row r="1776" spans="2:4">
      <c r="B1776" s="5"/>
      <c r="C1776" s="3"/>
      <c r="D1776" s="5"/>
    </row>
    <row r="1777" spans="2:4">
      <c r="B1777" s="5"/>
      <c r="C1777" s="3"/>
      <c r="D1777" s="3"/>
    </row>
    <row r="1778" spans="2:4">
      <c r="B1778" s="5"/>
      <c r="C1778" s="3"/>
      <c r="D1778" s="5"/>
    </row>
    <row r="1779" spans="2:4">
      <c r="B1779" s="5"/>
      <c r="C1779" s="3"/>
      <c r="D1779" s="5"/>
    </row>
    <row r="1780" spans="2:4">
      <c r="B1780" s="5"/>
      <c r="C1780" s="3"/>
      <c r="D1780" s="5"/>
    </row>
    <row r="1781" spans="2:4">
      <c r="B1781" s="5"/>
      <c r="C1781" s="3"/>
      <c r="D1781" s="5"/>
    </row>
    <row r="1782" spans="2:4">
      <c r="B1782" s="5"/>
      <c r="C1782" s="3"/>
      <c r="D1782" s="3"/>
    </row>
    <row r="1783" spans="2:4">
      <c r="B1783" s="5"/>
      <c r="C1783" s="3"/>
      <c r="D1783" s="5"/>
    </row>
    <row r="1784" spans="2:4">
      <c r="B1784" s="5"/>
      <c r="C1784" s="3"/>
      <c r="D1784" s="5"/>
    </row>
    <row r="1785" spans="2:4">
      <c r="B1785" s="5"/>
      <c r="C1785" s="3"/>
      <c r="D1785" s="5"/>
    </row>
    <row r="1786" spans="2:4">
      <c r="B1786" s="5"/>
      <c r="C1786" s="3"/>
      <c r="D1786" s="5"/>
    </row>
  </sheetData>
  <mergeCells count="718">
    <mergeCell ref="B12:B16"/>
    <mergeCell ref="D13:D16"/>
    <mergeCell ref="B17:B21"/>
    <mergeCell ref="D3:D6"/>
    <mergeCell ref="B2:B6"/>
    <mergeCell ref="B7:B11"/>
    <mergeCell ref="D8:D11"/>
    <mergeCell ref="E3:E6"/>
    <mergeCell ref="E8:E11"/>
    <mergeCell ref="E13:E16"/>
    <mergeCell ref="E18:E21"/>
    <mergeCell ref="B87:B91"/>
    <mergeCell ref="D88:D91"/>
    <mergeCell ref="B32:B36"/>
    <mergeCell ref="D33:D36"/>
    <mergeCell ref="B37:B41"/>
    <mergeCell ref="D38:D41"/>
    <mergeCell ref="B22:B26"/>
    <mergeCell ref="D23:D26"/>
    <mergeCell ref="D18:D21"/>
    <mergeCell ref="B27:B31"/>
    <mergeCell ref="D28:D31"/>
    <mergeCell ref="B92:B96"/>
    <mergeCell ref="D93:D96"/>
    <mergeCell ref="B97:B101"/>
    <mergeCell ref="D98:D101"/>
    <mergeCell ref="B102:B106"/>
    <mergeCell ref="D103:D106"/>
    <mergeCell ref="B42:B46"/>
    <mergeCell ref="D43:D46"/>
    <mergeCell ref="B47:B51"/>
    <mergeCell ref="D48:D51"/>
    <mergeCell ref="B52:B56"/>
    <mergeCell ref="D53:D56"/>
    <mergeCell ref="B57:B61"/>
    <mergeCell ref="D58:D61"/>
    <mergeCell ref="B62:B66"/>
    <mergeCell ref="D63:D66"/>
    <mergeCell ref="B67:B71"/>
    <mergeCell ref="D68:D71"/>
    <mergeCell ref="B72:B76"/>
    <mergeCell ref="D73:D76"/>
    <mergeCell ref="B77:B81"/>
    <mergeCell ref="D78:D81"/>
    <mergeCell ref="B82:B86"/>
    <mergeCell ref="D83:D86"/>
    <mergeCell ref="B122:B126"/>
    <mergeCell ref="D123:D126"/>
    <mergeCell ref="B127:B131"/>
    <mergeCell ref="D128:D131"/>
    <mergeCell ref="B132:B136"/>
    <mergeCell ref="D133:D136"/>
    <mergeCell ref="B107:B111"/>
    <mergeCell ref="D108:D111"/>
    <mergeCell ref="B112:B116"/>
    <mergeCell ref="D113:D116"/>
    <mergeCell ref="B117:B121"/>
    <mergeCell ref="D118:D121"/>
    <mergeCell ref="B152:B156"/>
    <mergeCell ref="D153:D156"/>
    <mergeCell ref="B157:B161"/>
    <mergeCell ref="D158:D161"/>
    <mergeCell ref="B162:B166"/>
    <mergeCell ref="D163:D166"/>
    <mergeCell ref="B137:B141"/>
    <mergeCell ref="D138:D141"/>
    <mergeCell ref="B142:B146"/>
    <mergeCell ref="D143:D146"/>
    <mergeCell ref="B147:B151"/>
    <mergeCell ref="D148:D151"/>
    <mergeCell ref="B182:B186"/>
    <mergeCell ref="D183:D186"/>
    <mergeCell ref="B187:B191"/>
    <mergeCell ref="D188:D191"/>
    <mergeCell ref="B192:B196"/>
    <mergeCell ref="D193:D196"/>
    <mergeCell ref="B167:B171"/>
    <mergeCell ref="D168:D171"/>
    <mergeCell ref="B172:B176"/>
    <mergeCell ref="D173:D176"/>
    <mergeCell ref="B177:B181"/>
    <mergeCell ref="D178:D181"/>
    <mergeCell ref="B212:B216"/>
    <mergeCell ref="D213:D216"/>
    <mergeCell ref="B217:B221"/>
    <mergeCell ref="D218:D221"/>
    <mergeCell ref="B222:B226"/>
    <mergeCell ref="D223:D226"/>
    <mergeCell ref="B197:B201"/>
    <mergeCell ref="D198:D201"/>
    <mergeCell ref="B202:B206"/>
    <mergeCell ref="D203:D206"/>
    <mergeCell ref="B207:B211"/>
    <mergeCell ref="D208:D211"/>
    <mergeCell ref="B242:B246"/>
    <mergeCell ref="D243:D246"/>
    <mergeCell ref="B247:B251"/>
    <mergeCell ref="D248:D251"/>
    <mergeCell ref="B252:B256"/>
    <mergeCell ref="D253:D256"/>
    <mergeCell ref="B227:B231"/>
    <mergeCell ref="D228:D231"/>
    <mergeCell ref="B232:B236"/>
    <mergeCell ref="D233:D236"/>
    <mergeCell ref="B237:B241"/>
    <mergeCell ref="D238:D241"/>
    <mergeCell ref="B272:B276"/>
    <mergeCell ref="D273:D276"/>
    <mergeCell ref="B277:B281"/>
    <mergeCell ref="D278:D281"/>
    <mergeCell ref="B282:B286"/>
    <mergeCell ref="D283:D286"/>
    <mergeCell ref="B257:B261"/>
    <mergeCell ref="D258:D261"/>
    <mergeCell ref="B262:B266"/>
    <mergeCell ref="D263:D266"/>
    <mergeCell ref="B267:B271"/>
    <mergeCell ref="D268:D271"/>
    <mergeCell ref="B302:B306"/>
    <mergeCell ref="D303:D306"/>
    <mergeCell ref="B307:B311"/>
    <mergeCell ref="D308:D311"/>
    <mergeCell ref="B312:B316"/>
    <mergeCell ref="D313:D316"/>
    <mergeCell ref="B287:B291"/>
    <mergeCell ref="D288:D291"/>
    <mergeCell ref="B292:B296"/>
    <mergeCell ref="D293:D296"/>
    <mergeCell ref="B297:B301"/>
    <mergeCell ref="D298:D301"/>
    <mergeCell ref="B332:B336"/>
    <mergeCell ref="D333:D336"/>
    <mergeCell ref="B337:B341"/>
    <mergeCell ref="D338:D341"/>
    <mergeCell ref="B342:B346"/>
    <mergeCell ref="D343:D346"/>
    <mergeCell ref="B317:B321"/>
    <mergeCell ref="D318:D321"/>
    <mergeCell ref="B322:B326"/>
    <mergeCell ref="D323:D326"/>
    <mergeCell ref="B327:B331"/>
    <mergeCell ref="D328:D331"/>
    <mergeCell ref="B362:B366"/>
    <mergeCell ref="D363:D366"/>
    <mergeCell ref="B367:B371"/>
    <mergeCell ref="D368:D371"/>
    <mergeCell ref="B372:B376"/>
    <mergeCell ref="D373:D376"/>
    <mergeCell ref="B347:B351"/>
    <mergeCell ref="D348:D351"/>
    <mergeCell ref="B352:B356"/>
    <mergeCell ref="D353:D356"/>
    <mergeCell ref="B357:B361"/>
    <mergeCell ref="D358:D361"/>
    <mergeCell ref="B392:B396"/>
    <mergeCell ref="D393:D396"/>
    <mergeCell ref="B397:B401"/>
    <mergeCell ref="D398:D401"/>
    <mergeCell ref="B402:B406"/>
    <mergeCell ref="D403:D406"/>
    <mergeCell ref="B377:B381"/>
    <mergeCell ref="D378:D381"/>
    <mergeCell ref="B382:B386"/>
    <mergeCell ref="D383:D386"/>
    <mergeCell ref="B387:B391"/>
    <mergeCell ref="D388:D391"/>
    <mergeCell ref="B422:B426"/>
    <mergeCell ref="D423:D426"/>
    <mergeCell ref="B427:B431"/>
    <mergeCell ref="D428:D431"/>
    <mergeCell ref="B432:B436"/>
    <mergeCell ref="D433:D436"/>
    <mergeCell ref="B407:B411"/>
    <mergeCell ref="D408:D411"/>
    <mergeCell ref="B412:B416"/>
    <mergeCell ref="D413:D416"/>
    <mergeCell ref="B417:B421"/>
    <mergeCell ref="D418:D421"/>
    <mergeCell ref="B452:B456"/>
    <mergeCell ref="D453:D456"/>
    <mergeCell ref="B457:B461"/>
    <mergeCell ref="D458:D461"/>
    <mergeCell ref="B462:B466"/>
    <mergeCell ref="D463:D466"/>
    <mergeCell ref="B437:B441"/>
    <mergeCell ref="D438:D441"/>
    <mergeCell ref="B442:B446"/>
    <mergeCell ref="D443:D446"/>
    <mergeCell ref="B447:B451"/>
    <mergeCell ref="D448:D451"/>
    <mergeCell ref="B482:B486"/>
    <mergeCell ref="D483:D486"/>
    <mergeCell ref="B487:B491"/>
    <mergeCell ref="D488:D491"/>
    <mergeCell ref="B492:B496"/>
    <mergeCell ref="D493:D496"/>
    <mergeCell ref="B467:B471"/>
    <mergeCell ref="D468:D471"/>
    <mergeCell ref="B472:B476"/>
    <mergeCell ref="D473:D476"/>
    <mergeCell ref="B477:B481"/>
    <mergeCell ref="D478:D481"/>
    <mergeCell ref="B512:B516"/>
    <mergeCell ref="D513:D516"/>
    <mergeCell ref="B517:B521"/>
    <mergeCell ref="D518:D521"/>
    <mergeCell ref="B522:B526"/>
    <mergeCell ref="D523:D526"/>
    <mergeCell ref="B497:B501"/>
    <mergeCell ref="D498:D501"/>
    <mergeCell ref="B502:B506"/>
    <mergeCell ref="D503:D506"/>
    <mergeCell ref="B507:B511"/>
    <mergeCell ref="D508:D511"/>
    <mergeCell ref="B542:B546"/>
    <mergeCell ref="D543:D546"/>
    <mergeCell ref="B547:B551"/>
    <mergeCell ref="D548:D551"/>
    <mergeCell ref="B552:B556"/>
    <mergeCell ref="D553:D556"/>
    <mergeCell ref="B527:B531"/>
    <mergeCell ref="D528:D531"/>
    <mergeCell ref="B532:B536"/>
    <mergeCell ref="D533:D536"/>
    <mergeCell ref="B537:B541"/>
    <mergeCell ref="D538:D541"/>
    <mergeCell ref="B572:B576"/>
    <mergeCell ref="D573:D576"/>
    <mergeCell ref="B577:B581"/>
    <mergeCell ref="D578:D581"/>
    <mergeCell ref="B582:B586"/>
    <mergeCell ref="D583:D586"/>
    <mergeCell ref="B557:B561"/>
    <mergeCell ref="D558:D561"/>
    <mergeCell ref="B562:B566"/>
    <mergeCell ref="D563:D566"/>
    <mergeCell ref="B567:B571"/>
    <mergeCell ref="D568:D571"/>
    <mergeCell ref="B602:B606"/>
    <mergeCell ref="D603:D606"/>
    <mergeCell ref="B607:B611"/>
    <mergeCell ref="D608:D611"/>
    <mergeCell ref="B612:B616"/>
    <mergeCell ref="D613:D616"/>
    <mergeCell ref="B587:B591"/>
    <mergeCell ref="D588:D591"/>
    <mergeCell ref="B592:B596"/>
    <mergeCell ref="D593:D596"/>
    <mergeCell ref="B597:B601"/>
    <mergeCell ref="D598:D601"/>
    <mergeCell ref="B632:B636"/>
    <mergeCell ref="D633:D636"/>
    <mergeCell ref="B637:B641"/>
    <mergeCell ref="D638:D641"/>
    <mergeCell ref="B642:B646"/>
    <mergeCell ref="D643:D646"/>
    <mergeCell ref="B617:B621"/>
    <mergeCell ref="D618:D621"/>
    <mergeCell ref="B622:B626"/>
    <mergeCell ref="D623:D626"/>
    <mergeCell ref="B627:B631"/>
    <mergeCell ref="D628:D631"/>
    <mergeCell ref="B662:B666"/>
    <mergeCell ref="D663:D666"/>
    <mergeCell ref="B667:B671"/>
    <mergeCell ref="D668:D671"/>
    <mergeCell ref="B672:B676"/>
    <mergeCell ref="D673:D676"/>
    <mergeCell ref="B647:B651"/>
    <mergeCell ref="D648:D651"/>
    <mergeCell ref="B652:B656"/>
    <mergeCell ref="D653:D656"/>
    <mergeCell ref="B657:B661"/>
    <mergeCell ref="D658:D661"/>
    <mergeCell ref="B692:B696"/>
    <mergeCell ref="D693:D696"/>
    <mergeCell ref="B697:B701"/>
    <mergeCell ref="D698:D701"/>
    <mergeCell ref="B702:B706"/>
    <mergeCell ref="D703:D706"/>
    <mergeCell ref="B677:B681"/>
    <mergeCell ref="D678:D681"/>
    <mergeCell ref="B682:B686"/>
    <mergeCell ref="D683:D686"/>
    <mergeCell ref="B687:B691"/>
    <mergeCell ref="D688:D691"/>
    <mergeCell ref="B722:B726"/>
    <mergeCell ref="D723:D726"/>
    <mergeCell ref="B727:B731"/>
    <mergeCell ref="D728:D731"/>
    <mergeCell ref="B732:B736"/>
    <mergeCell ref="D733:D736"/>
    <mergeCell ref="B707:B711"/>
    <mergeCell ref="D708:D711"/>
    <mergeCell ref="B712:B716"/>
    <mergeCell ref="D713:D716"/>
    <mergeCell ref="B717:B721"/>
    <mergeCell ref="D718:D721"/>
    <mergeCell ref="B752:B756"/>
    <mergeCell ref="D753:D756"/>
    <mergeCell ref="B757:B761"/>
    <mergeCell ref="D758:D761"/>
    <mergeCell ref="B762:B766"/>
    <mergeCell ref="D763:D766"/>
    <mergeCell ref="B737:B741"/>
    <mergeCell ref="D738:D741"/>
    <mergeCell ref="B742:B746"/>
    <mergeCell ref="D743:D746"/>
    <mergeCell ref="B747:B751"/>
    <mergeCell ref="D748:D751"/>
    <mergeCell ref="B782:B786"/>
    <mergeCell ref="D783:D786"/>
    <mergeCell ref="B787:B791"/>
    <mergeCell ref="D788:D791"/>
    <mergeCell ref="B792:B796"/>
    <mergeCell ref="D793:D796"/>
    <mergeCell ref="B767:B771"/>
    <mergeCell ref="D768:D771"/>
    <mergeCell ref="B772:B776"/>
    <mergeCell ref="D773:D776"/>
    <mergeCell ref="B777:B781"/>
    <mergeCell ref="D778:D781"/>
    <mergeCell ref="B812:B816"/>
    <mergeCell ref="D813:D816"/>
    <mergeCell ref="B817:B821"/>
    <mergeCell ref="D818:D821"/>
    <mergeCell ref="B822:B826"/>
    <mergeCell ref="D823:D826"/>
    <mergeCell ref="B797:B801"/>
    <mergeCell ref="D798:D801"/>
    <mergeCell ref="B802:B806"/>
    <mergeCell ref="D803:D806"/>
    <mergeCell ref="B807:B811"/>
    <mergeCell ref="D808:D811"/>
    <mergeCell ref="B842:B846"/>
    <mergeCell ref="D843:D846"/>
    <mergeCell ref="B847:B851"/>
    <mergeCell ref="D848:D851"/>
    <mergeCell ref="B852:B856"/>
    <mergeCell ref="D853:D856"/>
    <mergeCell ref="B827:B831"/>
    <mergeCell ref="D828:D831"/>
    <mergeCell ref="B832:B836"/>
    <mergeCell ref="D833:D836"/>
    <mergeCell ref="B837:B841"/>
    <mergeCell ref="D838:D841"/>
    <mergeCell ref="B872:B876"/>
    <mergeCell ref="D873:D876"/>
    <mergeCell ref="B877:B881"/>
    <mergeCell ref="D878:D881"/>
    <mergeCell ref="B882:B886"/>
    <mergeCell ref="D883:D886"/>
    <mergeCell ref="B857:B861"/>
    <mergeCell ref="D858:D861"/>
    <mergeCell ref="B862:B866"/>
    <mergeCell ref="D863:D866"/>
    <mergeCell ref="B867:B871"/>
    <mergeCell ref="D868:D871"/>
    <mergeCell ref="B902:B906"/>
    <mergeCell ref="D903:D906"/>
    <mergeCell ref="B907:B911"/>
    <mergeCell ref="D908:D911"/>
    <mergeCell ref="B912:B916"/>
    <mergeCell ref="D913:D916"/>
    <mergeCell ref="B887:B891"/>
    <mergeCell ref="D888:D891"/>
    <mergeCell ref="B892:B896"/>
    <mergeCell ref="D893:D896"/>
    <mergeCell ref="B897:B901"/>
    <mergeCell ref="D898:D901"/>
    <mergeCell ref="B932:B936"/>
    <mergeCell ref="D933:D936"/>
    <mergeCell ref="B937:B941"/>
    <mergeCell ref="D938:D941"/>
    <mergeCell ref="B942:B946"/>
    <mergeCell ref="D943:D946"/>
    <mergeCell ref="B917:B921"/>
    <mergeCell ref="D918:D921"/>
    <mergeCell ref="B922:B926"/>
    <mergeCell ref="D923:D926"/>
    <mergeCell ref="B927:B931"/>
    <mergeCell ref="D928:D931"/>
    <mergeCell ref="B962:B966"/>
    <mergeCell ref="D963:D966"/>
    <mergeCell ref="B967:B971"/>
    <mergeCell ref="D968:D971"/>
    <mergeCell ref="B972:B976"/>
    <mergeCell ref="D973:D976"/>
    <mergeCell ref="B947:B951"/>
    <mergeCell ref="D948:D951"/>
    <mergeCell ref="B952:B956"/>
    <mergeCell ref="D953:D956"/>
    <mergeCell ref="B957:B961"/>
    <mergeCell ref="D958:D961"/>
    <mergeCell ref="B992:B996"/>
    <mergeCell ref="D993:D996"/>
    <mergeCell ref="B997:B1001"/>
    <mergeCell ref="D998:D1001"/>
    <mergeCell ref="B1002:B1006"/>
    <mergeCell ref="D1003:D1006"/>
    <mergeCell ref="B977:B981"/>
    <mergeCell ref="D978:D981"/>
    <mergeCell ref="B982:B986"/>
    <mergeCell ref="D983:D986"/>
    <mergeCell ref="B987:B991"/>
    <mergeCell ref="D988:D991"/>
    <mergeCell ref="B1022:B1026"/>
    <mergeCell ref="D1023:D1026"/>
    <mergeCell ref="B1027:B1031"/>
    <mergeCell ref="D1028:D1031"/>
    <mergeCell ref="B1032:B1036"/>
    <mergeCell ref="D1033:D1036"/>
    <mergeCell ref="B1007:B1011"/>
    <mergeCell ref="D1008:D1011"/>
    <mergeCell ref="B1012:B1016"/>
    <mergeCell ref="D1013:D1016"/>
    <mergeCell ref="B1017:B1021"/>
    <mergeCell ref="D1018:D1021"/>
    <mergeCell ref="B1052:B1056"/>
    <mergeCell ref="D1053:D1056"/>
    <mergeCell ref="B1057:B1061"/>
    <mergeCell ref="D1058:D1061"/>
    <mergeCell ref="B1062:B1066"/>
    <mergeCell ref="D1063:D1066"/>
    <mergeCell ref="B1037:B1041"/>
    <mergeCell ref="D1038:D1041"/>
    <mergeCell ref="B1042:B1046"/>
    <mergeCell ref="D1043:D1046"/>
    <mergeCell ref="B1047:B1051"/>
    <mergeCell ref="D1048:D1051"/>
    <mergeCell ref="B1082:B1086"/>
    <mergeCell ref="D1083:D1086"/>
    <mergeCell ref="B1087:B1091"/>
    <mergeCell ref="D1088:D1091"/>
    <mergeCell ref="B1092:B1096"/>
    <mergeCell ref="D1093:D1096"/>
    <mergeCell ref="B1067:B1071"/>
    <mergeCell ref="D1068:D1071"/>
    <mergeCell ref="B1072:B1076"/>
    <mergeCell ref="D1073:D1076"/>
    <mergeCell ref="B1077:B1081"/>
    <mergeCell ref="D1078:D1081"/>
    <mergeCell ref="B1112:B1116"/>
    <mergeCell ref="D1113:D1116"/>
    <mergeCell ref="B1117:B1121"/>
    <mergeCell ref="D1118:D1121"/>
    <mergeCell ref="B1122:B1126"/>
    <mergeCell ref="D1123:D1126"/>
    <mergeCell ref="B1097:B1101"/>
    <mergeCell ref="D1098:D1101"/>
    <mergeCell ref="B1102:B1106"/>
    <mergeCell ref="D1103:D1106"/>
    <mergeCell ref="B1107:B1111"/>
    <mergeCell ref="D1108:D1111"/>
    <mergeCell ref="B1142:B1146"/>
    <mergeCell ref="D1143:D1146"/>
    <mergeCell ref="B1147:B1151"/>
    <mergeCell ref="D1148:D1151"/>
    <mergeCell ref="B1152:B1156"/>
    <mergeCell ref="D1153:D1156"/>
    <mergeCell ref="B1127:B1131"/>
    <mergeCell ref="D1128:D1131"/>
    <mergeCell ref="B1132:B1136"/>
    <mergeCell ref="D1133:D1136"/>
    <mergeCell ref="B1137:B1141"/>
    <mergeCell ref="D1138:D1141"/>
    <mergeCell ref="B1172:B1176"/>
    <mergeCell ref="D1173:D1176"/>
    <mergeCell ref="B1177:B1181"/>
    <mergeCell ref="D1178:D1181"/>
    <mergeCell ref="B1182:B1186"/>
    <mergeCell ref="D1183:D1186"/>
    <mergeCell ref="B1157:B1161"/>
    <mergeCell ref="D1158:D1161"/>
    <mergeCell ref="B1162:B1166"/>
    <mergeCell ref="D1163:D1166"/>
    <mergeCell ref="B1167:B1171"/>
    <mergeCell ref="D1168:D1171"/>
    <mergeCell ref="B1202:B1206"/>
    <mergeCell ref="D1203:D1206"/>
    <mergeCell ref="B1207:B1211"/>
    <mergeCell ref="D1208:D1211"/>
    <mergeCell ref="B1212:B1216"/>
    <mergeCell ref="D1213:D1216"/>
    <mergeCell ref="B1187:B1191"/>
    <mergeCell ref="D1188:D1191"/>
    <mergeCell ref="B1192:B1196"/>
    <mergeCell ref="D1193:D1196"/>
    <mergeCell ref="B1197:B1201"/>
    <mergeCell ref="D1198:D1201"/>
    <mergeCell ref="B1232:B1236"/>
    <mergeCell ref="D1233:D1236"/>
    <mergeCell ref="B1237:B1241"/>
    <mergeCell ref="D1238:D1241"/>
    <mergeCell ref="B1242:B1246"/>
    <mergeCell ref="D1243:D1246"/>
    <mergeCell ref="B1217:B1221"/>
    <mergeCell ref="D1218:D1221"/>
    <mergeCell ref="B1222:B1226"/>
    <mergeCell ref="D1223:D1226"/>
    <mergeCell ref="B1227:B1231"/>
    <mergeCell ref="D1228:D1231"/>
    <mergeCell ref="B1262:B1266"/>
    <mergeCell ref="D1263:D1266"/>
    <mergeCell ref="B1267:B1271"/>
    <mergeCell ref="D1268:D1271"/>
    <mergeCell ref="B1272:B1276"/>
    <mergeCell ref="D1273:D1276"/>
    <mergeCell ref="B1247:B1251"/>
    <mergeCell ref="D1248:D1251"/>
    <mergeCell ref="B1252:B1256"/>
    <mergeCell ref="D1253:D1256"/>
    <mergeCell ref="B1257:B1261"/>
    <mergeCell ref="D1258:D1261"/>
    <mergeCell ref="B1292:B1296"/>
    <mergeCell ref="D1293:D1296"/>
    <mergeCell ref="B1297:B1301"/>
    <mergeCell ref="D1298:D1301"/>
    <mergeCell ref="B1302:B1306"/>
    <mergeCell ref="D1303:D1306"/>
    <mergeCell ref="B1277:B1281"/>
    <mergeCell ref="D1278:D1281"/>
    <mergeCell ref="B1282:B1286"/>
    <mergeCell ref="D1283:D1286"/>
    <mergeCell ref="B1287:B1291"/>
    <mergeCell ref="D1288:D1291"/>
    <mergeCell ref="B1322:B1326"/>
    <mergeCell ref="D1323:D1326"/>
    <mergeCell ref="B1327:B1331"/>
    <mergeCell ref="D1328:D1331"/>
    <mergeCell ref="B1332:B1336"/>
    <mergeCell ref="D1333:D1336"/>
    <mergeCell ref="B1307:B1311"/>
    <mergeCell ref="D1308:D1311"/>
    <mergeCell ref="B1312:B1316"/>
    <mergeCell ref="D1313:D1316"/>
    <mergeCell ref="B1317:B1321"/>
    <mergeCell ref="D1318:D1321"/>
    <mergeCell ref="B1352:B1356"/>
    <mergeCell ref="D1353:D1356"/>
    <mergeCell ref="B1357:B1361"/>
    <mergeCell ref="D1358:D1361"/>
    <mergeCell ref="B1362:B1366"/>
    <mergeCell ref="D1363:D1366"/>
    <mergeCell ref="B1337:B1341"/>
    <mergeCell ref="D1338:D1341"/>
    <mergeCell ref="B1342:B1346"/>
    <mergeCell ref="D1343:D1346"/>
    <mergeCell ref="B1347:B1351"/>
    <mergeCell ref="D1348:D1351"/>
    <mergeCell ref="B1382:B1386"/>
    <mergeCell ref="D1383:D1386"/>
    <mergeCell ref="B1387:B1391"/>
    <mergeCell ref="D1388:D1391"/>
    <mergeCell ref="B1392:B1396"/>
    <mergeCell ref="D1393:D1396"/>
    <mergeCell ref="B1367:B1371"/>
    <mergeCell ref="D1368:D1371"/>
    <mergeCell ref="B1372:B1376"/>
    <mergeCell ref="D1373:D1376"/>
    <mergeCell ref="B1377:B1381"/>
    <mergeCell ref="D1378:D1381"/>
    <mergeCell ref="B1412:B1416"/>
    <mergeCell ref="D1413:D1416"/>
    <mergeCell ref="B1417:B1421"/>
    <mergeCell ref="D1418:D1421"/>
    <mergeCell ref="B1422:B1426"/>
    <mergeCell ref="D1423:D1426"/>
    <mergeCell ref="B1397:B1401"/>
    <mergeCell ref="D1398:D1401"/>
    <mergeCell ref="B1402:B1406"/>
    <mergeCell ref="D1403:D1406"/>
    <mergeCell ref="B1407:B1411"/>
    <mergeCell ref="D1408:D1411"/>
    <mergeCell ref="B1442:B1446"/>
    <mergeCell ref="D1443:D1446"/>
    <mergeCell ref="B1447:B1451"/>
    <mergeCell ref="D1448:D1451"/>
    <mergeCell ref="B1452:B1456"/>
    <mergeCell ref="D1453:D1456"/>
    <mergeCell ref="B1427:B1431"/>
    <mergeCell ref="D1428:D1431"/>
    <mergeCell ref="B1432:B1436"/>
    <mergeCell ref="D1433:D1436"/>
    <mergeCell ref="B1437:B1441"/>
    <mergeCell ref="D1438:D1441"/>
    <mergeCell ref="B1472:B1476"/>
    <mergeCell ref="D1473:D1476"/>
    <mergeCell ref="B1477:B1481"/>
    <mergeCell ref="D1478:D1481"/>
    <mergeCell ref="B1482:B1486"/>
    <mergeCell ref="D1483:D1486"/>
    <mergeCell ref="B1457:B1461"/>
    <mergeCell ref="D1458:D1461"/>
    <mergeCell ref="B1462:B1466"/>
    <mergeCell ref="D1463:D1466"/>
    <mergeCell ref="B1467:B1471"/>
    <mergeCell ref="D1468:D1471"/>
    <mergeCell ref="B1502:B1506"/>
    <mergeCell ref="D1503:D1506"/>
    <mergeCell ref="B1507:B1511"/>
    <mergeCell ref="D1508:D1511"/>
    <mergeCell ref="B1512:B1516"/>
    <mergeCell ref="D1513:D1516"/>
    <mergeCell ref="B1487:B1491"/>
    <mergeCell ref="D1488:D1491"/>
    <mergeCell ref="B1492:B1496"/>
    <mergeCell ref="D1493:D1496"/>
    <mergeCell ref="B1497:B1501"/>
    <mergeCell ref="D1498:D1501"/>
    <mergeCell ref="B1532:B1536"/>
    <mergeCell ref="D1533:D1536"/>
    <mergeCell ref="B1537:B1541"/>
    <mergeCell ref="D1538:D1541"/>
    <mergeCell ref="B1542:B1546"/>
    <mergeCell ref="D1543:D1546"/>
    <mergeCell ref="B1517:B1521"/>
    <mergeCell ref="D1518:D1521"/>
    <mergeCell ref="B1522:B1526"/>
    <mergeCell ref="D1523:D1526"/>
    <mergeCell ref="B1527:B1531"/>
    <mergeCell ref="D1528:D1531"/>
    <mergeCell ref="B1562:B1566"/>
    <mergeCell ref="D1563:D1566"/>
    <mergeCell ref="B1567:B1571"/>
    <mergeCell ref="D1568:D1571"/>
    <mergeCell ref="B1572:B1576"/>
    <mergeCell ref="D1573:D1576"/>
    <mergeCell ref="B1547:B1551"/>
    <mergeCell ref="D1548:D1551"/>
    <mergeCell ref="B1552:B1556"/>
    <mergeCell ref="D1553:D1556"/>
    <mergeCell ref="B1557:B1561"/>
    <mergeCell ref="D1558:D1561"/>
    <mergeCell ref="B1592:B1596"/>
    <mergeCell ref="D1593:D1596"/>
    <mergeCell ref="B1597:B1601"/>
    <mergeCell ref="D1598:D1601"/>
    <mergeCell ref="B1602:B1606"/>
    <mergeCell ref="D1603:D1606"/>
    <mergeCell ref="B1577:B1581"/>
    <mergeCell ref="D1578:D1581"/>
    <mergeCell ref="B1582:B1586"/>
    <mergeCell ref="D1583:D1586"/>
    <mergeCell ref="B1587:B1591"/>
    <mergeCell ref="D1588:D1591"/>
    <mergeCell ref="B1622:B1626"/>
    <mergeCell ref="D1623:D1626"/>
    <mergeCell ref="B1627:B1631"/>
    <mergeCell ref="D1628:D1631"/>
    <mergeCell ref="B1632:B1636"/>
    <mergeCell ref="D1633:D1636"/>
    <mergeCell ref="B1607:B1611"/>
    <mergeCell ref="D1608:D1611"/>
    <mergeCell ref="B1612:B1616"/>
    <mergeCell ref="D1613:D1616"/>
    <mergeCell ref="B1617:B1621"/>
    <mergeCell ref="D1618:D1621"/>
    <mergeCell ref="B1652:B1656"/>
    <mergeCell ref="D1653:D1656"/>
    <mergeCell ref="B1657:B1661"/>
    <mergeCell ref="D1658:D1661"/>
    <mergeCell ref="B1662:B1666"/>
    <mergeCell ref="D1663:D1666"/>
    <mergeCell ref="B1637:B1641"/>
    <mergeCell ref="D1638:D1641"/>
    <mergeCell ref="B1642:B1646"/>
    <mergeCell ref="D1643:D1646"/>
    <mergeCell ref="B1647:B1651"/>
    <mergeCell ref="D1648:D1651"/>
    <mergeCell ref="B1682:B1686"/>
    <mergeCell ref="D1683:D1686"/>
    <mergeCell ref="B1687:B1691"/>
    <mergeCell ref="D1688:D1691"/>
    <mergeCell ref="B1692:B1696"/>
    <mergeCell ref="D1693:D1696"/>
    <mergeCell ref="B1667:B1671"/>
    <mergeCell ref="D1668:D1671"/>
    <mergeCell ref="B1672:B1676"/>
    <mergeCell ref="D1673:D1676"/>
    <mergeCell ref="B1677:B1681"/>
    <mergeCell ref="D1678:D1681"/>
    <mergeCell ref="B1712:B1716"/>
    <mergeCell ref="D1713:D1716"/>
    <mergeCell ref="B1717:B1721"/>
    <mergeCell ref="D1718:D1721"/>
    <mergeCell ref="B1722:B1726"/>
    <mergeCell ref="D1723:D1726"/>
    <mergeCell ref="B1697:B1701"/>
    <mergeCell ref="D1698:D1701"/>
    <mergeCell ref="B1702:B1706"/>
    <mergeCell ref="D1703:D1706"/>
    <mergeCell ref="B1707:B1711"/>
    <mergeCell ref="D1708:D1711"/>
    <mergeCell ref="B1742:B1746"/>
    <mergeCell ref="D1743:D1746"/>
    <mergeCell ref="B1747:B1751"/>
    <mergeCell ref="D1748:D1751"/>
    <mergeCell ref="B1752:B1756"/>
    <mergeCell ref="D1753:D1756"/>
    <mergeCell ref="B1727:B1731"/>
    <mergeCell ref="D1728:D1731"/>
    <mergeCell ref="B1732:B1736"/>
    <mergeCell ref="D1733:D1736"/>
    <mergeCell ref="B1737:B1741"/>
    <mergeCell ref="D1738:D1741"/>
    <mergeCell ref="B1772:B1776"/>
    <mergeCell ref="D1773:D1776"/>
    <mergeCell ref="B1777:B1781"/>
    <mergeCell ref="D1778:D1781"/>
    <mergeCell ref="B1782:B1786"/>
    <mergeCell ref="D1783:D1786"/>
    <mergeCell ref="B1757:B1761"/>
    <mergeCell ref="D1758:D1761"/>
    <mergeCell ref="B1762:B1766"/>
    <mergeCell ref="D1763:D1766"/>
    <mergeCell ref="B1767:B1771"/>
    <mergeCell ref="D1768:D1771"/>
  </mergeCells>
  <phoneticPr fontId="4"/>
  <conditionalFormatting sqref="B7:B11">
    <cfRule type="expression" priority="1">
      <formula>$F$10</formula>
    </cfRule>
  </conditionalFormatting>
  <hyperlinks>
    <hyperlink ref="B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sheetPr codeName="Sheet2"/>
  <dimension ref="A1:C207"/>
  <sheetViews>
    <sheetView topLeftCell="A88" zoomScaleNormal="100" workbookViewId="0">
      <selection activeCell="A102" sqref="A102"/>
    </sheetView>
  </sheetViews>
  <sheetFormatPr defaultRowHeight="13.5"/>
  <sheetData>
    <row r="1" spans="1:3">
      <c r="A1" t="s">
        <v>4</v>
      </c>
      <c r="B1">
        <v>2.5</v>
      </c>
      <c r="C1" s="1" t="s">
        <v>5</v>
      </c>
    </row>
    <row r="2" spans="1:3">
      <c r="A2" t="s">
        <v>6</v>
      </c>
      <c r="B2">
        <v>2</v>
      </c>
      <c r="C2" s="1" t="s">
        <v>7</v>
      </c>
    </row>
    <row r="3" spans="1:3">
      <c r="A3" t="s">
        <v>8</v>
      </c>
      <c r="B3">
        <v>4</v>
      </c>
      <c r="C3" s="1" t="s">
        <v>9</v>
      </c>
    </row>
    <row r="4" spans="1:3">
      <c r="A4" t="s">
        <v>10</v>
      </c>
      <c r="B4">
        <v>3.5</v>
      </c>
      <c r="C4" s="1" t="s">
        <v>11</v>
      </c>
    </row>
    <row r="5" spans="1:3">
      <c r="A5" t="s">
        <v>12</v>
      </c>
      <c r="B5">
        <v>4</v>
      </c>
      <c r="C5" s="1" t="s">
        <v>13</v>
      </c>
    </row>
    <row r="6" spans="1:3">
      <c r="A6" t="s">
        <v>14</v>
      </c>
      <c r="B6">
        <v>2.5</v>
      </c>
      <c r="C6" s="1" t="s">
        <v>15</v>
      </c>
    </row>
    <row r="7" spans="1:3">
      <c r="A7" t="s">
        <v>16</v>
      </c>
      <c r="B7">
        <v>2</v>
      </c>
      <c r="C7" t="s">
        <v>17</v>
      </c>
    </row>
    <row r="8" spans="1:3">
      <c r="A8" t="s">
        <v>18</v>
      </c>
      <c r="B8">
        <v>0</v>
      </c>
      <c r="C8" t="s">
        <v>19</v>
      </c>
    </row>
    <row r="9" spans="1:3">
      <c r="A9" t="s">
        <v>20</v>
      </c>
      <c r="B9">
        <v>2</v>
      </c>
      <c r="C9" s="1" t="s">
        <v>21</v>
      </c>
    </row>
    <row r="10" spans="1:3">
      <c r="A10" t="s">
        <v>22</v>
      </c>
      <c r="B10">
        <v>2</v>
      </c>
      <c r="C10" s="1" t="s">
        <v>23</v>
      </c>
    </row>
    <row r="11" spans="1:3">
      <c r="A11" t="s">
        <v>24</v>
      </c>
      <c r="B11">
        <v>2.5</v>
      </c>
      <c r="C11" s="1" t="s">
        <v>25</v>
      </c>
    </row>
    <row r="12" spans="1:3">
      <c r="A12" t="s">
        <v>26</v>
      </c>
      <c r="B12">
        <v>2.5</v>
      </c>
      <c r="C12" s="1" t="s">
        <v>27</v>
      </c>
    </row>
    <row r="13" spans="1:3">
      <c r="A13" t="s">
        <v>28</v>
      </c>
      <c r="B13">
        <v>1.5</v>
      </c>
      <c r="C13" s="1" t="s">
        <v>29</v>
      </c>
    </row>
    <row r="14" spans="1:3">
      <c r="A14" t="s">
        <v>30</v>
      </c>
      <c r="B14">
        <v>1.5</v>
      </c>
      <c r="C14" s="1" t="s">
        <v>31</v>
      </c>
    </row>
    <row r="15" spans="1:3">
      <c r="A15" t="s">
        <v>32</v>
      </c>
      <c r="B15">
        <v>1</v>
      </c>
      <c r="C15" s="1" t="s">
        <v>33</v>
      </c>
    </row>
    <row r="16" spans="1:3">
      <c r="A16" t="s">
        <v>34</v>
      </c>
      <c r="B16">
        <v>4.5</v>
      </c>
      <c r="C16" s="1" t="s">
        <v>35</v>
      </c>
    </row>
    <row r="17" spans="1:3">
      <c r="A17" t="s">
        <v>36</v>
      </c>
      <c r="B17">
        <v>1</v>
      </c>
      <c r="C17" s="1" t="s">
        <v>37</v>
      </c>
    </row>
    <row r="18" spans="1:3">
      <c r="A18" t="s">
        <v>38</v>
      </c>
      <c r="B18">
        <v>2.5</v>
      </c>
      <c r="C18" s="1" t="s">
        <v>39</v>
      </c>
    </row>
    <row r="19" spans="1:3">
      <c r="A19" t="s">
        <v>40</v>
      </c>
      <c r="B19">
        <v>2</v>
      </c>
      <c r="C19" s="1" t="s">
        <v>41</v>
      </c>
    </row>
    <row r="20" spans="1:3">
      <c r="A20" t="s">
        <v>42</v>
      </c>
      <c r="B20">
        <v>1</v>
      </c>
      <c r="C20" t="s">
        <v>43</v>
      </c>
    </row>
    <row r="21" spans="1:3">
      <c r="A21" t="s">
        <v>44</v>
      </c>
      <c r="B21">
        <v>1.5</v>
      </c>
      <c r="C21" s="1" t="s">
        <v>45</v>
      </c>
    </row>
    <row r="22" spans="1:3">
      <c r="A22" t="s">
        <v>46</v>
      </c>
      <c r="B22">
        <v>1.5</v>
      </c>
      <c r="C22" s="1" t="s">
        <v>47</v>
      </c>
    </row>
    <row r="23" spans="1:3">
      <c r="A23" t="s">
        <v>48</v>
      </c>
      <c r="B23">
        <v>1</v>
      </c>
      <c r="C23" s="1" t="s">
        <v>49</v>
      </c>
    </row>
    <row r="24" spans="1:3">
      <c r="A24" t="s">
        <v>50</v>
      </c>
      <c r="B24">
        <v>1</v>
      </c>
      <c r="C24" s="1" t="s">
        <v>51</v>
      </c>
    </row>
    <row r="25" spans="1:3">
      <c r="A25" t="s">
        <v>52</v>
      </c>
      <c r="B25">
        <v>1</v>
      </c>
      <c r="C25" s="1" t="s">
        <v>53</v>
      </c>
    </row>
    <row r="26" spans="1:3">
      <c r="A26" t="s">
        <v>54</v>
      </c>
      <c r="B26">
        <v>3</v>
      </c>
      <c r="C26" s="1" t="s">
        <v>55</v>
      </c>
    </row>
    <row r="27" spans="1:3">
      <c r="A27" t="s">
        <v>56</v>
      </c>
      <c r="B27">
        <v>3</v>
      </c>
      <c r="C27" s="1" t="s">
        <v>57</v>
      </c>
    </row>
    <row r="28" spans="1:3">
      <c r="A28" t="s">
        <v>58</v>
      </c>
      <c r="B28">
        <v>0</v>
      </c>
      <c r="C28" s="1" t="s">
        <v>59</v>
      </c>
    </row>
    <row r="29" spans="1:3">
      <c r="A29" t="s">
        <v>60</v>
      </c>
      <c r="B29">
        <v>3</v>
      </c>
      <c r="C29" s="1" t="s">
        <v>61</v>
      </c>
    </row>
    <row r="30" spans="1:3">
      <c r="A30" t="s">
        <v>62</v>
      </c>
      <c r="B30">
        <v>2</v>
      </c>
      <c r="C30" s="1" t="s">
        <v>63</v>
      </c>
    </row>
    <row r="31" spans="1:3">
      <c r="A31" t="s">
        <v>64</v>
      </c>
      <c r="B31">
        <v>2</v>
      </c>
      <c r="C31" s="1" t="s">
        <v>65</v>
      </c>
    </row>
    <row r="32" spans="1:3">
      <c r="A32" t="s">
        <v>66</v>
      </c>
      <c r="B32">
        <v>2.5</v>
      </c>
      <c r="C32" s="1" t="s">
        <v>67</v>
      </c>
    </row>
    <row r="33" spans="1:3">
      <c r="A33" t="s">
        <v>68</v>
      </c>
      <c r="B33">
        <v>3</v>
      </c>
      <c r="C33" s="1" t="s">
        <v>69</v>
      </c>
    </row>
    <row r="34" spans="1:3">
      <c r="A34" t="s">
        <v>70</v>
      </c>
      <c r="B34" t="s">
        <v>71</v>
      </c>
      <c r="C34" s="1" t="s">
        <v>72</v>
      </c>
    </row>
    <row r="35" spans="1:3">
      <c r="A35" t="s">
        <v>73</v>
      </c>
      <c r="B35">
        <v>1</v>
      </c>
      <c r="C35" s="1" t="s">
        <v>74</v>
      </c>
    </row>
    <row r="36" spans="1:3">
      <c r="A36" t="s">
        <v>75</v>
      </c>
      <c r="B36">
        <v>3</v>
      </c>
      <c r="C36" s="1" t="s">
        <v>76</v>
      </c>
    </row>
    <row r="37" spans="1:3">
      <c r="A37" t="s">
        <v>77</v>
      </c>
      <c r="B37">
        <v>2.5</v>
      </c>
      <c r="C37" s="1" t="s">
        <v>78</v>
      </c>
    </row>
    <row r="38" spans="1:3">
      <c r="A38" t="s">
        <v>79</v>
      </c>
      <c r="B38">
        <v>0.5</v>
      </c>
      <c r="C38" s="1" t="s">
        <v>80</v>
      </c>
    </row>
    <row r="39" spans="1:3">
      <c r="A39" t="s">
        <v>81</v>
      </c>
      <c r="B39">
        <v>0.5</v>
      </c>
      <c r="C39" s="1" t="s">
        <v>82</v>
      </c>
    </row>
    <row r="40" spans="1:3">
      <c r="A40" t="s">
        <v>83</v>
      </c>
      <c r="B40">
        <v>1.5</v>
      </c>
      <c r="C40" s="1" t="s">
        <v>84</v>
      </c>
    </row>
    <row r="41" spans="1:3">
      <c r="A41" t="s">
        <v>85</v>
      </c>
      <c r="B41">
        <v>1.5</v>
      </c>
      <c r="C41" s="1" t="s">
        <v>86</v>
      </c>
    </row>
    <row r="42" spans="1:3">
      <c r="A42" t="s">
        <v>87</v>
      </c>
      <c r="B42">
        <v>0.5</v>
      </c>
      <c r="C42" s="1" t="s">
        <v>88</v>
      </c>
    </row>
    <row r="43" spans="1:3">
      <c r="A43" t="s">
        <v>89</v>
      </c>
      <c r="B43">
        <v>4.5</v>
      </c>
      <c r="C43" s="1" t="s">
        <v>90</v>
      </c>
    </row>
    <row r="44" spans="1:3">
      <c r="A44" t="s">
        <v>91</v>
      </c>
      <c r="B44">
        <v>1.5</v>
      </c>
      <c r="C44" s="1" t="s">
        <v>92</v>
      </c>
    </row>
    <row r="45" spans="1:3">
      <c r="A45" t="s">
        <v>93</v>
      </c>
      <c r="B45">
        <v>1.5</v>
      </c>
      <c r="C45" s="1" t="s">
        <v>94</v>
      </c>
    </row>
    <row r="46" spans="1:3">
      <c r="A46" t="s">
        <v>95</v>
      </c>
      <c r="B46">
        <v>2</v>
      </c>
      <c r="C46" s="1" t="s">
        <v>96</v>
      </c>
    </row>
    <row r="47" spans="1:3">
      <c r="A47" t="s">
        <v>97</v>
      </c>
      <c r="B47">
        <v>2</v>
      </c>
      <c r="C47" s="1" t="s">
        <v>98</v>
      </c>
    </row>
    <row r="48" spans="1:3">
      <c r="A48" t="s">
        <v>99</v>
      </c>
      <c r="B48">
        <v>1.5</v>
      </c>
      <c r="C48" s="1" t="s">
        <v>100</v>
      </c>
    </row>
    <row r="49" spans="1:3">
      <c r="A49" t="s">
        <v>101</v>
      </c>
      <c r="B49">
        <v>2</v>
      </c>
      <c r="C49" s="1" t="s">
        <v>102</v>
      </c>
    </row>
    <row r="50" spans="1:3">
      <c r="A50" t="s">
        <v>103</v>
      </c>
      <c r="B50">
        <v>2.5</v>
      </c>
      <c r="C50" s="1" t="s">
        <v>104</v>
      </c>
    </row>
    <row r="51" spans="1:3">
      <c r="A51" t="s">
        <v>105</v>
      </c>
      <c r="B51">
        <v>2.5</v>
      </c>
      <c r="C51" s="1" t="s">
        <v>106</v>
      </c>
    </row>
    <row r="52" spans="1:3">
      <c r="A52" t="s">
        <v>107</v>
      </c>
      <c r="B52">
        <v>2</v>
      </c>
      <c r="C52" s="1" t="s">
        <v>108</v>
      </c>
    </row>
    <row r="53" spans="1:3">
      <c r="A53" t="s">
        <v>109</v>
      </c>
      <c r="B53">
        <v>2.5</v>
      </c>
      <c r="C53" t="s">
        <v>110</v>
      </c>
    </row>
    <row r="54" spans="1:3">
      <c r="A54" t="s">
        <v>111</v>
      </c>
      <c r="B54">
        <v>1.5</v>
      </c>
      <c r="C54" s="1" t="s">
        <v>112</v>
      </c>
    </row>
    <row r="55" spans="1:3">
      <c r="A55" t="s">
        <v>113</v>
      </c>
      <c r="B55">
        <v>0.5</v>
      </c>
      <c r="C55" s="1" t="s">
        <v>114</v>
      </c>
    </row>
    <row r="56" spans="1:3">
      <c r="A56" t="s">
        <v>115</v>
      </c>
      <c r="B56">
        <v>2</v>
      </c>
      <c r="C56" s="1" t="s">
        <v>116</v>
      </c>
    </row>
    <row r="57" spans="1:3">
      <c r="A57" t="s">
        <v>117</v>
      </c>
      <c r="B57">
        <v>0.5</v>
      </c>
      <c r="C57" s="1" t="s">
        <v>118</v>
      </c>
    </row>
    <row r="58" spans="1:3">
      <c r="A58" t="s">
        <v>119</v>
      </c>
      <c r="B58">
        <v>3</v>
      </c>
      <c r="C58" s="1" t="s">
        <v>120</v>
      </c>
    </row>
    <row r="59" spans="1:3">
      <c r="A59" t="s">
        <v>121</v>
      </c>
      <c r="B59">
        <v>4.5</v>
      </c>
      <c r="C59" s="1" t="s">
        <v>122</v>
      </c>
    </row>
    <row r="60" spans="1:3">
      <c r="A60" t="s">
        <v>123</v>
      </c>
      <c r="B60">
        <v>2.5</v>
      </c>
      <c r="C60" s="1" t="s">
        <v>124</v>
      </c>
    </row>
    <row r="61" spans="1:3">
      <c r="A61" t="s">
        <v>125</v>
      </c>
      <c r="B61">
        <v>1.5</v>
      </c>
      <c r="C61" s="1" t="s">
        <v>126</v>
      </c>
    </row>
    <row r="62" spans="1:3">
      <c r="A62" t="s">
        <v>127</v>
      </c>
      <c r="B62">
        <v>1</v>
      </c>
      <c r="C62" t="s">
        <v>128</v>
      </c>
    </row>
    <row r="63" spans="1:3">
      <c r="A63" t="s">
        <v>129</v>
      </c>
      <c r="B63">
        <v>1.5</v>
      </c>
      <c r="C63" s="1" t="s">
        <v>130</v>
      </c>
    </row>
    <row r="64" spans="1:3">
      <c r="A64" t="s">
        <v>131</v>
      </c>
      <c r="B64">
        <v>2.5</v>
      </c>
      <c r="C64" s="1" t="s">
        <v>132</v>
      </c>
    </row>
    <row r="65" spans="1:3">
      <c r="A65" t="s">
        <v>133</v>
      </c>
      <c r="B65">
        <v>1</v>
      </c>
      <c r="C65" s="1" t="s">
        <v>134</v>
      </c>
    </row>
    <row r="66" spans="1:3">
      <c r="A66" t="s">
        <v>135</v>
      </c>
      <c r="B66">
        <v>2.5</v>
      </c>
      <c r="C66" s="1" t="s">
        <v>136</v>
      </c>
    </row>
    <row r="67" spans="1:3">
      <c r="A67" t="s">
        <v>137</v>
      </c>
      <c r="B67">
        <v>3</v>
      </c>
      <c r="C67" s="1" t="s">
        <v>138</v>
      </c>
    </row>
    <row r="68" spans="1:3">
      <c r="A68" t="s">
        <v>139</v>
      </c>
      <c r="B68">
        <v>2.5</v>
      </c>
      <c r="C68" s="1" t="s">
        <v>315</v>
      </c>
    </row>
    <row r="69" spans="1:3">
      <c r="A69" t="s">
        <v>140</v>
      </c>
      <c r="B69">
        <v>1.5</v>
      </c>
      <c r="C69" s="1" t="s">
        <v>316</v>
      </c>
    </row>
    <row r="70" spans="1:3">
      <c r="A70" t="s">
        <v>141</v>
      </c>
      <c r="B70">
        <v>1.5</v>
      </c>
      <c r="C70" t="s">
        <v>317</v>
      </c>
    </row>
    <row r="71" spans="1:3">
      <c r="A71" t="s">
        <v>142</v>
      </c>
      <c r="B71">
        <v>2.5</v>
      </c>
      <c r="C71" s="1" t="s">
        <v>318</v>
      </c>
    </row>
    <row r="72" spans="1:3">
      <c r="A72" t="s">
        <v>143</v>
      </c>
      <c r="B72">
        <v>2.5</v>
      </c>
      <c r="C72" s="1" t="s">
        <v>319</v>
      </c>
    </row>
    <row r="73" spans="1:3">
      <c r="A73" t="s">
        <v>144</v>
      </c>
      <c r="B73">
        <v>3.5</v>
      </c>
      <c r="C73" s="1" t="s">
        <v>320</v>
      </c>
    </row>
    <row r="74" spans="1:3">
      <c r="A74" t="s">
        <v>145</v>
      </c>
      <c r="B74">
        <v>4</v>
      </c>
      <c r="C74" s="1" t="s">
        <v>321</v>
      </c>
    </row>
    <row r="75" spans="1:3">
      <c r="A75" t="s">
        <v>146</v>
      </c>
      <c r="B75">
        <v>2.5</v>
      </c>
      <c r="C75" s="1" t="s">
        <v>322</v>
      </c>
    </row>
    <row r="76" spans="1:3">
      <c r="A76" t="s">
        <v>147</v>
      </c>
      <c r="B76">
        <v>2.5</v>
      </c>
      <c r="C76" s="1" t="s">
        <v>323</v>
      </c>
    </row>
    <row r="77" spans="1:3">
      <c r="A77" t="s">
        <v>148</v>
      </c>
      <c r="B77">
        <v>1.5</v>
      </c>
      <c r="C77" s="1" t="s">
        <v>324</v>
      </c>
    </row>
    <row r="78" spans="1:3">
      <c r="A78" t="s">
        <v>149</v>
      </c>
      <c r="B78">
        <v>2</v>
      </c>
      <c r="C78" s="1" t="s">
        <v>325</v>
      </c>
    </row>
    <row r="79" spans="1:3">
      <c r="A79" t="s">
        <v>150</v>
      </c>
      <c r="B79">
        <v>2.5</v>
      </c>
      <c r="C79" s="1" t="s">
        <v>326</v>
      </c>
    </row>
    <row r="80" spans="1:3">
      <c r="A80" t="s">
        <v>0</v>
      </c>
      <c r="B80">
        <v>4</v>
      </c>
      <c r="C80" s="1" t="s">
        <v>327</v>
      </c>
    </row>
    <row r="81" spans="1:3">
      <c r="A81" t="s">
        <v>151</v>
      </c>
      <c r="B81">
        <v>1.5</v>
      </c>
      <c r="C81" s="1" t="s">
        <v>328</v>
      </c>
    </row>
    <row r="82" spans="1:3">
      <c r="A82" t="s">
        <v>152</v>
      </c>
      <c r="B82">
        <v>2.5</v>
      </c>
      <c r="C82" s="1" t="s">
        <v>329</v>
      </c>
    </row>
    <row r="83" spans="1:3">
      <c r="A83" t="s">
        <v>153</v>
      </c>
      <c r="B83">
        <v>2.5</v>
      </c>
      <c r="C83" s="1" t="s">
        <v>330</v>
      </c>
    </row>
    <row r="84" spans="1:3">
      <c r="A84" t="s">
        <v>154</v>
      </c>
      <c r="B84">
        <v>3.5</v>
      </c>
      <c r="C84" t="s">
        <v>331</v>
      </c>
    </row>
    <row r="85" spans="1:3">
      <c r="A85" t="s">
        <v>155</v>
      </c>
      <c r="B85">
        <v>4</v>
      </c>
      <c r="C85" s="1" t="s">
        <v>332</v>
      </c>
    </row>
    <row r="86" spans="1:3">
      <c r="A86" t="s">
        <v>156</v>
      </c>
      <c r="B86">
        <v>1</v>
      </c>
      <c r="C86" s="1" t="s">
        <v>333</v>
      </c>
    </row>
    <row r="87" spans="1:3">
      <c r="A87" t="s">
        <v>157</v>
      </c>
      <c r="B87">
        <v>2.5</v>
      </c>
      <c r="C87" s="1" t="s">
        <v>334</v>
      </c>
    </row>
    <row r="88" spans="1:3">
      <c r="A88" t="s">
        <v>158</v>
      </c>
      <c r="B88">
        <v>1</v>
      </c>
      <c r="C88" s="1" t="s">
        <v>335</v>
      </c>
    </row>
    <row r="89" spans="1:3">
      <c r="A89" t="s">
        <v>159</v>
      </c>
      <c r="B89">
        <v>2.5</v>
      </c>
      <c r="C89" s="1" t="s">
        <v>336</v>
      </c>
    </row>
    <row r="90" spans="1:3">
      <c r="A90" t="s">
        <v>160</v>
      </c>
      <c r="B90">
        <v>4</v>
      </c>
      <c r="C90" s="1" t="s">
        <v>337</v>
      </c>
    </row>
    <row r="91" spans="1:3">
      <c r="A91" t="s">
        <v>161</v>
      </c>
      <c r="B91">
        <v>1.5</v>
      </c>
      <c r="C91" s="1" t="s">
        <v>338</v>
      </c>
    </row>
    <row r="92" spans="1:3">
      <c r="A92" t="s">
        <v>162</v>
      </c>
      <c r="B92">
        <v>1</v>
      </c>
      <c r="C92" s="1" t="s">
        <v>339</v>
      </c>
    </row>
    <row r="93" spans="1:3">
      <c r="A93" t="s">
        <v>163</v>
      </c>
      <c r="B93">
        <v>3</v>
      </c>
      <c r="C93" s="1" t="s">
        <v>340</v>
      </c>
    </row>
    <row r="94" spans="1:3">
      <c r="A94" t="s">
        <v>164</v>
      </c>
      <c r="B94">
        <v>1.5</v>
      </c>
      <c r="C94" s="1" t="s">
        <v>341</v>
      </c>
    </row>
    <row r="95" spans="1:3">
      <c r="A95" t="s">
        <v>165</v>
      </c>
      <c r="B95">
        <v>2</v>
      </c>
      <c r="C95" s="1" t="s">
        <v>342</v>
      </c>
    </row>
    <row r="96" spans="1:3">
      <c r="A96" t="s">
        <v>166</v>
      </c>
      <c r="B96">
        <v>3</v>
      </c>
      <c r="C96" t="s">
        <v>343</v>
      </c>
    </row>
    <row r="97" spans="1:3">
      <c r="A97" t="s">
        <v>167</v>
      </c>
      <c r="B97">
        <v>1.5</v>
      </c>
      <c r="C97" t="s">
        <v>344</v>
      </c>
    </row>
    <row r="98" spans="1:3">
      <c r="A98" t="s">
        <v>168</v>
      </c>
      <c r="B98">
        <v>4</v>
      </c>
      <c r="C98" s="1" t="s">
        <v>345</v>
      </c>
    </row>
    <row r="99" spans="1:3">
      <c r="A99" t="s">
        <v>169</v>
      </c>
      <c r="B99">
        <v>1.5</v>
      </c>
      <c r="C99" t="s">
        <v>346</v>
      </c>
    </row>
    <row r="100" spans="1:3">
      <c r="A100" t="s">
        <v>170</v>
      </c>
      <c r="B100">
        <v>2</v>
      </c>
      <c r="C100" s="1" t="s">
        <v>347</v>
      </c>
    </row>
    <row r="101" spans="1:3">
      <c r="A101" t="s">
        <v>171</v>
      </c>
      <c r="B101">
        <v>1.5</v>
      </c>
      <c r="C101" s="1" t="s">
        <v>348</v>
      </c>
    </row>
    <row r="102" spans="1:3">
      <c r="A102" t="s">
        <v>172</v>
      </c>
      <c r="B102">
        <v>2</v>
      </c>
      <c r="C102" s="1" t="s">
        <v>349</v>
      </c>
    </row>
    <row r="103" spans="1:3">
      <c r="A103" t="s">
        <v>173</v>
      </c>
      <c r="B103">
        <v>3</v>
      </c>
      <c r="C103" s="1" t="s">
        <v>350</v>
      </c>
    </row>
    <row r="104" spans="1:3">
      <c r="A104" t="s">
        <v>174</v>
      </c>
      <c r="B104">
        <v>2.5</v>
      </c>
      <c r="C104" s="1" t="s">
        <v>351</v>
      </c>
    </row>
    <row r="105" spans="1:3">
      <c r="A105" t="s">
        <v>175</v>
      </c>
      <c r="B105">
        <v>4</v>
      </c>
      <c r="C105" s="1" t="s">
        <v>352</v>
      </c>
    </row>
    <row r="106" spans="1:3">
      <c r="A106" t="s">
        <v>176</v>
      </c>
      <c r="B106">
        <v>1.5</v>
      </c>
      <c r="C106" s="1" t="s">
        <v>353</v>
      </c>
    </row>
    <row r="107" spans="1:3">
      <c r="A107" t="s">
        <v>177</v>
      </c>
      <c r="B107">
        <v>1</v>
      </c>
      <c r="C107" s="1" t="s">
        <v>354</v>
      </c>
    </row>
    <row r="108" spans="1:3">
      <c r="A108" t="s">
        <v>178</v>
      </c>
      <c r="B108">
        <v>2</v>
      </c>
      <c r="C108" s="1" t="s">
        <v>355</v>
      </c>
    </row>
    <row r="109" spans="1:3">
      <c r="A109" t="s">
        <v>179</v>
      </c>
      <c r="B109">
        <v>2.5</v>
      </c>
      <c r="C109" s="1" t="s">
        <v>356</v>
      </c>
    </row>
    <row r="110" spans="1:3">
      <c r="A110" t="s">
        <v>180</v>
      </c>
      <c r="B110">
        <v>4</v>
      </c>
      <c r="C110" s="1" t="s">
        <v>357</v>
      </c>
    </row>
    <row r="111" spans="1:3">
      <c r="A111" t="s">
        <v>181</v>
      </c>
      <c r="B111">
        <v>3</v>
      </c>
      <c r="C111" s="1" t="s">
        <v>358</v>
      </c>
    </row>
    <row r="112" spans="1:3">
      <c r="A112" t="s">
        <v>182</v>
      </c>
      <c r="B112">
        <v>2</v>
      </c>
      <c r="C112" t="s">
        <v>359</v>
      </c>
    </row>
    <row r="113" spans="1:3">
      <c r="A113" t="s">
        <v>183</v>
      </c>
      <c r="B113">
        <v>1</v>
      </c>
      <c r="C113" t="s">
        <v>360</v>
      </c>
    </row>
    <row r="114" spans="1:3">
      <c r="A114" t="s">
        <v>184</v>
      </c>
      <c r="B114">
        <v>2</v>
      </c>
      <c r="C114" t="s">
        <v>361</v>
      </c>
    </row>
    <row r="115" spans="1:3">
      <c r="A115" t="s">
        <v>185</v>
      </c>
      <c r="B115">
        <v>2</v>
      </c>
      <c r="C115" s="1" t="s">
        <v>362</v>
      </c>
    </row>
    <row r="116" spans="1:3">
      <c r="A116" t="s">
        <v>186</v>
      </c>
      <c r="B116">
        <v>3</v>
      </c>
      <c r="C116" s="1" t="s">
        <v>363</v>
      </c>
    </row>
    <row r="117" spans="1:3">
      <c r="A117" t="s">
        <v>187</v>
      </c>
      <c r="B117">
        <v>3</v>
      </c>
      <c r="C117" s="1" t="s">
        <v>364</v>
      </c>
    </row>
    <row r="118" spans="1:3">
      <c r="A118" t="s">
        <v>188</v>
      </c>
      <c r="B118">
        <v>0</v>
      </c>
      <c r="C118" t="s">
        <v>365</v>
      </c>
    </row>
    <row r="119" spans="1:3">
      <c r="A119" t="s">
        <v>189</v>
      </c>
      <c r="B119">
        <v>3</v>
      </c>
      <c r="C119" s="1" t="s">
        <v>366</v>
      </c>
    </row>
    <row r="120" spans="1:3">
      <c r="A120" t="s">
        <v>190</v>
      </c>
      <c r="B120">
        <v>3</v>
      </c>
      <c r="C120" s="1" t="s">
        <v>367</v>
      </c>
    </row>
    <row r="121" spans="1:3">
      <c r="A121" t="s">
        <v>191</v>
      </c>
      <c r="B121">
        <v>2.5</v>
      </c>
      <c r="C121" s="1" t="s">
        <v>368</v>
      </c>
    </row>
    <row r="122" spans="1:3">
      <c r="A122" t="s">
        <v>192</v>
      </c>
      <c r="B122" t="s">
        <v>369</v>
      </c>
      <c r="C122" s="1" t="s">
        <v>370</v>
      </c>
    </row>
    <row r="123" spans="1:3">
      <c r="A123" t="s">
        <v>193</v>
      </c>
      <c r="B123">
        <v>4.5</v>
      </c>
      <c r="C123" s="1" t="s">
        <v>371</v>
      </c>
    </row>
    <row r="124" spans="1:3">
      <c r="A124" t="s">
        <v>194</v>
      </c>
      <c r="B124">
        <v>4</v>
      </c>
      <c r="C124" s="1" t="s">
        <v>372</v>
      </c>
    </row>
    <row r="125" spans="1:3">
      <c r="A125" t="s">
        <v>195</v>
      </c>
      <c r="B125">
        <v>2</v>
      </c>
      <c r="C125" s="1" t="s">
        <v>373</v>
      </c>
    </row>
    <row r="126" spans="1:3">
      <c r="A126" t="s">
        <v>196</v>
      </c>
      <c r="B126">
        <v>1</v>
      </c>
      <c r="C126" s="1" t="s">
        <v>374</v>
      </c>
    </row>
    <row r="127" spans="1:3">
      <c r="A127" t="s">
        <v>197</v>
      </c>
      <c r="B127">
        <v>3.5</v>
      </c>
      <c r="C127" s="1" t="s">
        <v>375</v>
      </c>
    </row>
    <row r="128" spans="1:3">
      <c r="A128" t="s">
        <v>198</v>
      </c>
      <c r="B128">
        <v>1.5</v>
      </c>
      <c r="C128" s="1" t="s">
        <v>376</v>
      </c>
    </row>
    <row r="129" spans="1:3">
      <c r="A129" t="s">
        <v>199</v>
      </c>
      <c r="B129">
        <v>3.5</v>
      </c>
      <c r="C129" s="1" t="s">
        <v>377</v>
      </c>
    </row>
    <row r="130" spans="1:3">
      <c r="A130" t="s">
        <v>200</v>
      </c>
      <c r="B130">
        <v>2</v>
      </c>
      <c r="C130" s="1" t="s">
        <v>378</v>
      </c>
    </row>
    <row r="131" spans="1:3">
      <c r="A131" t="s">
        <v>201</v>
      </c>
      <c r="B131">
        <v>1.5</v>
      </c>
      <c r="C131" s="1" t="s">
        <v>379</v>
      </c>
    </row>
    <row r="132" spans="1:3">
      <c r="A132" t="s">
        <v>202</v>
      </c>
      <c r="B132">
        <v>2</v>
      </c>
      <c r="C132" s="1" t="s">
        <v>380</v>
      </c>
    </row>
    <row r="133" spans="1:3">
      <c r="A133" t="s">
        <v>203</v>
      </c>
      <c r="B133">
        <v>3</v>
      </c>
      <c r="C133" s="1" t="s">
        <v>381</v>
      </c>
    </row>
    <row r="134" spans="1:3">
      <c r="A134" t="s">
        <v>204</v>
      </c>
      <c r="B134">
        <v>2.5</v>
      </c>
      <c r="C134" s="1" t="s">
        <v>382</v>
      </c>
    </row>
    <row r="135" spans="1:3">
      <c r="A135" t="s">
        <v>205</v>
      </c>
      <c r="B135">
        <v>2</v>
      </c>
      <c r="C135" s="1" t="s">
        <v>383</v>
      </c>
    </row>
    <row r="136" spans="1:3">
      <c r="A136" t="s">
        <v>206</v>
      </c>
      <c r="B136">
        <v>3</v>
      </c>
      <c r="C136" s="1" t="s">
        <v>384</v>
      </c>
    </row>
    <row r="137" spans="1:3">
      <c r="A137" t="s">
        <v>207</v>
      </c>
      <c r="B137">
        <v>2.5</v>
      </c>
      <c r="C137" s="1" t="s">
        <v>385</v>
      </c>
    </row>
    <row r="138" spans="1:3">
      <c r="A138" t="s">
        <v>208</v>
      </c>
      <c r="B138">
        <v>2.5</v>
      </c>
      <c r="C138" s="1" t="s">
        <v>386</v>
      </c>
    </row>
    <row r="139" spans="1:3">
      <c r="A139" t="s">
        <v>209</v>
      </c>
      <c r="B139">
        <v>3.5</v>
      </c>
      <c r="C139" s="1" t="s">
        <v>387</v>
      </c>
    </row>
    <row r="140" spans="1:3">
      <c r="A140" t="s">
        <v>210</v>
      </c>
      <c r="B140">
        <v>1.5</v>
      </c>
      <c r="C140" s="1" t="s">
        <v>388</v>
      </c>
    </row>
    <row r="141" spans="1:3">
      <c r="A141" t="s">
        <v>211</v>
      </c>
      <c r="B141">
        <v>1</v>
      </c>
      <c r="C141" s="1" t="s">
        <v>389</v>
      </c>
    </row>
    <row r="142" spans="1:3">
      <c r="A142" t="s">
        <v>212</v>
      </c>
      <c r="B142">
        <v>4.5</v>
      </c>
      <c r="C142" s="1" t="s">
        <v>455</v>
      </c>
    </row>
    <row r="143" spans="1:3">
      <c r="A143" t="s">
        <v>213</v>
      </c>
      <c r="B143" t="s">
        <v>214</v>
      </c>
      <c r="C143" s="1" t="s">
        <v>391</v>
      </c>
    </row>
    <row r="144" spans="1:3">
      <c r="A144" t="s">
        <v>215</v>
      </c>
      <c r="B144">
        <v>2.5</v>
      </c>
      <c r="C144" s="1" t="s">
        <v>392</v>
      </c>
    </row>
    <row r="145" spans="1:3">
      <c r="A145" t="s">
        <v>216</v>
      </c>
      <c r="B145">
        <v>0.5</v>
      </c>
      <c r="C145" s="1" t="s">
        <v>393</v>
      </c>
    </row>
    <row r="146" spans="1:3">
      <c r="A146" t="s">
        <v>217</v>
      </c>
      <c r="B146">
        <v>2.5</v>
      </c>
      <c r="C146" s="1" t="s">
        <v>394</v>
      </c>
    </row>
    <row r="147" spans="1:3">
      <c r="A147" t="s">
        <v>218</v>
      </c>
      <c r="B147">
        <v>2</v>
      </c>
      <c r="C147" s="1" t="s">
        <v>395</v>
      </c>
    </row>
    <row r="148" spans="1:3">
      <c r="A148" t="s">
        <v>219</v>
      </c>
      <c r="B148">
        <v>2</v>
      </c>
      <c r="C148" s="1" t="s">
        <v>396</v>
      </c>
    </row>
    <row r="149" spans="1:3">
      <c r="A149" t="s">
        <v>220</v>
      </c>
      <c r="B149">
        <v>3</v>
      </c>
      <c r="C149" s="1" t="s">
        <v>397</v>
      </c>
    </row>
    <row r="150" spans="1:3">
      <c r="A150" t="s">
        <v>221</v>
      </c>
      <c r="B150">
        <v>4.5</v>
      </c>
      <c r="C150" s="1" t="s">
        <v>398</v>
      </c>
    </row>
    <row r="151" spans="1:3">
      <c r="A151" t="s">
        <v>222</v>
      </c>
      <c r="B151">
        <v>2.5</v>
      </c>
      <c r="C151" s="1" t="s">
        <v>399</v>
      </c>
    </row>
    <row r="152" spans="1:3">
      <c r="A152" t="s">
        <v>223</v>
      </c>
      <c r="B152">
        <v>2.5</v>
      </c>
      <c r="C152" s="1" t="s">
        <v>400</v>
      </c>
    </row>
    <row r="153" spans="1:3">
      <c r="A153" t="s">
        <v>224</v>
      </c>
      <c r="B153">
        <v>2.5</v>
      </c>
      <c r="C153" s="1" t="s">
        <v>401</v>
      </c>
    </row>
    <row r="154" spans="1:3">
      <c r="A154" t="s">
        <v>225</v>
      </c>
      <c r="B154">
        <v>3</v>
      </c>
      <c r="C154" s="1" t="s">
        <v>402</v>
      </c>
    </row>
    <row r="155" spans="1:3">
      <c r="A155" t="s">
        <v>226</v>
      </c>
      <c r="B155">
        <v>2</v>
      </c>
      <c r="C155" s="1" t="s">
        <v>403</v>
      </c>
    </row>
    <row r="156" spans="1:3">
      <c r="A156" t="s">
        <v>227</v>
      </c>
      <c r="B156">
        <v>3</v>
      </c>
      <c r="C156" s="1" t="s">
        <v>404</v>
      </c>
    </row>
    <row r="157" spans="1:3">
      <c r="A157" t="s">
        <v>228</v>
      </c>
      <c r="B157">
        <v>1.5</v>
      </c>
      <c r="C157" s="1" t="s">
        <v>405</v>
      </c>
    </row>
    <row r="158" spans="1:3">
      <c r="A158" t="s">
        <v>229</v>
      </c>
      <c r="B158">
        <v>2.5</v>
      </c>
      <c r="C158" s="1" t="s">
        <v>406</v>
      </c>
    </row>
    <row r="159" spans="1:3">
      <c r="A159" t="s">
        <v>230</v>
      </c>
      <c r="B159">
        <v>3.5</v>
      </c>
      <c r="C159" s="1" t="s">
        <v>407</v>
      </c>
    </row>
    <row r="160" spans="1:3">
      <c r="A160" t="s">
        <v>231</v>
      </c>
      <c r="B160">
        <v>3.5</v>
      </c>
      <c r="C160" s="1" t="s">
        <v>408</v>
      </c>
    </row>
    <row r="161" spans="1:3">
      <c r="A161" t="s">
        <v>232</v>
      </c>
      <c r="B161">
        <v>0</v>
      </c>
      <c r="C161" s="1" t="s">
        <v>409</v>
      </c>
    </row>
    <row r="162" spans="1:3">
      <c r="A162" t="s">
        <v>233</v>
      </c>
      <c r="B162">
        <v>1</v>
      </c>
      <c r="C162" s="1" t="s">
        <v>410</v>
      </c>
    </row>
    <row r="163" spans="1:3">
      <c r="A163" t="s">
        <v>234</v>
      </c>
      <c r="B163">
        <v>1.5</v>
      </c>
      <c r="C163" s="1" t="s">
        <v>411</v>
      </c>
    </row>
    <row r="164" spans="1:3">
      <c r="A164" t="s">
        <v>235</v>
      </c>
      <c r="B164">
        <v>2.5</v>
      </c>
      <c r="C164" s="1" t="s">
        <v>412</v>
      </c>
    </row>
    <row r="165" spans="1:3">
      <c r="A165" t="s">
        <v>236</v>
      </c>
      <c r="B165">
        <v>2.5</v>
      </c>
      <c r="C165" s="1" t="s">
        <v>413</v>
      </c>
    </row>
    <row r="166" spans="1:3">
      <c r="A166" t="s">
        <v>237</v>
      </c>
      <c r="B166">
        <v>3</v>
      </c>
      <c r="C166" s="1" t="s">
        <v>414</v>
      </c>
    </row>
    <row r="167" spans="1:3">
      <c r="A167" t="s">
        <v>238</v>
      </c>
      <c r="B167">
        <v>1.5</v>
      </c>
      <c r="C167" s="1" t="s">
        <v>415</v>
      </c>
    </row>
    <row r="168" spans="1:3">
      <c r="A168" t="s">
        <v>239</v>
      </c>
      <c r="B168">
        <v>1</v>
      </c>
      <c r="C168" s="1" t="s">
        <v>416</v>
      </c>
    </row>
    <row r="169" spans="1:3">
      <c r="A169" t="s">
        <v>240</v>
      </c>
      <c r="B169">
        <v>1.5</v>
      </c>
      <c r="C169" s="1" t="s">
        <v>417</v>
      </c>
    </row>
    <row r="170" spans="1:3">
      <c r="A170" t="s">
        <v>241</v>
      </c>
      <c r="B170">
        <v>1.5</v>
      </c>
      <c r="C170" s="1" t="s">
        <v>418</v>
      </c>
    </row>
    <row r="171" spans="1:3">
      <c r="A171" t="s">
        <v>456</v>
      </c>
      <c r="B171">
        <v>2.5</v>
      </c>
      <c r="C171" s="1" t="s">
        <v>419</v>
      </c>
    </row>
    <row r="172" spans="1:3">
      <c r="A172" t="s">
        <v>212</v>
      </c>
      <c r="B172">
        <v>4.5</v>
      </c>
      <c r="C172" s="1" t="s">
        <v>390</v>
      </c>
    </row>
    <row r="173" spans="1:3">
      <c r="A173" t="s">
        <v>243</v>
      </c>
      <c r="B173">
        <v>3</v>
      </c>
      <c r="C173" s="1" t="s">
        <v>420</v>
      </c>
    </row>
    <row r="174" spans="1:3">
      <c r="A174" t="s">
        <v>244</v>
      </c>
      <c r="B174">
        <v>2.5</v>
      </c>
      <c r="C174" s="1" t="s">
        <v>421</v>
      </c>
    </row>
    <row r="175" spans="1:3">
      <c r="A175" t="s">
        <v>245</v>
      </c>
      <c r="B175">
        <v>4</v>
      </c>
      <c r="C175" s="1" t="s">
        <v>422</v>
      </c>
    </row>
    <row r="176" spans="1:3">
      <c r="A176" t="s">
        <v>246</v>
      </c>
      <c r="B176">
        <v>3</v>
      </c>
      <c r="C176" s="1" t="s">
        <v>423</v>
      </c>
    </row>
    <row r="177" spans="1:3">
      <c r="A177" t="s">
        <v>247</v>
      </c>
      <c r="B177">
        <v>2</v>
      </c>
      <c r="C177" s="1" t="s">
        <v>424</v>
      </c>
    </row>
    <row r="178" spans="1:3">
      <c r="A178" t="s">
        <v>222</v>
      </c>
      <c r="B178">
        <v>2.5</v>
      </c>
      <c r="C178" s="1" t="s">
        <v>399</v>
      </c>
    </row>
    <row r="179" spans="1:3">
      <c r="A179" t="s">
        <v>248</v>
      </c>
      <c r="B179">
        <v>3</v>
      </c>
      <c r="C179" s="1" t="s">
        <v>425</v>
      </c>
    </row>
    <row r="180" spans="1:3">
      <c r="A180" t="s">
        <v>224</v>
      </c>
      <c r="B180">
        <v>2.5</v>
      </c>
      <c r="C180" s="1" t="s">
        <v>401</v>
      </c>
    </row>
    <row r="181" spans="1:3">
      <c r="A181" t="s">
        <v>249</v>
      </c>
      <c r="B181">
        <v>3.5</v>
      </c>
      <c r="C181" s="1" t="s">
        <v>426</v>
      </c>
    </row>
    <row r="182" spans="1:3">
      <c r="A182" t="s">
        <v>250</v>
      </c>
      <c r="B182">
        <v>3</v>
      </c>
      <c r="C182" s="1" t="s">
        <v>427</v>
      </c>
    </row>
    <row r="183" spans="1:3">
      <c r="A183" t="s">
        <v>251</v>
      </c>
      <c r="B183">
        <v>0.5</v>
      </c>
      <c r="C183" s="1" t="s">
        <v>428</v>
      </c>
    </row>
    <row r="184" spans="1:3">
      <c r="A184" t="s">
        <v>252</v>
      </c>
      <c r="B184">
        <v>1.5</v>
      </c>
      <c r="C184" s="1" t="s">
        <v>429</v>
      </c>
    </row>
    <row r="185" spans="1:3">
      <c r="A185" t="s">
        <v>253</v>
      </c>
      <c r="B185">
        <v>2</v>
      </c>
      <c r="C185" s="1" t="s">
        <v>430</v>
      </c>
    </row>
    <row r="186" spans="1:3">
      <c r="A186" t="s">
        <v>254</v>
      </c>
      <c r="B186">
        <v>1.5</v>
      </c>
      <c r="C186" t="s">
        <v>431</v>
      </c>
    </row>
    <row r="187" spans="1:3">
      <c r="A187" t="s">
        <v>255</v>
      </c>
      <c r="B187">
        <v>2.5</v>
      </c>
      <c r="C187" s="1" t="s">
        <v>432</v>
      </c>
    </row>
    <row r="188" spans="1:3">
      <c r="A188" t="s">
        <v>256</v>
      </c>
      <c r="B188">
        <v>2</v>
      </c>
      <c r="C188" s="1" t="s">
        <v>433</v>
      </c>
    </row>
    <row r="189" spans="1:3">
      <c r="A189" t="s">
        <v>257</v>
      </c>
      <c r="B189">
        <v>1</v>
      </c>
      <c r="C189" s="1" t="s">
        <v>434</v>
      </c>
    </row>
    <row r="190" spans="1:3">
      <c r="A190" t="s">
        <v>258</v>
      </c>
      <c r="B190">
        <v>1</v>
      </c>
      <c r="C190" s="1" t="s">
        <v>435</v>
      </c>
    </row>
    <row r="191" spans="1:3">
      <c r="A191" t="s">
        <v>259</v>
      </c>
      <c r="B191">
        <v>2.5</v>
      </c>
      <c r="C191" s="1" t="s">
        <v>436</v>
      </c>
    </row>
    <row r="192" spans="1:3">
      <c r="A192" t="s">
        <v>260</v>
      </c>
      <c r="B192">
        <v>1.5</v>
      </c>
      <c r="C192" s="1" t="s">
        <v>437</v>
      </c>
    </row>
    <row r="193" spans="1:3">
      <c r="A193" t="s">
        <v>261</v>
      </c>
      <c r="B193">
        <v>1.5</v>
      </c>
      <c r="C193" s="1" t="s">
        <v>438</v>
      </c>
    </row>
    <row r="194" spans="1:3">
      <c r="A194" t="s">
        <v>262</v>
      </c>
      <c r="B194">
        <v>3.5</v>
      </c>
      <c r="C194" s="1" t="s">
        <v>439</v>
      </c>
    </row>
    <row r="195" spans="1:3">
      <c r="A195" t="s">
        <v>263</v>
      </c>
      <c r="B195">
        <v>2.5</v>
      </c>
      <c r="C195" s="1" t="s">
        <v>440</v>
      </c>
    </row>
    <row r="196" spans="1:3">
      <c r="A196" t="s">
        <v>264</v>
      </c>
      <c r="B196">
        <v>4</v>
      </c>
      <c r="C196" s="1" t="s">
        <v>441</v>
      </c>
    </row>
    <row r="197" spans="1:3">
      <c r="A197" t="s">
        <v>265</v>
      </c>
      <c r="B197">
        <v>3</v>
      </c>
      <c r="C197" s="1" t="s">
        <v>442</v>
      </c>
    </row>
    <row r="198" spans="1:3">
      <c r="A198" t="s">
        <v>266</v>
      </c>
      <c r="B198">
        <v>4</v>
      </c>
      <c r="C198" s="1" t="s">
        <v>443</v>
      </c>
    </row>
    <row r="199" spans="1:3">
      <c r="A199" t="s">
        <v>267</v>
      </c>
      <c r="B199">
        <v>3</v>
      </c>
      <c r="C199" s="1" t="s">
        <v>444</v>
      </c>
    </row>
    <row r="200" spans="1:3">
      <c r="A200" t="s">
        <v>268</v>
      </c>
      <c r="B200">
        <v>2.5</v>
      </c>
      <c r="C200" s="1" t="s">
        <v>445</v>
      </c>
    </row>
    <row r="201" spans="1:3">
      <c r="A201" t="s">
        <v>269</v>
      </c>
      <c r="B201">
        <v>3</v>
      </c>
      <c r="C201" s="1" t="s">
        <v>446</v>
      </c>
    </row>
    <row r="202" spans="1:3">
      <c r="A202" t="s">
        <v>270</v>
      </c>
      <c r="B202">
        <v>4</v>
      </c>
      <c r="C202" s="1" t="s">
        <v>447</v>
      </c>
    </row>
    <row r="203" spans="1:3">
      <c r="A203" t="s">
        <v>271</v>
      </c>
      <c r="B203">
        <v>4.5</v>
      </c>
      <c r="C203" s="1" t="s">
        <v>448</v>
      </c>
    </row>
    <row r="204" spans="1:3">
      <c r="A204" t="s">
        <v>272</v>
      </c>
      <c r="B204">
        <v>4.5</v>
      </c>
      <c r="C204" s="1" t="s">
        <v>449</v>
      </c>
    </row>
    <row r="205" spans="1:3">
      <c r="A205" t="s">
        <v>273</v>
      </c>
      <c r="B205">
        <v>1</v>
      </c>
      <c r="C205" s="1" t="s">
        <v>450</v>
      </c>
    </row>
    <row r="206" spans="1:3">
      <c r="A206" t="s">
        <v>274</v>
      </c>
      <c r="B206">
        <v>2.5</v>
      </c>
      <c r="C206" t="s">
        <v>451</v>
      </c>
    </row>
    <row r="207" spans="1:3">
      <c r="A207" t="s">
        <v>452</v>
      </c>
      <c r="B207">
        <v>0</v>
      </c>
      <c r="C207" s="1" t="s">
        <v>453</v>
      </c>
    </row>
  </sheetData>
  <phoneticPr fontId="4"/>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dimension ref="A1:C205"/>
  <sheetViews>
    <sheetView topLeftCell="A23" workbookViewId="0">
      <selection activeCell="A45" sqref="A45"/>
    </sheetView>
  </sheetViews>
  <sheetFormatPr defaultRowHeight="11.25"/>
  <cols>
    <col min="1" max="16384" width="9" style="2"/>
  </cols>
  <sheetData>
    <row r="1" spans="1:3">
      <c r="A1" s="2">
        <v>2</v>
      </c>
      <c r="B1" s="2" t="s">
        <v>212</v>
      </c>
      <c r="C1" s="2">
        <v>10</v>
      </c>
    </row>
    <row r="2" spans="1:3">
      <c r="A2" s="2">
        <v>6</v>
      </c>
      <c r="B2" s="4" t="s">
        <v>454</v>
      </c>
      <c r="C2" s="2">
        <v>10</v>
      </c>
    </row>
    <row r="3" spans="1:3">
      <c r="A3" s="2">
        <v>28</v>
      </c>
      <c r="B3" s="2" t="s">
        <v>276</v>
      </c>
      <c r="C3" s="2">
        <v>10</v>
      </c>
    </row>
    <row r="4" spans="1:3">
      <c r="A4" s="2">
        <v>46</v>
      </c>
      <c r="B4" s="2" t="s">
        <v>68</v>
      </c>
      <c r="C4" s="2">
        <v>10</v>
      </c>
    </row>
    <row r="5" spans="1:3">
      <c r="A5" s="2">
        <v>93</v>
      </c>
      <c r="B5" s="2" t="s">
        <v>0</v>
      </c>
      <c r="C5" s="2">
        <v>10</v>
      </c>
    </row>
    <row r="6" spans="1:3">
      <c r="A6" s="2">
        <v>136</v>
      </c>
      <c r="B6" s="2" t="s">
        <v>193</v>
      </c>
      <c r="C6" s="2">
        <v>10</v>
      </c>
    </row>
    <row r="7" spans="1:3">
      <c r="A7" s="2">
        <v>162</v>
      </c>
      <c r="B7" s="2" t="s">
        <v>221</v>
      </c>
      <c r="C7" s="2">
        <v>10</v>
      </c>
    </row>
    <row r="8" spans="1:3">
      <c r="A8" s="2">
        <v>190</v>
      </c>
      <c r="B8" s="2" t="s">
        <v>271</v>
      </c>
      <c r="C8" s="2">
        <v>10</v>
      </c>
    </row>
    <row r="9" spans="1:3">
      <c r="A9" s="2">
        <v>72</v>
      </c>
      <c r="B9" s="2" t="s">
        <v>121</v>
      </c>
      <c r="C9" s="2">
        <v>9.9</v>
      </c>
    </row>
    <row r="10" spans="1:3">
      <c r="A10" s="2">
        <v>137</v>
      </c>
      <c r="B10" s="2" t="s">
        <v>277</v>
      </c>
      <c r="C10" s="2">
        <v>9.8000000000000007</v>
      </c>
    </row>
    <row r="11" spans="1:3">
      <c r="A11" s="2">
        <v>185</v>
      </c>
      <c r="B11" s="2" t="s">
        <v>266</v>
      </c>
      <c r="C11" s="2">
        <v>9.8000000000000007</v>
      </c>
    </row>
    <row r="12" spans="1:3">
      <c r="A12" s="2">
        <v>5</v>
      </c>
      <c r="B12" s="2" t="s">
        <v>245</v>
      </c>
      <c r="C12" s="2">
        <v>9.6999999999999993</v>
      </c>
    </row>
    <row r="13" spans="1:3">
      <c r="A13" s="2">
        <v>17</v>
      </c>
      <c r="B13" s="2" t="s">
        <v>278</v>
      </c>
      <c r="C13" s="2">
        <v>9.6999999999999993</v>
      </c>
    </row>
    <row r="14" spans="1:3">
      <c r="A14" s="2">
        <v>191</v>
      </c>
      <c r="B14" s="2" t="s">
        <v>279</v>
      </c>
      <c r="C14" s="2">
        <v>9.6999999999999993</v>
      </c>
    </row>
    <row r="15" spans="1:3">
      <c r="A15" s="2">
        <v>3</v>
      </c>
      <c r="B15" s="2" t="s">
        <v>243</v>
      </c>
      <c r="C15" s="2">
        <v>9.5</v>
      </c>
    </row>
    <row r="16" spans="1:3">
      <c r="A16" s="2">
        <v>123</v>
      </c>
      <c r="B16" s="2" t="s">
        <v>180</v>
      </c>
      <c r="C16" s="2">
        <v>9.5</v>
      </c>
    </row>
    <row r="17" spans="1:3">
      <c r="A17" s="2">
        <v>39</v>
      </c>
      <c r="B17" s="2" t="s">
        <v>54</v>
      </c>
      <c r="C17" s="2">
        <v>9.4</v>
      </c>
    </row>
    <row r="18" spans="1:3">
      <c r="A18" s="2">
        <v>183</v>
      </c>
      <c r="B18" s="2" t="s">
        <v>264</v>
      </c>
      <c r="C18" s="2">
        <v>9.3000000000000007</v>
      </c>
    </row>
    <row r="19" spans="1:3">
      <c r="A19" s="2">
        <v>86</v>
      </c>
      <c r="B19" s="2" t="s">
        <v>144</v>
      </c>
      <c r="C19" s="2">
        <v>9.1999999999999993</v>
      </c>
    </row>
    <row r="20" spans="1:3">
      <c r="A20" s="2">
        <v>40</v>
      </c>
      <c r="B20" s="2" t="s">
        <v>56</v>
      </c>
      <c r="C20" s="2">
        <v>9.1</v>
      </c>
    </row>
    <row r="21" spans="1:3">
      <c r="A21" s="2">
        <v>117</v>
      </c>
      <c r="B21" s="2" t="s">
        <v>174</v>
      </c>
      <c r="C21" s="2">
        <v>9</v>
      </c>
    </row>
    <row r="22" spans="1:3">
      <c r="A22" s="2">
        <v>189</v>
      </c>
      <c r="B22" s="2" t="s">
        <v>270</v>
      </c>
      <c r="C22" s="2">
        <v>8.9</v>
      </c>
    </row>
    <row r="23" spans="1:3">
      <c r="A23" s="2">
        <v>15</v>
      </c>
      <c r="B23" s="2" t="s">
        <v>281</v>
      </c>
      <c r="C23" s="2">
        <v>8.8000000000000007</v>
      </c>
    </row>
    <row r="24" spans="1:3">
      <c r="A24" s="2">
        <v>47</v>
      </c>
      <c r="B24" s="2" t="s">
        <v>280</v>
      </c>
      <c r="C24" s="2">
        <v>8.8000000000000007</v>
      </c>
    </row>
    <row r="25" spans="1:3">
      <c r="A25" s="2">
        <v>87</v>
      </c>
      <c r="B25" s="2" t="s">
        <v>145</v>
      </c>
      <c r="C25" s="2">
        <v>8.8000000000000007</v>
      </c>
    </row>
    <row r="26" spans="1:3">
      <c r="A26" s="2">
        <v>184</v>
      </c>
      <c r="B26" s="2" t="s">
        <v>265</v>
      </c>
      <c r="C26" s="2">
        <v>8.6</v>
      </c>
    </row>
    <row r="27" spans="1:3">
      <c r="A27" s="2">
        <v>181</v>
      </c>
      <c r="B27" s="2" t="s">
        <v>262</v>
      </c>
      <c r="C27" s="2">
        <v>8.4</v>
      </c>
    </row>
    <row r="28" spans="1:3">
      <c r="A28" s="2">
        <v>98</v>
      </c>
      <c r="B28" s="2" t="s">
        <v>155</v>
      </c>
      <c r="C28" s="2">
        <v>8</v>
      </c>
    </row>
    <row r="29" spans="1:3">
      <c r="A29" s="2">
        <v>111</v>
      </c>
      <c r="B29" s="2" t="s">
        <v>282</v>
      </c>
      <c r="C29" s="2">
        <v>7.8</v>
      </c>
    </row>
    <row r="30" spans="1:3">
      <c r="A30" s="2">
        <v>146</v>
      </c>
      <c r="B30" s="2" t="s">
        <v>203</v>
      </c>
      <c r="C30" s="2">
        <v>7.8</v>
      </c>
    </row>
    <row r="31" spans="1:3">
      <c r="A31" s="2">
        <v>80</v>
      </c>
      <c r="B31" s="2" t="s">
        <v>137</v>
      </c>
      <c r="C31" s="2">
        <v>7.6</v>
      </c>
    </row>
    <row r="32" spans="1:3">
      <c r="A32" s="2">
        <v>130</v>
      </c>
      <c r="B32" s="2" t="s">
        <v>283</v>
      </c>
      <c r="C32" s="2">
        <v>7.4</v>
      </c>
    </row>
    <row r="33" spans="1:3">
      <c r="A33" s="2">
        <v>56</v>
      </c>
      <c r="B33" s="2" t="s">
        <v>284</v>
      </c>
      <c r="C33" s="2">
        <v>7.3</v>
      </c>
    </row>
    <row r="34" spans="1:3">
      <c r="A34" s="2">
        <v>176</v>
      </c>
      <c r="B34" s="2" t="s">
        <v>237</v>
      </c>
      <c r="C34" s="2">
        <v>7.3</v>
      </c>
    </row>
    <row r="35" spans="1:3">
      <c r="A35" s="2">
        <v>85</v>
      </c>
      <c r="B35" s="2" t="s">
        <v>143</v>
      </c>
      <c r="C35" s="2">
        <v>7</v>
      </c>
    </row>
    <row r="36" spans="1:3">
      <c r="A36" s="2">
        <v>118</v>
      </c>
      <c r="B36" s="2" t="s">
        <v>175</v>
      </c>
      <c r="C36" s="2">
        <v>7</v>
      </c>
    </row>
    <row r="37" spans="1:3">
      <c r="A37" s="2">
        <v>156</v>
      </c>
      <c r="B37" s="2" t="s">
        <v>285</v>
      </c>
      <c r="C37" s="2">
        <v>6.8</v>
      </c>
    </row>
    <row r="38" spans="1:3">
      <c r="A38" s="2">
        <v>106</v>
      </c>
      <c r="B38" s="2" t="s">
        <v>163</v>
      </c>
      <c r="C38" s="2">
        <v>6.5</v>
      </c>
    </row>
    <row r="39" spans="1:3">
      <c r="A39" s="2">
        <v>132</v>
      </c>
      <c r="B39" s="2" t="s">
        <v>189</v>
      </c>
      <c r="C39" s="2">
        <v>6.1</v>
      </c>
    </row>
    <row r="40" spans="1:3">
      <c r="A40" s="2">
        <v>170</v>
      </c>
      <c r="B40" s="2" t="s">
        <v>231</v>
      </c>
      <c r="C40" s="2">
        <v>6</v>
      </c>
    </row>
    <row r="41" spans="1:3">
      <c r="A41" s="2">
        <v>65</v>
      </c>
      <c r="B41" s="2" t="s">
        <v>107</v>
      </c>
      <c r="C41" s="2">
        <v>5.5</v>
      </c>
    </row>
    <row r="42" spans="1:3">
      <c r="A42" s="2">
        <v>7</v>
      </c>
      <c r="B42" s="2" t="s">
        <v>247</v>
      </c>
      <c r="C42" s="2">
        <v>5.4</v>
      </c>
    </row>
    <row r="43" spans="1:3">
      <c r="A43" s="2">
        <v>109</v>
      </c>
      <c r="B43" s="2" t="s">
        <v>166</v>
      </c>
      <c r="C43" s="2">
        <v>5.4</v>
      </c>
    </row>
    <row r="44" spans="1:3">
      <c r="A44" s="2">
        <v>155</v>
      </c>
      <c r="B44" s="2" t="s">
        <v>213</v>
      </c>
      <c r="C44" s="2">
        <v>5.0999999999999996</v>
      </c>
    </row>
    <row r="45" spans="1:3">
      <c r="A45" s="2">
        <v>97</v>
      </c>
      <c r="B45" s="2" t="s">
        <v>154</v>
      </c>
      <c r="C45" s="2">
        <v>5</v>
      </c>
    </row>
    <row r="46" spans="1:3">
      <c r="A46" s="2">
        <v>64</v>
      </c>
      <c r="B46" s="2" t="s">
        <v>105</v>
      </c>
      <c r="C46" s="2">
        <v>4.4000000000000004</v>
      </c>
    </row>
    <row r="47" spans="1:3">
      <c r="A47" s="2">
        <v>69</v>
      </c>
      <c r="B47" s="2" t="s">
        <v>115</v>
      </c>
      <c r="C47" s="2">
        <v>4.2</v>
      </c>
    </row>
    <row r="48" spans="1:3">
      <c r="A48" s="2">
        <v>45</v>
      </c>
      <c r="B48" s="2" t="s">
        <v>66</v>
      </c>
      <c r="C48" s="2">
        <v>3.8</v>
      </c>
    </row>
    <row r="49" spans="1:3">
      <c r="A49" s="2">
        <v>133</v>
      </c>
      <c r="B49" s="2" t="s">
        <v>190</v>
      </c>
      <c r="C49" s="2">
        <v>3.8</v>
      </c>
    </row>
    <row r="50" spans="1:3">
      <c r="A50" s="2">
        <v>24</v>
      </c>
      <c r="B50" s="2" t="s">
        <v>26</v>
      </c>
      <c r="C50" s="2">
        <v>3.4</v>
      </c>
    </row>
    <row r="51" spans="1:3">
      <c r="A51" s="2">
        <v>33</v>
      </c>
      <c r="B51" s="2" t="s">
        <v>286</v>
      </c>
      <c r="C51" s="2">
        <v>3.4</v>
      </c>
    </row>
    <row r="52" spans="1:3">
      <c r="A52" s="2">
        <v>99</v>
      </c>
      <c r="B52" s="2" t="s">
        <v>156</v>
      </c>
      <c r="C52" s="2">
        <v>3.3</v>
      </c>
    </row>
    <row r="53" spans="1:3">
      <c r="A53" s="2">
        <v>169</v>
      </c>
      <c r="B53" s="2" t="s">
        <v>230</v>
      </c>
      <c r="C53" s="2">
        <v>3.2</v>
      </c>
    </row>
    <row r="54" spans="1:3">
      <c r="A54" s="2">
        <v>23</v>
      </c>
      <c r="B54" s="2" t="s">
        <v>287</v>
      </c>
      <c r="C54" s="2">
        <v>2.8</v>
      </c>
    </row>
    <row r="55" spans="1:3">
      <c r="A55" s="2">
        <v>165</v>
      </c>
      <c r="B55" s="2" t="s">
        <v>226</v>
      </c>
      <c r="C55" s="2">
        <v>2.8</v>
      </c>
    </row>
    <row r="56" spans="1:3">
      <c r="A56" s="2">
        <v>49</v>
      </c>
      <c r="B56" s="2" t="s">
        <v>75</v>
      </c>
      <c r="C56" s="2">
        <v>2.7</v>
      </c>
    </row>
    <row r="57" spans="1:3">
      <c r="A57" s="2">
        <v>71</v>
      </c>
      <c r="B57" s="2" t="s">
        <v>119</v>
      </c>
      <c r="C57" s="2">
        <v>2.7</v>
      </c>
    </row>
    <row r="58" spans="1:3">
      <c r="A58" s="2">
        <v>152</v>
      </c>
      <c r="B58" s="2" t="s">
        <v>209</v>
      </c>
      <c r="C58" s="2">
        <v>2.7</v>
      </c>
    </row>
    <row r="59" spans="1:3">
      <c r="A59" s="2">
        <v>142</v>
      </c>
      <c r="B59" s="2" t="s">
        <v>288</v>
      </c>
      <c r="C59" s="2">
        <v>2.6</v>
      </c>
    </row>
    <row r="60" spans="1:3">
      <c r="A60" s="2">
        <v>13</v>
      </c>
      <c r="B60" s="2" t="s">
        <v>4</v>
      </c>
      <c r="C60" s="2">
        <v>2.5</v>
      </c>
    </row>
    <row r="61" spans="1:3">
      <c r="A61" s="2">
        <v>92</v>
      </c>
      <c r="B61" s="2" t="s">
        <v>150</v>
      </c>
      <c r="C61" s="2">
        <v>2.5</v>
      </c>
    </row>
    <row r="62" spans="1:3">
      <c r="A62" s="2">
        <v>140</v>
      </c>
      <c r="B62" s="2" t="s">
        <v>197</v>
      </c>
      <c r="C62" s="2">
        <v>2.5</v>
      </c>
    </row>
    <row r="63" spans="1:3">
      <c r="A63" s="2">
        <v>200</v>
      </c>
      <c r="B63" s="2" t="s">
        <v>289</v>
      </c>
      <c r="C63" s="2">
        <v>2.5</v>
      </c>
    </row>
    <row r="64" spans="1:3">
      <c r="A64" s="2">
        <v>18</v>
      </c>
      <c r="B64" s="2" t="s">
        <v>14</v>
      </c>
      <c r="C64" s="2">
        <v>2.2999999999999998</v>
      </c>
    </row>
    <row r="65" spans="1:3">
      <c r="A65" s="2">
        <v>103</v>
      </c>
      <c r="B65" s="2" t="s">
        <v>160</v>
      </c>
      <c r="C65" s="2">
        <v>2.2999999999999998</v>
      </c>
    </row>
    <row r="66" spans="1:3">
      <c r="A66" s="2">
        <v>164</v>
      </c>
      <c r="B66" s="2" t="s">
        <v>225</v>
      </c>
      <c r="C66" s="2">
        <v>2.2999999999999998</v>
      </c>
    </row>
    <row r="67" spans="1:3">
      <c r="A67" s="2">
        <v>168</v>
      </c>
      <c r="B67" s="2" t="s">
        <v>290</v>
      </c>
      <c r="C67" s="2">
        <v>2.2999999999999998</v>
      </c>
    </row>
    <row r="68" spans="1:3">
      <c r="A68" s="2">
        <v>22</v>
      </c>
      <c r="B68" s="2" t="s">
        <v>22</v>
      </c>
      <c r="C68" s="2">
        <v>2.2000000000000002</v>
      </c>
    </row>
    <row r="69" spans="1:3">
      <c r="A69" s="2">
        <v>161</v>
      </c>
      <c r="B69" s="2" t="s">
        <v>220</v>
      </c>
      <c r="C69" s="2">
        <v>2.2000000000000002</v>
      </c>
    </row>
    <row r="70" spans="1:3">
      <c r="A70" s="2">
        <v>95</v>
      </c>
      <c r="B70" s="2" t="s">
        <v>152</v>
      </c>
      <c r="C70" s="2">
        <v>2.1</v>
      </c>
    </row>
    <row r="71" spans="1:3">
      <c r="A71" s="2">
        <v>158</v>
      </c>
      <c r="B71" s="2" t="s">
        <v>217</v>
      </c>
      <c r="C71" s="2">
        <v>2.1</v>
      </c>
    </row>
    <row r="72" spans="1:3">
      <c r="A72" s="2">
        <v>124</v>
      </c>
      <c r="B72" s="2" t="s">
        <v>293</v>
      </c>
      <c r="C72" s="2">
        <v>2</v>
      </c>
    </row>
    <row r="73" spans="1:3">
      <c r="A73" s="2">
        <v>128</v>
      </c>
      <c r="B73" s="2" t="s">
        <v>185</v>
      </c>
      <c r="C73" s="2">
        <v>2</v>
      </c>
    </row>
    <row r="74" spans="1:3">
      <c r="A74" s="2">
        <v>129</v>
      </c>
      <c r="B74" s="2" t="s">
        <v>186</v>
      </c>
      <c r="C74" s="2">
        <v>2</v>
      </c>
    </row>
    <row r="75" spans="1:3">
      <c r="A75" s="2">
        <v>159</v>
      </c>
      <c r="B75" s="2" t="s">
        <v>218</v>
      </c>
      <c r="C75" s="2">
        <v>2</v>
      </c>
    </row>
    <row r="76" spans="1:3">
      <c r="A76" s="2">
        <v>163</v>
      </c>
      <c r="B76" s="2" t="s">
        <v>291</v>
      </c>
      <c r="C76" s="2">
        <v>2</v>
      </c>
    </row>
    <row r="77" spans="1:3">
      <c r="A77" s="2">
        <v>204</v>
      </c>
      <c r="B77" s="2" t="s">
        <v>292</v>
      </c>
      <c r="C77" s="2">
        <v>2</v>
      </c>
    </row>
    <row r="78" spans="1:3">
      <c r="A78" s="2">
        <v>1</v>
      </c>
      <c r="B78" s="2" t="s">
        <v>242</v>
      </c>
      <c r="C78" s="2">
        <v>1.9</v>
      </c>
    </row>
    <row r="79" spans="1:3">
      <c r="A79" s="2">
        <v>16</v>
      </c>
      <c r="B79" s="2" t="s">
        <v>10</v>
      </c>
      <c r="C79" s="2">
        <v>1.9</v>
      </c>
    </row>
    <row r="80" spans="1:3">
      <c r="A80" s="2">
        <v>193</v>
      </c>
      <c r="B80" s="2" t="s">
        <v>294</v>
      </c>
      <c r="C80" s="2">
        <v>1.9</v>
      </c>
    </row>
    <row r="81" spans="1:3">
      <c r="A81" s="2">
        <v>174</v>
      </c>
      <c r="B81" s="2" t="s">
        <v>295</v>
      </c>
      <c r="C81" s="2">
        <v>1.8</v>
      </c>
    </row>
    <row r="82" spans="1:3">
      <c r="A82" s="2">
        <v>175</v>
      </c>
      <c r="B82" s="2" t="s">
        <v>296</v>
      </c>
      <c r="C82" s="2">
        <v>1.8</v>
      </c>
    </row>
    <row r="83" spans="1:3">
      <c r="A83" s="2">
        <v>4</v>
      </c>
      <c r="B83" s="2" t="s">
        <v>244</v>
      </c>
      <c r="C83" s="2">
        <v>1.7</v>
      </c>
    </row>
    <row r="84" spans="1:3">
      <c r="A84" s="2">
        <v>11</v>
      </c>
      <c r="B84" s="2" t="s">
        <v>249</v>
      </c>
      <c r="C84" s="2">
        <v>1.7</v>
      </c>
    </row>
    <row r="85" spans="1:3">
      <c r="A85" s="2">
        <v>42</v>
      </c>
      <c r="B85" s="2" t="s">
        <v>60</v>
      </c>
      <c r="C85" s="2">
        <v>1.7</v>
      </c>
    </row>
    <row r="86" spans="1:3">
      <c r="A86" s="2">
        <v>62</v>
      </c>
      <c r="B86" s="2" t="s">
        <v>101</v>
      </c>
      <c r="C86" s="2">
        <v>1.7</v>
      </c>
    </row>
    <row r="87" spans="1:3">
      <c r="A87" s="2">
        <v>94</v>
      </c>
      <c r="B87" s="2" t="s">
        <v>298</v>
      </c>
      <c r="C87" s="2">
        <v>1.7</v>
      </c>
    </row>
    <row r="88" spans="1:3">
      <c r="A88" s="2">
        <v>96</v>
      </c>
      <c r="B88" s="2" t="s">
        <v>297</v>
      </c>
      <c r="C88" s="2">
        <v>1.7</v>
      </c>
    </row>
    <row r="89" spans="1:3">
      <c r="A89" s="2">
        <v>63</v>
      </c>
      <c r="B89" s="2" t="s">
        <v>300</v>
      </c>
      <c r="C89" s="2">
        <v>1.6</v>
      </c>
    </row>
    <row r="90" spans="1:3">
      <c r="A90" s="2">
        <v>81</v>
      </c>
      <c r="B90" s="2" t="s">
        <v>139</v>
      </c>
      <c r="C90" s="2">
        <v>1.6</v>
      </c>
    </row>
    <row r="91" spans="1:3">
      <c r="A91" s="2">
        <v>88</v>
      </c>
      <c r="B91" s="2" t="s">
        <v>146</v>
      </c>
      <c r="C91" s="2">
        <v>1.6</v>
      </c>
    </row>
    <row r="92" spans="1:3">
      <c r="A92" s="2">
        <v>125</v>
      </c>
      <c r="B92" s="2" t="s">
        <v>299</v>
      </c>
      <c r="C92" s="2">
        <v>1.6</v>
      </c>
    </row>
    <row r="93" spans="1:3">
      <c r="A93" s="2">
        <v>54</v>
      </c>
      <c r="B93" s="2" t="s">
        <v>301</v>
      </c>
      <c r="C93" s="2">
        <v>1.5</v>
      </c>
    </row>
    <row r="94" spans="1:3">
      <c r="A94" s="2">
        <v>100</v>
      </c>
      <c r="B94" s="2" t="s">
        <v>303</v>
      </c>
      <c r="C94" s="2">
        <v>1.5</v>
      </c>
    </row>
    <row r="95" spans="1:3">
      <c r="A95" s="2">
        <v>116</v>
      </c>
      <c r="B95" s="2" t="s">
        <v>302</v>
      </c>
      <c r="C95" s="2">
        <v>1.5</v>
      </c>
    </row>
    <row r="96" spans="1:3">
      <c r="A96" s="2">
        <v>134</v>
      </c>
      <c r="B96" s="2" t="s">
        <v>191</v>
      </c>
      <c r="C96" s="2">
        <v>1.5</v>
      </c>
    </row>
    <row r="97" spans="1:3">
      <c r="A97" s="2">
        <v>12</v>
      </c>
      <c r="B97" s="2" t="s">
        <v>250</v>
      </c>
      <c r="C97" s="2">
        <v>1.4</v>
      </c>
    </row>
    <row r="98" spans="1:3">
      <c r="A98" s="2">
        <v>21</v>
      </c>
      <c r="B98" s="2" t="s">
        <v>20</v>
      </c>
      <c r="C98" s="2">
        <v>1.4</v>
      </c>
    </row>
    <row r="99" spans="1:3">
      <c r="A99" s="2">
        <v>27</v>
      </c>
      <c r="B99" s="2" t="s">
        <v>32</v>
      </c>
      <c r="C99" s="2">
        <v>1.4</v>
      </c>
    </row>
    <row r="100" spans="1:3">
      <c r="A100" s="2">
        <v>50</v>
      </c>
      <c r="B100" s="2" t="s">
        <v>77</v>
      </c>
      <c r="C100" s="2">
        <v>1.4</v>
      </c>
    </row>
    <row r="101" spans="1:3">
      <c r="A101" s="2">
        <v>122</v>
      </c>
      <c r="B101" s="2" t="s">
        <v>179</v>
      </c>
      <c r="C101" s="2">
        <v>1.4</v>
      </c>
    </row>
    <row r="102" spans="1:3">
      <c r="A102" s="2">
        <v>143</v>
      </c>
      <c r="B102" s="2" t="s">
        <v>200</v>
      </c>
      <c r="C102" s="2">
        <v>1.4</v>
      </c>
    </row>
    <row r="103" spans="1:3">
      <c r="A103" s="2">
        <v>149</v>
      </c>
      <c r="B103" s="2" t="s">
        <v>206</v>
      </c>
      <c r="C103" s="2">
        <v>1.4</v>
      </c>
    </row>
    <row r="104" spans="1:3">
      <c r="A104" s="2">
        <v>77</v>
      </c>
      <c r="B104" s="2" t="s">
        <v>131</v>
      </c>
      <c r="C104" s="2">
        <v>1.3</v>
      </c>
    </row>
    <row r="105" spans="1:3">
      <c r="A105" s="2">
        <v>79</v>
      </c>
      <c r="B105" s="2" t="s">
        <v>135</v>
      </c>
      <c r="C105" s="2">
        <v>1.3</v>
      </c>
    </row>
    <row r="106" spans="1:3">
      <c r="A106" s="2">
        <v>91</v>
      </c>
      <c r="B106" s="2" t="s">
        <v>304</v>
      </c>
      <c r="C106" s="2">
        <v>1.3</v>
      </c>
    </row>
    <row r="107" spans="1:3">
      <c r="A107" s="2">
        <v>119</v>
      </c>
      <c r="B107" s="2" t="s">
        <v>176</v>
      </c>
      <c r="C107" s="2">
        <v>1.3</v>
      </c>
    </row>
    <row r="108" spans="1:3">
      <c r="A108" s="2">
        <v>166</v>
      </c>
      <c r="B108" s="2" t="s">
        <v>227</v>
      </c>
      <c r="C108" s="2">
        <v>1.3</v>
      </c>
    </row>
    <row r="109" spans="1:3">
      <c r="A109" s="2">
        <v>199</v>
      </c>
      <c r="B109" s="2" t="s">
        <v>258</v>
      </c>
      <c r="C109" s="2">
        <v>1.3</v>
      </c>
    </row>
    <row r="110" spans="1:3">
      <c r="A110" s="2">
        <v>10</v>
      </c>
      <c r="B110" s="2" t="s">
        <v>224</v>
      </c>
      <c r="C110" s="2">
        <v>1.2</v>
      </c>
    </row>
    <row r="111" spans="1:3">
      <c r="A111" s="2">
        <v>19</v>
      </c>
      <c r="B111" s="2" t="s">
        <v>16</v>
      </c>
      <c r="C111" s="2">
        <v>1.2</v>
      </c>
    </row>
    <row r="112" spans="1:3">
      <c r="A112" s="2">
        <v>66</v>
      </c>
      <c r="B112" s="2" t="s">
        <v>109</v>
      </c>
      <c r="C112" s="2">
        <v>1.2</v>
      </c>
    </row>
    <row r="113" spans="1:3">
      <c r="A113" s="2">
        <v>115</v>
      </c>
      <c r="B113" s="2" t="s">
        <v>172</v>
      </c>
      <c r="C113" s="2">
        <v>1.2</v>
      </c>
    </row>
    <row r="114" spans="1:3">
      <c r="A114" s="2">
        <v>148</v>
      </c>
      <c r="B114" s="2" t="s">
        <v>305</v>
      </c>
      <c r="C114" s="2">
        <v>1.2</v>
      </c>
    </row>
    <row r="115" spans="1:3">
      <c r="A115" s="2">
        <v>9</v>
      </c>
      <c r="B115" s="2" t="s">
        <v>248</v>
      </c>
      <c r="C115" s="2">
        <v>1.1000000000000001</v>
      </c>
    </row>
    <row r="116" spans="1:3">
      <c r="A116" s="2">
        <v>25</v>
      </c>
      <c r="B116" s="2" t="s">
        <v>28</v>
      </c>
      <c r="C116" s="2">
        <v>1.1000000000000001</v>
      </c>
    </row>
    <row r="117" spans="1:3">
      <c r="A117" s="2">
        <v>26</v>
      </c>
      <c r="B117" s="2" t="s">
        <v>30</v>
      </c>
      <c r="C117" s="2">
        <v>1.1000000000000001</v>
      </c>
    </row>
    <row r="118" spans="1:3">
      <c r="A118" s="2">
        <v>30</v>
      </c>
      <c r="B118" s="2" t="s">
        <v>38</v>
      </c>
      <c r="C118" s="2">
        <v>1.1000000000000001</v>
      </c>
    </row>
    <row r="119" spans="1:3">
      <c r="A119" s="2">
        <v>31</v>
      </c>
      <c r="B119" s="2" t="s">
        <v>40</v>
      </c>
      <c r="C119" s="2">
        <v>1.1000000000000001</v>
      </c>
    </row>
    <row r="120" spans="1:3">
      <c r="A120" s="2">
        <v>44</v>
      </c>
      <c r="B120" s="2" t="s">
        <v>64</v>
      </c>
      <c r="C120" s="2">
        <v>1.1000000000000001</v>
      </c>
    </row>
    <row r="121" spans="1:3">
      <c r="A121" s="2">
        <v>90</v>
      </c>
      <c r="B121" s="2" t="s">
        <v>148</v>
      </c>
      <c r="C121" s="2">
        <v>1.1000000000000001</v>
      </c>
    </row>
    <row r="122" spans="1:3">
      <c r="A122" s="2">
        <v>102</v>
      </c>
      <c r="B122" s="2" t="s">
        <v>159</v>
      </c>
      <c r="C122" s="2">
        <v>1.1000000000000001</v>
      </c>
    </row>
    <row r="123" spans="1:3">
      <c r="A123" s="2">
        <v>108</v>
      </c>
      <c r="B123" s="2" t="s">
        <v>165</v>
      </c>
      <c r="C123" s="2">
        <v>1.1000000000000001</v>
      </c>
    </row>
    <row r="124" spans="1:3">
      <c r="A124" s="2">
        <v>110</v>
      </c>
      <c r="B124" s="2" t="s">
        <v>167</v>
      </c>
      <c r="C124" s="2">
        <v>1.1000000000000001</v>
      </c>
    </row>
    <row r="125" spans="1:3">
      <c r="A125" s="2">
        <v>147</v>
      </c>
      <c r="B125" s="2" t="s">
        <v>204</v>
      </c>
      <c r="C125" s="2">
        <v>1.1000000000000001</v>
      </c>
    </row>
    <row r="126" spans="1:3">
      <c r="A126" s="2">
        <v>150</v>
      </c>
      <c r="B126" s="2" t="s">
        <v>207</v>
      </c>
      <c r="C126" s="2">
        <v>1.1000000000000001</v>
      </c>
    </row>
    <row r="127" spans="1:3">
      <c r="A127" s="2">
        <v>180</v>
      </c>
      <c r="B127" s="2" t="s">
        <v>241</v>
      </c>
      <c r="C127" s="2">
        <v>1.1000000000000001</v>
      </c>
    </row>
    <row r="128" spans="1:3">
      <c r="A128" s="2">
        <v>186</v>
      </c>
      <c r="B128" s="2" t="s">
        <v>267</v>
      </c>
      <c r="C128" s="2">
        <v>1.1000000000000001</v>
      </c>
    </row>
    <row r="129" spans="1:3">
      <c r="A129" s="2">
        <v>8</v>
      </c>
      <c r="B129" s="2" t="s">
        <v>222</v>
      </c>
      <c r="C129" s="2">
        <v>1</v>
      </c>
    </row>
    <row r="130" spans="1:3">
      <c r="A130" s="2">
        <v>14</v>
      </c>
      <c r="B130" s="2" t="s">
        <v>6</v>
      </c>
      <c r="C130" s="2">
        <v>1</v>
      </c>
    </row>
    <row r="131" spans="1:3">
      <c r="A131" s="2">
        <v>29</v>
      </c>
      <c r="B131" s="2" t="s">
        <v>36</v>
      </c>
      <c r="C131" s="2">
        <v>1</v>
      </c>
    </row>
    <row r="132" spans="1:3">
      <c r="A132" s="2">
        <v>34</v>
      </c>
      <c r="B132" s="2" t="s">
        <v>46</v>
      </c>
      <c r="C132" s="2">
        <v>1</v>
      </c>
    </row>
    <row r="133" spans="1:3">
      <c r="A133" s="2">
        <v>35</v>
      </c>
      <c r="B133" s="2" t="s">
        <v>48</v>
      </c>
      <c r="C133" s="2">
        <v>1</v>
      </c>
    </row>
    <row r="134" spans="1:3">
      <c r="A134" s="2">
        <v>38</v>
      </c>
      <c r="B134" s="2" t="s">
        <v>308</v>
      </c>
      <c r="C134" s="2">
        <v>1</v>
      </c>
    </row>
    <row r="135" spans="1:3">
      <c r="A135" s="2">
        <v>43</v>
      </c>
      <c r="B135" s="2" t="s">
        <v>62</v>
      </c>
      <c r="C135" s="2">
        <v>1</v>
      </c>
    </row>
    <row r="136" spans="1:3">
      <c r="A136" s="2">
        <v>48</v>
      </c>
      <c r="B136" s="2" t="s">
        <v>73</v>
      </c>
      <c r="C136" s="2">
        <v>1</v>
      </c>
    </row>
    <row r="137" spans="1:3">
      <c r="A137" s="2">
        <v>57</v>
      </c>
      <c r="B137" s="2" t="s">
        <v>91</v>
      </c>
      <c r="C137" s="2">
        <v>1</v>
      </c>
    </row>
    <row r="138" spans="1:3">
      <c r="A138" s="2">
        <v>58</v>
      </c>
      <c r="B138" s="2" t="s">
        <v>93</v>
      </c>
      <c r="C138" s="2">
        <v>1</v>
      </c>
    </row>
    <row r="139" spans="1:3">
      <c r="A139" s="2">
        <v>59</v>
      </c>
      <c r="B139" s="2" t="s">
        <v>95</v>
      </c>
      <c r="C139" s="2">
        <v>1</v>
      </c>
    </row>
    <row r="140" spans="1:3">
      <c r="A140" s="2">
        <v>60</v>
      </c>
      <c r="B140" s="2" t="s">
        <v>97</v>
      </c>
      <c r="C140" s="2">
        <v>1</v>
      </c>
    </row>
    <row r="141" spans="1:3">
      <c r="A141" s="2">
        <v>61</v>
      </c>
      <c r="B141" s="2" t="s">
        <v>307</v>
      </c>
      <c r="C141" s="2">
        <v>1</v>
      </c>
    </row>
    <row r="142" spans="1:3">
      <c r="A142" s="2">
        <v>73</v>
      </c>
      <c r="B142" s="2" t="s">
        <v>123</v>
      </c>
      <c r="C142" s="2">
        <v>1</v>
      </c>
    </row>
    <row r="143" spans="1:3">
      <c r="A143" s="2">
        <v>76</v>
      </c>
      <c r="B143" s="2" t="s">
        <v>129</v>
      </c>
      <c r="C143" s="2">
        <v>1</v>
      </c>
    </row>
    <row r="144" spans="1:3">
      <c r="A144" s="2">
        <v>82</v>
      </c>
      <c r="B144" s="2" t="s">
        <v>140</v>
      </c>
      <c r="C144" s="2">
        <v>1</v>
      </c>
    </row>
    <row r="145" spans="1:3">
      <c r="A145" s="2">
        <v>84</v>
      </c>
      <c r="B145" s="2" t="s">
        <v>142</v>
      </c>
      <c r="C145" s="2">
        <v>1</v>
      </c>
    </row>
    <row r="146" spans="1:3">
      <c r="A146" s="2">
        <v>89</v>
      </c>
      <c r="B146" s="2" t="s">
        <v>147</v>
      </c>
      <c r="C146" s="2">
        <v>1</v>
      </c>
    </row>
    <row r="147" spans="1:3">
      <c r="A147" s="2">
        <v>104</v>
      </c>
      <c r="B147" s="2" t="s">
        <v>161</v>
      </c>
      <c r="C147" s="2">
        <v>1</v>
      </c>
    </row>
    <row r="148" spans="1:3">
      <c r="A148" s="2">
        <v>107</v>
      </c>
      <c r="B148" s="2" t="s">
        <v>164</v>
      </c>
      <c r="C148" s="2">
        <v>1</v>
      </c>
    </row>
    <row r="149" spans="1:3">
      <c r="A149" s="2">
        <v>112</v>
      </c>
      <c r="B149" s="2" t="s">
        <v>169</v>
      </c>
      <c r="C149" s="2">
        <v>1</v>
      </c>
    </row>
    <row r="150" spans="1:3">
      <c r="A150" s="2">
        <v>113</v>
      </c>
      <c r="B150" s="2" t="s">
        <v>170</v>
      </c>
      <c r="C150" s="2">
        <v>1</v>
      </c>
    </row>
    <row r="151" spans="1:3">
      <c r="A151" s="2">
        <v>114</v>
      </c>
      <c r="B151" s="2" t="s">
        <v>171</v>
      </c>
      <c r="C151" s="2">
        <v>1</v>
      </c>
    </row>
    <row r="152" spans="1:3">
      <c r="A152" s="2">
        <v>121</v>
      </c>
      <c r="B152" s="2" t="s">
        <v>178</v>
      </c>
      <c r="C152" s="2">
        <v>1</v>
      </c>
    </row>
    <row r="153" spans="1:3">
      <c r="A153" s="2">
        <v>127</v>
      </c>
      <c r="B153" s="2" t="s">
        <v>184</v>
      </c>
      <c r="C153" s="2">
        <v>1</v>
      </c>
    </row>
    <row r="154" spans="1:3">
      <c r="A154" s="2">
        <v>145</v>
      </c>
      <c r="B154" s="2" t="s">
        <v>202</v>
      </c>
      <c r="C154" s="2">
        <v>1</v>
      </c>
    </row>
    <row r="155" spans="1:3">
      <c r="A155" s="2">
        <v>151</v>
      </c>
      <c r="B155" s="2" t="s">
        <v>208</v>
      </c>
      <c r="C155" s="2">
        <v>1</v>
      </c>
    </row>
    <row r="156" spans="1:3">
      <c r="A156" s="2">
        <v>160</v>
      </c>
      <c r="B156" s="2" t="s">
        <v>310</v>
      </c>
      <c r="C156" s="2">
        <v>1</v>
      </c>
    </row>
    <row r="157" spans="1:3">
      <c r="A157" s="2">
        <v>167</v>
      </c>
      <c r="B157" s="2" t="s">
        <v>228</v>
      </c>
      <c r="C157" s="2">
        <v>1</v>
      </c>
    </row>
    <row r="158" spans="1:3">
      <c r="A158" s="2">
        <v>173</v>
      </c>
      <c r="B158" s="2" t="s">
        <v>234</v>
      </c>
      <c r="C158" s="2">
        <v>1</v>
      </c>
    </row>
    <row r="159" spans="1:3">
      <c r="A159" s="2">
        <v>187</v>
      </c>
      <c r="B159" s="2" t="s">
        <v>268</v>
      </c>
      <c r="C159" s="2">
        <v>1</v>
      </c>
    </row>
    <row r="160" spans="1:3">
      <c r="A160" s="2">
        <v>188</v>
      </c>
      <c r="B160" s="2" t="s">
        <v>269</v>
      </c>
      <c r="C160" s="2">
        <v>1</v>
      </c>
    </row>
    <row r="161" spans="1:3">
      <c r="A161" s="2">
        <v>192</v>
      </c>
      <c r="B161" s="2" t="s">
        <v>311</v>
      </c>
      <c r="C161" s="2">
        <v>1</v>
      </c>
    </row>
    <row r="162" spans="1:3">
      <c r="A162" s="2">
        <v>194</v>
      </c>
      <c r="B162" s="2" t="s">
        <v>306</v>
      </c>
      <c r="C162" s="2">
        <v>1</v>
      </c>
    </row>
    <row r="163" spans="1:3">
      <c r="A163" s="2">
        <v>195</v>
      </c>
      <c r="B163" s="2" t="s">
        <v>254</v>
      </c>
      <c r="C163" s="2">
        <v>1</v>
      </c>
    </row>
    <row r="164" spans="1:3">
      <c r="A164" s="2">
        <v>196</v>
      </c>
      <c r="B164" s="2" t="s">
        <v>255</v>
      </c>
      <c r="C164" s="2">
        <v>1</v>
      </c>
    </row>
    <row r="165" spans="1:3">
      <c r="A165" s="2">
        <v>198</v>
      </c>
      <c r="B165" s="2" t="s">
        <v>309</v>
      </c>
      <c r="C165" s="2">
        <v>1</v>
      </c>
    </row>
    <row r="166" spans="1:3">
      <c r="A166" s="2">
        <v>201</v>
      </c>
      <c r="B166" s="2" t="s">
        <v>260</v>
      </c>
      <c r="C166" s="2">
        <v>1</v>
      </c>
    </row>
    <row r="167" spans="1:3">
      <c r="A167" s="2">
        <v>203</v>
      </c>
      <c r="B167" s="2" t="s">
        <v>273</v>
      </c>
      <c r="C167" s="2">
        <v>1</v>
      </c>
    </row>
    <row r="168" spans="1:3">
      <c r="A168" s="2">
        <v>37</v>
      </c>
      <c r="B168" s="2" t="s">
        <v>52</v>
      </c>
      <c r="C168" s="2">
        <v>0.9</v>
      </c>
    </row>
    <row r="169" spans="1:3">
      <c r="A169" s="2">
        <v>41</v>
      </c>
      <c r="B169" s="2" t="s">
        <v>58</v>
      </c>
      <c r="C169" s="2">
        <v>0.9</v>
      </c>
    </row>
    <row r="170" spans="1:3">
      <c r="A170" s="2">
        <v>53</v>
      </c>
      <c r="B170" s="2" t="s">
        <v>83</v>
      </c>
      <c r="C170" s="2">
        <v>0.9</v>
      </c>
    </row>
    <row r="171" spans="1:3">
      <c r="A171" s="2">
        <v>67</v>
      </c>
      <c r="B171" s="2" t="s">
        <v>111</v>
      </c>
      <c r="C171" s="2">
        <v>0.9</v>
      </c>
    </row>
    <row r="172" spans="1:3">
      <c r="A172" s="2">
        <v>68</v>
      </c>
      <c r="B172" s="2" t="s">
        <v>113</v>
      </c>
      <c r="C172" s="2">
        <v>0.9</v>
      </c>
    </row>
    <row r="173" spans="1:3">
      <c r="A173" s="2">
        <v>70</v>
      </c>
      <c r="B173" s="2" t="s">
        <v>313</v>
      </c>
      <c r="C173" s="2">
        <v>0.9</v>
      </c>
    </row>
    <row r="174" spans="1:3">
      <c r="A174" s="2">
        <v>74</v>
      </c>
      <c r="B174" s="2" t="s">
        <v>125</v>
      </c>
      <c r="C174" s="2">
        <v>0.9</v>
      </c>
    </row>
    <row r="175" spans="1:3">
      <c r="A175" s="2">
        <v>75</v>
      </c>
      <c r="B175" s="2" t="s">
        <v>127</v>
      </c>
      <c r="C175" s="2">
        <v>0.9</v>
      </c>
    </row>
    <row r="176" spans="1:3">
      <c r="A176" s="2">
        <v>83</v>
      </c>
      <c r="B176" s="2" t="s">
        <v>141</v>
      </c>
      <c r="C176" s="2">
        <v>0.9</v>
      </c>
    </row>
    <row r="177" spans="1:3">
      <c r="A177" s="2">
        <v>120</v>
      </c>
      <c r="B177" s="2" t="s">
        <v>177</v>
      </c>
      <c r="C177" s="2">
        <v>0.9</v>
      </c>
    </row>
    <row r="178" spans="1:3">
      <c r="A178" s="2">
        <v>126</v>
      </c>
      <c r="B178" s="2" t="s">
        <v>183</v>
      </c>
      <c r="C178" s="2">
        <v>0.9</v>
      </c>
    </row>
    <row r="179" spans="1:3">
      <c r="A179" s="2">
        <v>135</v>
      </c>
      <c r="B179" s="2" t="s">
        <v>192</v>
      </c>
      <c r="C179" s="2">
        <v>0.9</v>
      </c>
    </row>
    <row r="180" spans="1:3">
      <c r="A180" s="2">
        <v>138</v>
      </c>
      <c r="B180" s="2" t="s">
        <v>195</v>
      </c>
      <c r="C180" s="2">
        <v>0.9</v>
      </c>
    </row>
    <row r="181" spans="1:3">
      <c r="A181" s="2">
        <v>141</v>
      </c>
      <c r="B181" s="2" t="s">
        <v>198</v>
      </c>
      <c r="C181" s="2">
        <v>0.9</v>
      </c>
    </row>
    <row r="182" spans="1:3">
      <c r="A182" s="2">
        <v>153</v>
      </c>
      <c r="B182" s="2" t="s">
        <v>210</v>
      </c>
      <c r="C182" s="2">
        <v>0.9</v>
      </c>
    </row>
    <row r="183" spans="1:3">
      <c r="A183" s="2">
        <v>154</v>
      </c>
      <c r="B183" s="2" t="s">
        <v>211</v>
      </c>
      <c r="C183" s="2">
        <v>0.9</v>
      </c>
    </row>
    <row r="184" spans="1:3">
      <c r="A184" s="2">
        <v>178</v>
      </c>
      <c r="B184" s="2" t="s">
        <v>239</v>
      </c>
      <c r="C184" s="2">
        <v>0.9</v>
      </c>
    </row>
    <row r="185" spans="1:3">
      <c r="A185" s="2">
        <v>179</v>
      </c>
      <c r="B185" s="2" t="s">
        <v>312</v>
      </c>
      <c r="C185" s="2">
        <v>0.9</v>
      </c>
    </row>
    <row r="186" spans="1:3">
      <c r="A186" s="2">
        <v>182</v>
      </c>
      <c r="B186" s="2" t="s">
        <v>263</v>
      </c>
      <c r="C186" s="2">
        <v>0.9</v>
      </c>
    </row>
    <row r="187" spans="1:3">
      <c r="A187" s="2">
        <v>197</v>
      </c>
      <c r="B187" s="2" t="s">
        <v>256</v>
      </c>
      <c r="C187" s="2">
        <v>0.9</v>
      </c>
    </row>
    <row r="188" spans="1:3">
      <c r="A188" s="2">
        <v>202</v>
      </c>
      <c r="B188" s="2" t="s">
        <v>261</v>
      </c>
      <c r="C188" s="2">
        <v>0.9</v>
      </c>
    </row>
    <row r="189" spans="1:3">
      <c r="A189" s="2">
        <v>36</v>
      </c>
      <c r="B189" s="2" t="s">
        <v>50</v>
      </c>
      <c r="C189" s="2">
        <v>0.8</v>
      </c>
    </row>
    <row r="190" spans="1:3">
      <c r="A190" s="2">
        <v>55</v>
      </c>
      <c r="B190" s="2" t="s">
        <v>87</v>
      </c>
      <c r="C190" s="2">
        <v>0.8</v>
      </c>
    </row>
    <row r="191" spans="1:3">
      <c r="A191" s="2">
        <v>78</v>
      </c>
      <c r="B191" s="2" t="s">
        <v>133</v>
      </c>
      <c r="C191" s="2">
        <v>0.8</v>
      </c>
    </row>
    <row r="192" spans="1:3">
      <c r="A192" s="2">
        <v>101</v>
      </c>
      <c r="B192" s="2" t="s">
        <v>158</v>
      </c>
      <c r="C192" s="2">
        <v>0.8</v>
      </c>
    </row>
    <row r="193" spans="1:3">
      <c r="A193" s="2">
        <v>105</v>
      </c>
      <c r="B193" s="2" t="s">
        <v>162</v>
      </c>
      <c r="C193" s="2">
        <v>0.8</v>
      </c>
    </row>
    <row r="194" spans="1:3">
      <c r="A194" s="2">
        <v>171</v>
      </c>
      <c r="B194" s="2" t="s">
        <v>232</v>
      </c>
      <c r="C194" s="2">
        <v>0.8</v>
      </c>
    </row>
    <row r="195" spans="1:3">
      <c r="A195" s="2">
        <v>172</v>
      </c>
      <c r="B195" s="2" t="s">
        <v>233</v>
      </c>
      <c r="C195" s="2">
        <v>0.8</v>
      </c>
    </row>
    <row r="196" spans="1:3">
      <c r="A196" s="2">
        <v>177</v>
      </c>
      <c r="B196" s="2" t="s">
        <v>238</v>
      </c>
      <c r="C196" s="2">
        <v>0.8</v>
      </c>
    </row>
    <row r="197" spans="1:3">
      <c r="A197" s="2">
        <v>32</v>
      </c>
      <c r="B197" s="2" t="s">
        <v>42</v>
      </c>
      <c r="C197" s="2">
        <v>0.7</v>
      </c>
    </row>
    <row r="198" spans="1:3">
      <c r="A198" s="2">
        <v>51</v>
      </c>
      <c r="B198" s="2" t="s">
        <v>79</v>
      </c>
      <c r="C198" s="2">
        <v>0.7</v>
      </c>
    </row>
    <row r="199" spans="1:3">
      <c r="A199" s="2">
        <v>52</v>
      </c>
      <c r="B199" s="2" t="s">
        <v>81</v>
      </c>
      <c r="C199" s="2">
        <v>0.7</v>
      </c>
    </row>
    <row r="200" spans="1:3">
      <c r="A200" s="2">
        <v>131</v>
      </c>
      <c r="B200" s="2" t="s">
        <v>188</v>
      </c>
      <c r="C200" s="2">
        <v>0.7</v>
      </c>
    </row>
    <row r="201" spans="1:3">
      <c r="A201" s="2">
        <v>139</v>
      </c>
      <c r="B201" s="2" t="s">
        <v>196</v>
      </c>
      <c r="C201" s="2">
        <v>0.7</v>
      </c>
    </row>
    <row r="202" spans="1:3">
      <c r="A202" s="2">
        <v>144</v>
      </c>
      <c r="B202" s="2" t="s">
        <v>201</v>
      </c>
      <c r="C202" s="2">
        <v>0.7</v>
      </c>
    </row>
    <row r="203" spans="1:3">
      <c r="A203" s="2">
        <v>157</v>
      </c>
      <c r="B203" s="2" t="s">
        <v>314</v>
      </c>
      <c r="C203" s="2">
        <v>0.7</v>
      </c>
    </row>
    <row r="204" spans="1:3">
      <c r="A204" s="2">
        <v>20</v>
      </c>
      <c r="B204" s="2" t="s">
        <v>18</v>
      </c>
      <c r="C204" s="2">
        <v>0.6</v>
      </c>
    </row>
    <row r="205" spans="1:3">
      <c r="A205" s="2">
        <v>205</v>
      </c>
      <c r="B205" s="2" t="s">
        <v>275</v>
      </c>
      <c r="C205" s="2">
        <v>0.6</v>
      </c>
    </row>
  </sheetData>
  <sortState ref="A1:C205">
    <sortCondition descending="1" ref="C1:C205"/>
  </sortState>
  <phoneticPr fontId="4"/>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sheetPr codeName="Sheet4"/>
  <dimension ref="A1:D208"/>
  <sheetViews>
    <sheetView tabSelected="1" workbookViewId="0">
      <selection activeCell="B3" sqref="B3"/>
    </sheetView>
  </sheetViews>
  <sheetFormatPr defaultRowHeight="11.25"/>
  <cols>
    <col min="1" max="1" width="22.875" style="11" bestFit="1" customWidth="1"/>
    <col min="2" max="2" width="29.125" style="11" bestFit="1" customWidth="1"/>
    <col min="3" max="3" width="7.25" style="11" bestFit="1" customWidth="1"/>
    <col min="4" max="4" width="191.875" style="11" bestFit="1" customWidth="1"/>
    <col min="5" max="16384" width="9" style="11"/>
  </cols>
  <sheetData>
    <row r="1" spans="1:4">
      <c r="A1" s="11" t="s">
        <v>458</v>
      </c>
      <c r="B1" s="11" t="s">
        <v>459</v>
      </c>
    </row>
    <row r="2" spans="1:4" ht="22.5">
      <c r="A2" s="11" t="s">
        <v>242</v>
      </c>
      <c r="B2" s="11">
        <v>8</v>
      </c>
      <c r="C2" s="11" t="s">
        <v>460</v>
      </c>
      <c r="D2" s="12" t="s">
        <v>461</v>
      </c>
    </row>
    <row r="3" spans="1:4" ht="33.75">
      <c r="A3" s="11" t="s">
        <v>212</v>
      </c>
      <c r="B3" s="11">
        <v>10</v>
      </c>
      <c r="C3" s="11" t="s">
        <v>460</v>
      </c>
      <c r="D3" s="13" t="s">
        <v>462</v>
      </c>
    </row>
    <row r="4" spans="1:4" ht="22.5">
      <c r="A4" s="11" t="s">
        <v>243</v>
      </c>
      <c r="B4" s="11">
        <v>8</v>
      </c>
      <c r="C4" s="11" t="s">
        <v>460</v>
      </c>
      <c r="D4" s="13" t="s">
        <v>463</v>
      </c>
    </row>
    <row r="5" spans="1:4" ht="33.75">
      <c r="A5" s="11" t="s">
        <v>244</v>
      </c>
      <c r="B5" s="11">
        <v>9</v>
      </c>
      <c r="C5" s="11" t="s">
        <v>460</v>
      </c>
      <c r="D5" s="13" t="s">
        <v>464</v>
      </c>
    </row>
    <row r="6" spans="1:4" ht="33.75">
      <c r="A6" s="11" t="s">
        <v>245</v>
      </c>
      <c r="B6" s="11">
        <v>8</v>
      </c>
      <c r="C6" s="11" t="s">
        <v>460</v>
      </c>
      <c r="D6" s="13" t="s">
        <v>465</v>
      </c>
    </row>
    <row r="7" spans="1:4" ht="33.75">
      <c r="A7" s="11" t="s">
        <v>246</v>
      </c>
      <c r="B7" s="11">
        <v>13</v>
      </c>
      <c r="C7" s="11" t="s">
        <v>460</v>
      </c>
      <c r="D7" s="13" t="s">
        <v>466</v>
      </c>
    </row>
    <row r="8" spans="1:4" ht="22.5">
      <c r="A8" s="11" t="s">
        <v>247</v>
      </c>
      <c r="B8" s="11">
        <v>3</v>
      </c>
      <c r="C8" s="11" t="s">
        <v>460</v>
      </c>
      <c r="D8" s="12" t="s">
        <v>467</v>
      </c>
    </row>
    <row r="9" spans="1:4" ht="22.5">
      <c r="A9" s="11" t="s">
        <v>222</v>
      </c>
      <c r="B9" s="11">
        <v>8</v>
      </c>
      <c r="C9" s="11" t="s">
        <v>460</v>
      </c>
      <c r="D9" s="13" t="s">
        <v>468</v>
      </c>
    </row>
    <row r="10" spans="1:4" ht="22.5">
      <c r="A10" s="11" t="s">
        <v>248</v>
      </c>
      <c r="B10" s="11">
        <v>8</v>
      </c>
      <c r="C10" s="11" t="s">
        <v>460</v>
      </c>
      <c r="D10" s="13" t="s">
        <v>469</v>
      </c>
    </row>
    <row r="11" spans="1:4" ht="22.5">
      <c r="A11" s="11" t="s">
        <v>224</v>
      </c>
      <c r="B11" s="11">
        <v>9</v>
      </c>
      <c r="C11" s="11" t="s">
        <v>460</v>
      </c>
      <c r="D11" s="13" t="s">
        <v>470</v>
      </c>
    </row>
    <row r="12" spans="1:4" ht="22.5">
      <c r="A12" s="11" t="s">
        <v>249</v>
      </c>
      <c r="B12" s="11">
        <v>8</v>
      </c>
      <c r="C12" s="11" t="s">
        <v>460</v>
      </c>
      <c r="D12" s="13" t="s">
        <v>471</v>
      </c>
    </row>
    <row r="13" spans="1:4" ht="33.75">
      <c r="A13" s="11" t="s">
        <v>250</v>
      </c>
      <c r="B13" s="11">
        <v>7</v>
      </c>
      <c r="C13" s="11" t="s">
        <v>460</v>
      </c>
      <c r="D13" s="13" t="s">
        <v>472</v>
      </c>
    </row>
    <row r="14" spans="1:4" ht="56.25">
      <c r="A14" s="11" t="s">
        <v>4</v>
      </c>
      <c r="B14" s="11" t="s">
        <v>473</v>
      </c>
      <c r="C14" s="11" t="s">
        <v>474</v>
      </c>
      <c r="D14" s="12" t="s">
        <v>475</v>
      </c>
    </row>
    <row r="15" spans="1:4" ht="45">
      <c r="A15" s="11" t="s">
        <v>6</v>
      </c>
      <c r="B15" s="11" t="s">
        <v>476</v>
      </c>
      <c r="C15" s="11" t="s">
        <v>474</v>
      </c>
      <c r="D15" s="13" t="s">
        <v>477</v>
      </c>
    </row>
    <row r="16" spans="1:4" ht="33.75">
      <c r="A16" s="11" t="s">
        <v>281</v>
      </c>
      <c r="B16" s="11" t="s">
        <v>478</v>
      </c>
      <c r="C16" s="11" t="s">
        <v>474</v>
      </c>
      <c r="D16" s="13" t="s">
        <v>479</v>
      </c>
    </row>
    <row r="17" spans="1:4" ht="33.75">
      <c r="A17" s="11" t="s">
        <v>10</v>
      </c>
      <c r="B17" s="11" t="s">
        <v>476</v>
      </c>
      <c r="C17" s="11" t="s">
        <v>474</v>
      </c>
      <c r="D17" s="12" t="s">
        <v>480</v>
      </c>
    </row>
    <row r="18" spans="1:4" ht="56.25">
      <c r="A18" s="11" t="s">
        <v>278</v>
      </c>
      <c r="B18" s="11" t="s">
        <v>481</v>
      </c>
      <c r="C18" s="11" t="s">
        <v>474</v>
      </c>
      <c r="D18" s="13" t="s">
        <v>482</v>
      </c>
    </row>
    <row r="19" spans="1:4">
      <c r="A19" s="11" t="s">
        <v>14</v>
      </c>
      <c r="B19" s="11" t="s">
        <v>483</v>
      </c>
      <c r="C19" s="11" t="s">
        <v>474</v>
      </c>
      <c r="D19" s="11" t="s">
        <v>484</v>
      </c>
    </row>
    <row r="20" spans="1:4">
      <c r="A20" s="11" t="s">
        <v>16</v>
      </c>
      <c r="B20" s="11" t="s">
        <v>476</v>
      </c>
      <c r="C20" s="11" t="s">
        <v>474</v>
      </c>
      <c r="D20" s="11" t="s">
        <v>485</v>
      </c>
    </row>
    <row r="21" spans="1:4">
      <c r="A21" s="11" t="s">
        <v>18</v>
      </c>
      <c r="B21" s="11" t="s">
        <v>486</v>
      </c>
      <c r="C21" s="11" t="s">
        <v>474</v>
      </c>
      <c r="D21" s="11" t="s">
        <v>487</v>
      </c>
    </row>
    <row r="22" spans="1:4" ht="22.5">
      <c r="A22" s="11" t="s">
        <v>20</v>
      </c>
      <c r="B22" s="11" t="s">
        <v>476</v>
      </c>
      <c r="C22" s="11" t="s">
        <v>474</v>
      </c>
      <c r="D22" s="13" t="s">
        <v>488</v>
      </c>
    </row>
    <row r="23" spans="1:4" ht="22.5">
      <c r="A23" s="11" t="s">
        <v>22</v>
      </c>
      <c r="B23" s="11" t="s">
        <v>476</v>
      </c>
      <c r="C23" s="11" t="s">
        <v>474</v>
      </c>
      <c r="D23" s="12" t="s">
        <v>489</v>
      </c>
    </row>
    <row r="24" spans="1:4" ht="22.5">
      <c r="A24" s="11" t="s">
        <v>287</v>
      </c>
      <c r="B24" s="11" t="s">
        <v>476</v>
      </c>
      <c r="C24" s="11" t="s">
        <v>474</v>
      </c>
      <c r="D24" s="13" t="s">
        <v>490</v>
      </c>
    </row>
    <row r="25" spans="1:4" ht="33.75">
      <c r="A25" s="11" t="s">
        <v>26</v>
      </c>
      <c r="B25" s="11" t="s">
        <v>483</v>
      </c>
      <c r="C25" s="11" t="s">
        <v>474</v>
      </c>
      <c r="D25" s="13" t="s">
        <v>491</v>
      </c>
    </row>
    <row r="26" spans="1:4">
      <c r="A26" s="11" t="s">
        <v>28</v>
      </c>
      <c r="B26" s="11" t="s">
        <v>492</v>
      </c>
      <c r="C26" s="11" t="s">
        <v>474</v>
      </c>
      <c r="D26" s="11" t="s">
        <v>493</v>
      </c>
    </row>
    <row r="27" spans="1:4">
      <c r="A27" s="11" t="s">
        <v>30</v>
      </c>
      <c r="B27" s="11" t="s">
        <v>483</v>
      </c>
      <c r="C27" s="11" t="s">
        <v>474</v>
      </c>
      <c r="D27" s="11" t="s">
        <v>494</v>
      </c>
    </row>
    <row r="28" spans="1:4" ht="22.5">
      <c r="A28" s="11" t="s">
        <v>32</v>
      </c>
      <c r="B28" s="11" t="s">
        <v>473</v>
      </c>
      <c r="C28" s="11" t="s">
        <v>474</v>
      </c>
      <c r="D28" s="13" t="s">
        <v>495</v>
      </c>
    </row>
    <row r="29" spans="1:4" ht="22.5">
      <c r="A29" s="11" t="s">
        <v>276</v>
      </c>
      <c r="B29" s="11" t="s">
        <v>496</v>
      </c>
      <c r="C29" s="11" t="s">
        <v>474</v>
      </c>
      <c r="D29" s="13" t="s">
        <v>497</v>
      </c>
    </row>
    <row r="30" spans="1:4">
      <c r="A30" s="11" t="s">
        <v>36</v>
      </c>
      <c r="B30" s="11" t="s">
        <v>483</v>
      </c>
      <c r="C30" s="11" t="s">
        <v>474</v>
      </c>
      <c r="D30" s="11" t="s">
        <v>498</v>
      </c>
    </row>
    <row r="31" spans="1:4">
      <c r="A31" s="11" t="s">
        <v>38</v>
      </c>
      <c r="B31" s="11" t="s">
        <v>473</v>
      </c>
      <c r="C31" s="11" t="s">
        <v>474</v>
      </c>
      <c r="D31" s="11" t="s">
        <v>499</v>
      </c>
    </row>
    <row r="32" spans="1:4">
      <c r="A32" s="11" t="s">
        <v>40</v>
      </c>
      <c r="B32" s="11" t="s">
        <v>476</v>
      </c>
      <c r="C32" s="11" t="s">
        <v>474</v>
      </c>
      <c r="D32" s="11" t="s">
        <v>500</v>
      </c>
    </row>
    <row r="33" spans="1:4">
      <c r="A33" s="11" t="s">
        <v>42</v>
      </c>
      <c r="B33" s="11" t="s">
        <v>476</v>
      </c>
      <c r="C33" s="11" t="s">
        <v>474</v>
      </c>
      <c r="D33" s="11" t="s">
        <v>501</v>
      </c>
    </row>
    <row r="34" spans="1:4" ht="22.5">
      <c r="A34" s="11" t="s">
        <v>286</v>
      </c>
      <c r="B34" s="11" t="s">
        <v>473</v>
      </c>
      <c r="C34" s="11" t="s">
        <v>474</v>
      </c>
      <c r="D34" s="12" t="s">
        <v>502</v>
      </c>
    </row>
    <row r="35" spans="1:4">
      <c r="A35" s="11" t="s">
        <v>46</v>
      </c>
      <c r="B35" s="11" t="s">
        <v>473</v>
      </c>
      <c r="C35" s="11" t="s">
        <v>474</v>
      </c>
      <c r="D35" s="11" t="s">
        <v>503</v>
      </c>
    </row>
    <row r="36" spans="1:4" ht="22.5">
      <c r="A36" s="11" t="s">
        <v>48</v>
      </c>
      <c r="B36" s="11" t="s">
        <v>473</v>
      </c>
      <c r="C36" s="11" t="s">
        <v>474</v>
      </c>
      <c r="D36" s="13" t="s">
        <v>504</v>
      </c>
    </row>
    <row r="37" spans="1:4">
      <c r="A37" s="11" t="s">
        <v>50</v>
      </c>
      <c r="B37" s="11" t="s">
        <v>473</v>
      </c>
      <c r="C37" s="11" t="s">
        <v>474</v>
      </c>
      <c r="D37" s="11" t="s">
        <v>505</v>
      </c>
    </row>
    <row r="38" spans="1:4" ht="22.5">
      <c r="A38" s="11" t="s">
        <v>52</v>
      </c>
      <c r="B38" s="11" t="s">
        <v>478</v>
      </c>
      <c r="C38" s="11" t="s">
        <v>474</v>
      </c>
      <c r="D38" s="12" t="s">
        <v>506</v>
      </c>
    </row>
    <row r="39" spans="1:4">
      <c r="A39" s="11" t="s">
        <v>308</v>
      </c>
      <c r="B39" s="11" t="s">
        <v>473</v>
      </c>
      <c r="C39" s="11" t="s">
        <v>474</v>
      </c>
      <c r="D39" s="11" t="s">
        <v>507</v>
      </c>
    </row>
    <row r="40" spans="1:4" ht="22.5">
      <c r="A40" s="11" t="s">
        <v>54</v>
      </c>
      <c r="B40" s="11" t="s">
        <v>483</v>
      </c>
      <c r="C40" s="11" t="s">
        <v>474</v>
      </c>
      <c r="D40" s="13" t="s">
        <v>508</v>
      </c>
    </row>
    <row r="41" spans="1:4" ht="22.5">
      <c r="A41" s="11" t="s">
        <v>56</v>
      </c>
      <c r="B41" s="11" t="s">
        <v>473</v>
      </c>
      <c r="C41" s="11" t="s">
        <v>474</v>
      </c>
      <c r="D41" s="12" t="s">
        <v>509</v>
      </c>
    </row>
    <row r="42" spans="1:4" ht="22.5">
      <c r="A42" s="11" t="s">
        <v>58</v>
      </c>
      <c r="B42" s="11" t="s">
        <v>510</v>
      </c>
      <c r="C42" s="11" t="s">
        <v>474</v>
      </c>
      <c r="D42" s="13" t="s">
        <v>511</v>
      </c>
    </row>
    <row r="43" spans="1:4">
      <c r="A43" s="11" t="s">
        <v>60</v>
      </c>
      <c r="B43" s="11" t="s">
        <v>473</v>
      </c>
      <c r="C43" s="11" t="s">
        <v>474</v>
      </c>
      <c r="D43" s="11" t="s">
        <v>512</v>
      </c>
    </row>
    <row r="44" spans="1:4">
      <c r="A44" s="11" t="s">
        <v>62</v>
      </c>
      <c r="B44" s="11" t="s">
        <v>483</v>
      </c>
      <c r="C44" s="11" t="s">
        <v>474</v>
      </c>
      <c r="D44" s="11" t="s">
        <v>513</v>
      </c>
    </row>
    <row r="45" spans="1:4">
      <c r="A45" s="11" t="s">
        <v>64</v>
      </c>
      <c r="B45" s="11" t="s">
        <v>473</v>
      </c>
      <c r="C45" s="11" t="s">
        <v>474</v>
      </c>
      <c r="D45" s="11" t="s">
        <v>514</v>
      </c>
    </row>
    <row r="46" spans="1:4" ht="22.5">
      <c r="A46" s="11" t="s">
        <v>66</v>
      </c>
      <c r="B46" s="11" t="s">
        <v>486</v>
      </c>
      <c r="C46" s="11" t="s">
        <v>474</v>
      </c>
      <c r="D46" s="12" t="s">
        <v>515</v>
      </c>
    </row>
    <row r="47" spans="1:4" ht="22.5">
      <c r="A47" s="11" t="s">
        <v>68</v>
      </c>
      <c r="B47" s="11" t="s">
        <v>476</v>
      </c>
      <c r="C47" s="11" t="s">
        <v>474</v>
      </c>
      <c r="D47" s="12" t="s">
        <v>516</v>
      </c>
    </row>
    <row r="48" spans="1:4" ht="22.5">
      <c r="A48" s="11" t="s">
        <v>280</v>
      </c>
      <c r="B48" s="11" t="s">
        <v>517</v>
      </c>
      <c r="C48" s="11" t="s">
        <v>474</v>
      </c>
      <c r="D48" s="12" t="s">
        <v>518</v>
      </c>
    </row>
    <row r="49" spans="1:4">
      <c r="A49" s="11" t="s">
        <v>73</v>
      </c>
      <c r="B49" s="11" t="s">
        <v>510</v>
      </c>
      <c r="C49" s="11" t="s">
        <v>474</v>
      </c>
      <c r="D49" s="11" t="s">
        <v>519</v>
      </c>
    </row>
    <row r="50" spans="1:4" ht="22.5">
      <c r="A50" s="11" t="s">
        <v>75</v>
      </c>
      <c r="B50" s="11" t="s">
        <v>520</v>
      </c>
      <c r="C50" s="11" t="s">
        <v>521</v>
      </c>
      <c r="D50" s="12" t="s">
        <v>522</v>
      </c>
    </row>
    <row r="51" spans="1:4" ht="22.5">
      <c r="A51" s="11" t="s">
        <v>77</v>
      </c>
      <c r="B51" s="11" t="s">
        <v>523</v>
      </c>
      <c r="C51" s="11" t="s">
        <v>521</v>
      </c>
      <c r="D51" s="13" t="s">
        <v>524</v>
      </c>
    </row>
    <row r="52" spans="1:4">
      <c r="A52" s="11" t="s">
        <v>79</v>
      </c>
      <c r="B52" s="11" t="s">
        <v>523</v>
      </c>
      <c r="C52" s="11" t="s">
        <v>521</v>
      </c>
      <c r="D52" s="11" t="s">
        <v>525</v>
      </c>
    </row>
    <row r="53" spans="1:4">
      <c r="A53" s="11" t="s">
        <v>81</v>
      </c>
      <c r="B53" s="11" t="s">
        <v>526</v>
      </c>
      <c r="C53" s="11" t="s">
        <v>521</v>
      </c>
      <c r="D53" s="11" t="s">
        <v>527</v>
      </c>
    </row>
    <row r="54" spans="1:4">
      <c r="A54" s="11" t="s">
        <v>83</v>
      </c>
      <c r="B54" s="11" t="s">
        <v>523</v>
      </c>
      <c r="C54" s="11" t="s">
        <v>521</v>
      </c>
      <c r="D54" s="11" t="s">
        <v>528</v>
      </c>
    </row>
    <row r="55" spans="1:4" ht="22.5">
      <c r="A55" s="11" t="s">
        <v>301</v>
      </c>
      <c r="B55" s="11" t="s">
        <v>526</v>
      </c>
      <c r="C55" s="11" t="s">
        <v>521</v>
      </c>
      <c r="D55" s="13" t="s">
        <v>529</v>
      </c>
    </row>
    <row r="56" spans="1:4">
      <c r="A56" s="11" t="s">
        <v>87</v>
      </c>
      <c r="B56" s="11" t="s">
        <v>523</v>
      </c>
      <c r="C56" s="11" t="s">
        <v>521</v>
      </c>
      <c r="D56" s="11" t="s">
        <v>530</v>
      </c>
    </row>
    <row r="57" spans="1:4" ht="22.5">
      <c r="A57" s="11" t="s">
        <v>284</v>
      </c>
      <c r="B57" s="11" t="s">
        <v>520</v>
      </c>
      <c r="C57" s="11" t="s">
        <v>521</v>
      </c>
      <c r="D57" s="13" t="s">
        <v>531</v>
      </c>
    </row>
    <row r="58" spans="1:4" ht="22.5">
      <c r="A58" s="11" t="s">
        <v>91</v>
      </c>
      <c r="B58" s="11" t="s">
        <v>523</v>
      </c>
      <c r="C58" s="11" t="s">
        <v>521</v>
      </c>
      <c r="D58" s="12" t="s">
        <v>532</v>
      </c>
    </row>
    <row r="59" spans="1:4">
      <c r="A59" s="11" t="s">
        <v>93</v>
      </c>
      <c r="B59" s="11" t="s">
        <v>533</v>
      </c>
      <c r="C59" s="11" t="s">
        <v>521</v>
      </c>
      <c r="D59" s="11" t="s">
        <v>534</v>
      </c>
    </row>
    <row r="60" spans="1:4">
      <c r="A60" s="11" t="s">
        <v>95</v>
      </c>
      <c r="B60" s="11" t="s">
        <v>523</v>
      </c>
      <c r="C60" s="11" t="s">
        <v>521</v>
      </c>
      <c r="D60" s="11" t="s">
        <v>535</v>
      </c>
    </row>
    <row r="61" spans="1:4" ht="22.5">
      <c r="A61" s="11" t="s">
        <v>97</v>
      </c>
      <c r="B61" s="11" t="s">
        <v>526</v>
      </c>
      <c r="C61" s="11" t="s">
        <v>521</v>
      </c>
      <c r="D61" s="13" t="s">
        <v>536</v>
      </c>
    </row>
    <row r="62" spans="1:4">
      <c r="A62" s="11" t="s">
        <v>307</v>
      </c>
      <c r="B62" s="11" t="s">
        <v>533</v>
      </c>
      <c r="C62" s="11" t="s">
        <v>521</v>
      </c>
      <c r="D62" s="11" t="s">
        <v>537</v>
      </c>
    </row>
    <row r="63" spans="1:4" ht="22.5">
      <c r="A63" s="11" t="s">
        <v>101</v>
      </c>
      <c r="B63" s="11" t="s">
        <v>523</v>
      </c>
      <c r="C63" s="11" t="s">
        <v>521</v>
      </c>
      <c r="D63" s="12" t="s">
        <v>538</v>
      </c>
    </row>
    <row r="64" spans="1:4">
      <c r="A64" s="11" t="s">
        <v>300</v>
      </c>
      <c r="B64" s="11" t="s">
        <v>523</v>
      </c>
      <c r="C64" s="11" t="s">
        <v>521</v>
      </c>
      <c r="D64" s="11" t="s">
        <v>539</v>
      </c>
    </row>
    <row r="65" spans="1:4">
      <c r="A65" s="11" t="s">
        <v>105</v>
      </c>
      <c r="B65" s="11" t="s">
        <v>540</v>
      </c>
      <c r="C65" s="11" t="s">
        <v>521</v>
      </c>
      <c r="D65" s="14" t="s">
        <v>541</v>
      </c>
    </row>
    <row r="66" spans="1:4" ht="22.5">
      <c r="A66" s="11" t="s">
        <v>107</v>
      </c>
      <c r="B66" s="11" t="s">
        <v>523</v>
      </c>
      <c r="C66" s="11" t="s">
        <v>521</v>
      </c>
      <c r="D66" s="13" t="s">
        <v>542</v>
      </c>
    </row>
    <row r="67" spans="1:4" ht="22.5">
      <c r="A67" s="11" t="s">
        <v>109</v>
      </c>
      <c r="B67" s="11" t="s">
        <v>523</v>
      </c>
      <c r="C67" s="11" t="s">
        <v>521</v>
      </c>
      <c r="D67" s="12" t="s">
        <v>543</v>
      </c>
    </row>
    <row r="68" spans="1:4">
      <c r="A68" s="11" t="s">
        <v>111</v>
      </c>
      <c r="B68" s="11" t="s">
        <v>533</v>
      </c>
      <c r="C68" s="11" t="s">
        <v>521</v>
      </c>
      <c r="D68" s="11" t="s">
        <v>544</v>
      </c>
    </row>
    <row r="69" spans="1:4">
      <c r="A69" s="11" t="s">
        <v>113</v>
      </c>
      <c r="B69" s="11" t="s">
        <v>523</v>
      </c>
      <c r="C69" s="11" t="s">
        <v>521</v>
      </c>
      <c r="D69" s="11" t="s">
        <v>545</v>
      </c>
    </row>
    <row r="70" spans="1:4" ht="33.75">
      <c r="A70" s="11" t="s">
        <v>115</v>
      </c>
      <c r="B70" s="11" t="s">
        <v>546</v>
      </c>
      <c r="C70" s="11" t="s">
        <v>521</v>
      </c>
      <c r="D70" s="13" t="s">
        <v>547</v>
      </c>
    </row>
    <row r="71" spans="1:4">
      <c r="A71" s="11" t="s">
        <v>313</v>
      </c>
      <c r="B71" s="11" t="s">
        <v>548</v>
      </c>
      <c r="C71" s="11" t="s">
        <v>521</v>
      </c>
      <c r="D71" s="11" t="s">
        <v>549</v>
      </c>
    </row>
    <row r="72" spans="1:4" ht="33.75">
      <c r="A72" s="11" t="s">
        <v>119</v>
      </c>
      <c r="B72" s="11" t="s">
        <v>523</v>
      </c>
      <c r="C72" s="11" t="s">
        <v>521</v>
      </c>
      <c r="D72" s="13" t="s">
        <v>550</v>
      </c>
    </row>
    <row r="73" spans="1:4" ht="33.75">
      <c r="A73" s="11" t="s">
        <v>121</v>
      </c>
      <c r="B73" s="11" t="s">
        <v>540</v>
      </c>
      <c r="C73" s="11" t="s">
        <v>521</v>
      </c>
      <c r="D73" s="13" t="s">
        <v>551</v>
      </c>
    </row>
    <row r="74" spans="1:4" ht="22.5">
      <c r="A74" s="11" t="s">
        <v>123</v>
      </c>
      <c r="B74" s="11" t="s">
        <v>552</v>
      </c>
      <c r="C74" s="11" t="s">
        <v>521</v>
      </c>
      <c r="D74" s="12" t="s">
        <v>553</v>
      </c>
    </row>
    <row r="75" spans="1:4" ht="33.75">
      <c r="A75" s="11" t="s">
        <v>125</v>
      </c>
      <c r="B75" s="11" t="s">
        <v>546</v>
      </c>
      <c r="C75" s="11" t="s">
        <v>521</v>
      </c>
      <c r="D75" s="12" t="s">
        <v>554</v>
      </c>
    </row>
    <row r="76" spans="1:4">
      <c r="A76" s="11" t="s">
        <v>127</v>
      </c>
      <c r="B76" s="11" t="s">
        <v>540</v>
      </c>
      <c r="C76" s="11" t="s">
        <v>521</v>
      </c>
      <c r="D76" s="11" t="s">
        <v>555</v>
      </c>
    </row>
    <row r="77" spans="1:4">
      <c r="A77" s="11" t="s">
        <v>129</v>
      </c>
      <c r="B77" s="11" t="s">
        <v>526</v>
      </c>
      <c r="C77" s="11" t="s">
        <v>521</v>
      </c>
      <c r="D77" s="11" t="s">
        <v>556</v>
      </c>
    </row>
    <row r="78" spans="1:4" ht="22.5">
      <c r="A78" s="11" t="s">
        <v>131</v>
      </c>
      <c r="B78" s="11" t="s">
        <v>526</v>
      </c>
      <c r="C78" s="11" t="s">
        <v>521</v>
      </c>
      <c r="D78" s="12" t="s">
        <v>557</v>
      </c>
    </row>
    <row r="79" spans="1:4">
      <c r="A79" s="11" t="s">
        <v>133</v>
      </c>
      <c r="B79" s="11" t="s">
        <v>546</v>
      </c>
      <c r="C79" s="11" t="s">
        <v>521</v>
      </c>
      <c r="D79" s="11" t="s">
        <v>558</v>
      </c>
    </row>
    <row r="80" spans="1:4">
      <c r="A80" s="11" t="s">
        <v>135</v>
      </c>
      <c r="B80" s="11" t="s">
        <v>526</v>
      </c>
      <c r="C80" s="11" t="s">
        <v>521</v>
      </c>
      <c r="D80" s="11" t="s">
        <v>559</v>
      </c>
    </row>
    <row r="81" spans="1:4" ht="33.75">
      <c r="A81" s="11" t="s">
        <v>137</v>
      </c>
      <c r="B81" s="11" t="s">
        <v>526</v>
      </c>
      <c r="C81" s="11" t="s">
        <v>521</v>
      </c>
      <c r="D81" s="13" t="s">
        <v>560</v>
      </c>
    </row>
    <row r="82" spans="1:4" ht="22.5">
      <c r="A82" s="11" t="s">
        <v>139</v>
      </c>
      <c r="B82" s="11" t="s">
        <v>561</v>
      </c>
      <c r="C82" s="11" t="s">
        <v>562</v>
      </c>
      <c r="D82" s="12" t="s">
        <v>563</v>
      </c>
    </row>
    <row r="83" spans="1:4" ht="45">
      <c r="A83" s="11" t="s">
        <v>140</v>
      </c>
      <c r="B83" s="11" t="s">
        <v>564</v>
      </c>
      <c r="C83" s="11" t="s">
        <v>562</v>
      </c>
      <c r="D83" s="13" t="s">
        <v>565</v>
      </c>
    </row>
    <row r="84" spans="1:4">
      <c r="A84" s="11" t="s">
        <v>141</v>
      </c>
      <c r="B84" s="11" t="s">
        <v>566</v>
      </c>
      <c r="C84" s="11" t="s">
        <v>562</v>
      </c>
      <c r="D84" s="11" t="s">
        <v>567</v>
      </c>
    </row>
    <row r="85" spans="1:4">
      <c r="A85" s="11" t="s">
        <v>142</v>
      </c>
      <c r="B85" s="11" t="s">
        <v>568</v>
      </c>
      <c r="C85" s="11" t="s">
        <v>562</v>
      </c>
      <c r="D85" s="11" t="s">
        <v>569</v>
      </c>
    </row>
    <row r="86" spans="1:4" ht="56.25">
      <c r="A86" s="11" t="s">
        <v>143</v>
      </c>
      <c r="B86" s="11" t="s">
        <v>566</v>
      </c>
      <c r="C86" s="11" t="s">
        <v>562</v>
      </c>
      <c r="D86" s="13" t="s">
        <v>570</v>
      </c>
    </row>
    <row r="87" spans="1:4" ht="22.5">
      <c r="A87" s="11" t="s">
        <v>144</v>
      </c>
      <c r="B87" s="11" t="s">
        <v>564</v>
      </c>
      <c r="C87" s="11" t="s">
        <v>562</v>
      </c>
      <c r="D87" s="12" t="s">
        <v>571</v>
      </c>
    </row>
    <row r="88" spans="1:4">
      <c r="A88" s="11" t="s">
        <v>145</v>
      </c>
      <c r="B88" s="11" t="s">
        <v>572</v>
      </c>
      <c r="C88" s="11" t="s">
        <v>573</v>
      </c>
      <c r="D88" s="11" t="s">
        <v>574</v>
      </c>
    </row>
    <row r="89" spans="1:4" ht="22.5">
      <c r="A89" s="11" t="s">
        <v>146</v>
      </c>
      <c r="B89" s="11" t="s">
        <v>575</v>
      </c>
      <c r="C89" s="11" t="s">
        <v>562</v>
      </c>
      <c r="D89" s="12" t="s">
        <v>576</v>
      </c>
    </row>
    <row r="90" spans="1:4">
      <c r="A90" s="11" t="s">
        <v>147</v>
      </c>
      <c r="B90" s="11" t="s">
        <v>577</v>
      </c>
      <c r="C90" s="11" t="s">
        <v>562</v>
      </c>
      <c r="D90" s="11" t="s">
        <v>578</v>
      </c>
    </row>
    <row r="91" spans="1:4" ht="22.5">
      <c r="A91" s="11" t="s">
        <v>148</v>
      </c>
      <c r="B91" s="11" t="s">
        <v>564</v>
      </c>
      <c r="C91" s="11" t="s">
        <v>562</v>
      </c>
      <c r="D91" s="13" t="s">
        <v>579</v>
      </c>
    </row>
    <row r="92" spans="1:4">
      <c r="A92" s="11" t="s">
        <v>304</v>
      </c>
      <c r="B92" s="11" t="s">
        <v>566</v>
      </c>
      <c r="C92" s="11" t="s">
        <v>562</v>
      </c>
      <c r="D92" s="11" t="s">
        <v>580</v>
      </c>
    </row>
    <row r="93" spans="1:4" ht="22.5">
      <c r="A93" s="11" t="s">
        <v>150</v>
      </c>
      <c r="B93" s="11" t="s">
        <v>577</v>
      </c>
      <c r="C93" s="11" t="s">
        <v>562</v>
      </c>
      <c r="D93" s="13" t="s">
        <v>581</v>
      </c>
    </row>
    <row r="94" spans="1:4" ht="33.75">
      <c r="A94" s="11" t="s">
        <v>0</v>
      </c>
      <c r="B94" s="11" t="s">
        <v>582</v>
      </c>
      <c r="C94" s="11" t="s">
        <v>562</v>
      </c>
      <c r="D94" s="13" t="s">
        <v>583</v>
      </c>
    </row>
    <row r="95" spans="1:4">
      <c r="A95" s="11" t="s">
        <v>298</v>
      </c>
      <c r="B95" s="11" t="s">
        <v>561</v>
      </c>
      <c r="C95" s="11" t="s">
        <v>562</v>
      </c>
      <c r="D95" s="11" t="s">
        <v>584</v>
      </c>
    </row>
    <row r="96" spans="1:4" ht="22.5">
      <c r="A96" s="11" t="s">
        <v>152</v>
      </c>
      <c r="B96" s="11" t="s">
        <v>585</v>
      </c>
      <c r="C96" s="11" t="s">
        <v>562</v>
      </c>
      <c r="D96" s="12" t="s">
        <v>586</v>
      </c>
    </row>
    <row r="97" spans="1:4" ht="22.5">
      <c r="A97" s="11" t="s">
        <v>297</v>
      </c>
      <c r="B97" s="11" t="s">
        <v>585</v>
      </c>
      <c r="C97" s="11" t="s">
        <v>562</v>
      </c>
      <c r="D97" s="13" t="s">
        <v>587</v>
      </c>
    </row>
    <row r="98" spans="1:4">
      <c r="A98" s="11" t="s">
        <v>154</v>
      </c>
      <c r="B98" s="11" t="s">
        <v>582</v>
      </c>
      <c r="C98" s="11" t="s">
        <v>562</v>
      </c>
      <c r="D98" s="11" t="s">
        <v>588</v>
      </c>
    </row>
    <row r="99" spans="1:4" ht="22.5">
      <c r="A99" s="11" t="s">
        <v>155</v>
      </c>
      <c r="B99" s="11" t="s">
        <v>589</v>
      </c>
      <c r="C99" s="11" t="s">
        <v>562</v>
      </c>
      <c r="D99" s="13" t="s">
        <v>590</v>
      </c>
    </row>
    <row r="100" spans="1:4" ht="22.5">
      <c r="A100" s="11" t="s">
        <v>156</v>
      </c>
      <c r="B100" s="11" t="s">
        <v>561</v>
      </c>
      <c r="C100" s="11" t="s">
        <v>562</v>
      </c>
      <c r="D100" s="13" t="s">
        <v>591</v>
      </c>
    </row>
    <row r="101" spans="1:4">
      <c r="A101" s="11" t="s">
        <v>303</v>
      </c>
      <c r="B101" s="11" t="s">
        <v>566</v>
      </c>
      <c r="C101" s="11" t="s">
        <v>562</v>
      </c>
      <c r="D101" s="11" t="s">
        <v>592</v>
      </c>
    </row>
    <row r="102" spans="1:4">
      <c r="A102" s="11" t="s">
        <v>158</v>
      </c>
      <c r="B102" s="11" t="s">
        <v>561</v>
      </c>
      <c r="C102" s="11" t="s">
        <v>562</v>
      </c>
      <c r="D102" s="11" t="s">
        <v>593</v>
      </c>
    </row>
    <row r="103" spans="1:4">
      <c r="A103" s="11" t="s">
        <v>159</v>
      </c>
      <c r="B103" s="11" t="s">
        <v>585</v>
      </c>
      <c r="C103" s="11" t="s">
        <v>562</v>
      </c>
      <c r="D103" s="11" t="s">
        <v>594</v>
      </c>
    </row>
    <row r="104" spans="1:4" ht="22.5">
      <c r="A104" s="11" t="s">
        <v>160</v>
      </c>
      <c r="B104" s="11" t="s">
        <v>585</v>
      </c>
      <c r="C104" s="11" t="s">
        <v>562</v>
      </c>
      <c r="D104" s="12" t="s">
        <v>595</v>
      </c>
    </row>
    <row r="105" spans="1:4">
      <c r="A105" s="11" t="s">
        <v>161</v>
      </c>
      <c r="B105" s="11" t="s">
        <v>561</v>
      </c>
      <c r="C105" s="11" t="s">
        <v>562</v>
      </c>
      <c r="D105" s="11" t="s">
        <v>596</v>
      </c>
    </row>
    <row r="106" spans="1:4" ht="33.75">
      <c r="A106" s="11" t="s">
        <v>162</v>
      </c>
      <c r="B106" s="11" t="s">
        <v>564</v>
      </c>
      <c r="C106" s="11" t="s">
        <v>562</v>
      </c>
      <c r="D106" s="13" t="s">
        <v>597</v>
      </c>
    </row>
    <row r="107" spans="1:4">
      <c r="A107" s="11" t="s">
        <v>163</v>
      </c>
      <c r="B107" s="11" t="s">
        <v>598</v>
      </c>
      <c r="C107" s="11" t="s">
        <v>562</v>
      </c>
      <c r="D107" s="11" t="s">
        <v>599</v>
      </c>
    </row>
    <row r="108" spans="1:4">
      <c r="A108" s="11" t="s">
        <v>164</v>
      </c>
      <c r="B108" s="11" t="s">
        <v>582</v>
      </c>
      <c r="C108" s="11" t="s">
        <v>562</v>
      </c>
      <c r="D108" s="11" t="s">
        <v>600</v>
      </c>
    </row>
    <row r="109" spans="1:4">
      <c r="A109" s="11" t="s">
        <v>165</v>
      </c>
      <c r="B109" s="11" t="s">
        <v>561</v>
      </c>
      <c r="C109" s="11" t="s">
        <v>562</v>
      </c>
      <c r="D109" s="11" t="s">
        <v>601</v>
      </c>
    </row>
    <row r="110" spans="1:4" ht="22.5">
      <c r="A110" s="11" t="s">
        <v>166</v>
      </c>
      <c r="B110" s="11" t="s">
        <v>577</v>
      </c>
      <c r="C110" s="11" t="s">
        <v>562</v>
      </c>
      <c r="D110" s="12" t="s">
        <v>602</v>
      </c>
    </row>
    <row r="111" spans="1:4" ht="22.5">
      <c r="A111" s="11" t="s">
        <v>167</v>
      </c>
      <c r="B111" s="11" t="s">
        <v>564</v>
      </c>
      <c r="C111" s="11" t="s">
        <v>562</v>
      </c>
      <c r="D111" s="12" t="s">
        <v>603</v>
      </c>
    </row>
    <row r="112" spans="1:4" ht="33.75">
      <c r="A112" s="11" t="s">
        <v>282</v>
      </c>
      <c r="B112" s="11" t="s">
        <v>604</v>
      </c>
      <c r="C112" s="11" t="s">
        <v>562</v>
      </c>
      <c r="D112" s="13" t="s">
        <v>605</v>
      </c>
    </row>
    <row r="113" spans="1:4">
      <c r="A113" s="11" t="s">
        <v>169</v>
      </c>
      <c r="B113" s="11" t="s">
        <v>566</v>
      </c>
      <c r="C113" s="11" t="s">
        <v>562</v>
      </c>
      <c r="D113" s="11" t="s">
        <v>606</v>
      </c>
    </row>
    <row r="114" spans="1:4">
      <c r="A114" s="11" t="s">
        <v>170</v>
      </c>
      <c r="B114" s="11" t="s">
        <v>577</v>
      </c>
      <c r="C114" s="11" t="s">
        <v>562</v>
      </c>
      <c r="D114" s="11" t="s">
        <v>607</v>
      </c>
    </row>
    <row r="115" spans="1:4" ht="22.5">
      <c r="A115" s="11" t="s">
        <v>171</v>
      </c>
      <c r="B115" s="11" t="s">
        <v>566</v>
      </c>
      <c r="C115" s="11" t="s">
        <v>562</v>
      </c>
      <c r="D115" s="12" t="s">
        <v>608</v>
      </c>
    </row>
    <row r="116" spans="1:4" ht="22.5">
      <c r="A116" s="11" t="s">
        <v>172</v>
      </c>
      <c r="B116" s="11" t="s">
        <v>609</v>
      </c>
      <c r="C116" s="11" t="s">
        <v>610</v>
      </c>
      <c r="D116" s="13" t="s">
        <v>611</v>
      </c>
    </row>
    <row r="117" spans="1:4" ht="22.5">
      <c r="A117" s="11" t="s">
        <v>302</v>
      </c>
      <c r="B117" s="11" t="s">
        <v>612</v>
      </c>
      <c r="C117" s="11" t="s">
        <v>610</v>
      </c>
      <c r="D117" s="13" t="s">
        <v>613</v>
      </c>
    </row>
    <row r="118" spans="1:4">
      <c r="A118" s="11" t="s">
        <v>174</v>
      </c>
      <c r="B118" s="11" t="s">
        <v>614</v>
      </c>
      <c r="C118" s="11" t="s">
        <v>610</v>
      </c>
      <c r="D118" s="11" t="s">
        <v>615</v>
      </c>
    </row>
    <row r="119" spans="1:4" ht="33.75">
      <c r="A119" s="11" t="s">
        <v>175</v>
      </c>
      <c r="B119" s="11" t="s">
        <v>616</v>
      </c>
      <c r="C119" s="11" t="s">
        <v>610</v>
      </c>
      <c r="D119" s="13" t="s">
        <v>617</v>
      </c>
    </row>
    <row r="120" spans="1:4">
      <c r="A120" s="11" t="s">
        <v>176</v>
      </c>
      <c r="B120" s="11" t="s">
        <v>618</v>
      </c>
      <c r="C120" s="11" t="s">
        <v>610</v>
      </c>
      <c r="D120" s="11" t="s">
        <v>619</v>
      </c>
    </row>
    <row r="121" spans="1:4">
      <c r="A121" s="11" t="s">
        <v>177</v>
      </c>
      <c r="B121" s="11" t="s">
        <v>620</v>
      </c>
      <c r="C121" s="11" t="s">
        <v>610</v>
      </c>
      <c r="D121" s="11" t="s">
        <v>621</v>
      </c>
    </row>
    <row r="122" spans="1:4" ht="45">
      <c r="A122" s="11" t="s">
        <v>178</v>
      </c>
      <c r="B122" s="11" t="s">
        <v>620</v>
      </c>
      <c r="C122" s="11" t="s">
        <v>610</v>
      </c>
      <c r="D122" s="13" t="s">
        <v>622</v>
      </c>
    </row>
    <row r="123" spans="1:4">
      <c r="A123" s="11" t="s">
        <v>179</v>
      </c>
      <c r="B123" s="11" t="s">
        <v>609</v>
      </c>
      <c r="C123" s="11" t="s">
        <v>610</v>
      </c>
      <c r="D123" s="11" t="s">
        <v>623</v>
      </c>
    </row>
    <row r="124" spans="1:4" ht="56.25">
      <c r="A124" s="11" t="s">
        <v>180</v>
      </c>
      <c r="B124" s="11" t="s">
        <v>624</v>
      </c>
      <c r="C124" s="11" t="s">
        <v>610</v>
      </c>
      <c r="D124" s="13" t="s">
        <v>625</v>
      </c>
    </row>
    <row r="125" spans="1:4" ht="22.5">
      <c r="A125" s="11" t="s">
        <v>293</v>
      </c>
      <c r="B125" s="11" t="s">
        <v>609</v>
      </c>
      <c r="C125" s="11" t="s">
        <v>610</v>
      </c>
      <c r="D125" s="12" t="s">
        <v>626</v>
      </c>
    </row>
    <row r="126" spans="1:4">
      <c r="A126" s="11" t="s">
        <v>299</v>
      </c>
      <c r="B126" s="11" t="s">
        <v>627</v>
      </c>
      <c r="C126" s="11" t="s">
        <v>610</v>
      </c>
      <c r="D126" s="11" t="s">
        <v>628</v>
      </c>
    </row>
    <row r="127" spans="1:4" ht="22.5">
      <c r="A127" s="11" t="s">
        <v>183</v>
      </c>
      <c r="B127" s="11" t="s">
        <v>627</v>
      </c>
      <c r="C127" s="11" t="s">
        <v>610</v>
      </c>
      <c r="D127" s="13" t="s">
        <v>629</v>
      </c>
    </row>
    <row r="128" spans="1:4">
      <c r="A128" s="11" t="s">
        <v>184</v>
      </c>
      <c r="B128" s="11" t="s">
        <v>627</v>
      </c>
      <c r="C128" s="11" t="s">
        <v>610</v>
      </c>
    </row>
    <row r="129" spans="1:4" ht="22.5">
      <c r="A129" s="11" t="s">
        <v>185</v>
      </c>
      <c r="B129" s="11" t="s">
        <v>627</v>
      </c>
      <c r="C129" s="11" t="s">
        <v>610</v>
      </c>
      <c r="D129" s="12" t="s">
        <v>630</v>
      </c>
    </row>
    <row r="130" spans="1:4">
      <c r="A130" s="11" t="s">
        <v>186</v>
      </c>
      <c r="B130" s="11" t="s">
        <v>620</v>
      </c>
      <c r="C130" s="11" t="s">
        <v>610</v>
      </c>
      <c r="D130" s="11" t="s">
        <v>631</v>
      </c>
    </row>
    <row r="131" spans="1:4" ht="22.5">
      <c r="A131" s="11" t="s">
        <v>283</v>
      </c>
      <c r="B131" s="11" t="s">
        <v>609</v>
      </c>
      <c r="C131" s="11" t="s">
        <v>610</v>
      </c>
      <c r="D131" s="12" t="s">
        <v>632</v>
      </c>
    </row>
    <row r="132" spans="1:4">
      <c r="A132" s="11" t="s">
        <v>188</v>
      </c>
      <c r="B132" s="11" t="s">
        <v>609</v>
      </c>
      <c r="C132" s="11" t="s">
        <v>610</v>
      </c>
      <c r="D132" s="11" t="s">
        <v>633</v>
      </c>
    </row>
    <row r="133" spans="1:4" ht="33.75">
      <c r="A133" s="11" t="s">
        <v>189</v>
      </c>
      <c r="B133" s="11" t="s">
        <v>634</v>
      </c>
      <c r="C133" s="11" t="s">
        <v>610</v>
      </c>
      <c r="D133" s="12" t="s">
        <v>635</v>
      </c>
    </row>
    <row r="134" spans="1:4">
      <c r="A134" s="11" t="s">
        <v>190</v>
      </c>
      <c r="B134" s="11" t="s">
        <v>627</v>
      </c>
      <c r="C134" s="11" t="s">
        <v>610</v>
      </c>
      <c r="D134" s="11" t="s">
        <v>636</v>
      </c>
    </row>
    <row r="135" spans="1:4" ht="22.5">
      <c r="A135" s="11" t="s">
        <v>191</v>
      </c>
      <c r="B135" s="11" t="s">
        <v>634</v>
      </c>
      <c r="C135" s="11" t="s">
        <v>610</v>
      </c>
      <c r="D135" s="12" t="s">
        <v>637</v>
      </c>
    </row>
    <row r="136" spans="1:4">
      <c r="A136" s="11" t="s">
        <v>192</v>
      </c>
      <c r="B136" s="11" t="s">
        <v>609</v>
      </c>
      <c r="C136" s="11" t="s">
        <v>610</v>
      </c>
      <c r="D136" s="11" t="s">
        <v>638</v>
      </c>
    </row>
    <row r="137" spans="1:4" ht="22.5">
      <c r="A137" s="11" t="s">
        <v>193</v>
      </c>
      <c r="B137" s="11" t="s">
        <v>639</v>
      </c>
      <c r="C137" s="11" t="s">
        <v>610</v>
      </c>
      <c r="D137" s="13" t="s">
        <v>640</v>
      </c>
    </row>
    <row r="138" spans="1:4" ht="22.5">
      <c r="A138" s="11" t="s">
        <v>277</v>
      </c>
      <c r="B138" s="11" t="s">
        <v>609</v>
      </c>
      <c r="C138" s="11" t="s">
        <v>610</v>
      </c>
      <c r="D138" s="12" t="s">
        <v>641</v>
      </c>
    </row>
    <row r="139" spans="1:4">
      <c r="A139" s="11" t="s">
        <v>195</v>
      </c>
      <c r="B139" s="11" t="s">
        <v>620</v>
      </c>
      <c r="C139" s="11" t="s">
        <v>610</v>
      </c>
      <c r="D139" s="11" t="s">
        <v>642</v>
      </c>
    </row>
    <row r="140" spans="1:4" ht="22.5">
      <c r="A140" s="11" t="s">
        <v>196</v>
      </c>
      <c r="B140" s="11" t="s">
        <v>620</v>
      </c>
      <c r="C140" s="11" t="s">
        <v>610</v>
      </c>
      <c r="D140" s="12" t="s">
        <v>643</v>
      </c>
    </row>
    <row r="141" spans="1:4" ht="56.25">
      <c r="A141" s="11" t="s">
        <v>197</v>
      </c>
      <c r="B141" s="11" t="s">
        <v>609</v>
      </c>
      <c r="C141" s="11" t="s">
        <v>610</v>
      </c>
      <c r="D141" s="13" t="s">
        <v>644</v>
      </c>
    </row>
    <row r="142" spans="1:4">
      <c r="A142" s="11" t="s">
        <v>198</v>
      </c>
      <c r="B142" s="11" t="s">
        <v>609</v>
      </c>
      <c r="C142" s="11" t="s">
        <v>610</v>
      </c>
      <c r="D142" s="11" t="s">
        <v>645</v>
      </c>
    </row>
    <row r="143" spans="1:4" ht="22.5">
      <c r="A143" s="11" t="s">
        <v>288</v>
      </c>
      <c r="B143" s="11" t="s">
        <v>634</v>
      </c>
      <c r="C143" s="11" t="s">
        <v>610</v>
      </c>
      <c r="D143" s="12" t="s">
        <v>646</v>
      </c>
    </row>
    <row r="144" spans="1:4">
      <c r="A144" s="11" t="s">
        <v>200</v>
      </c>
      <c r="B144" s="11" t="s">
        <v>647</v>
      </c>
      <c r="C144" s="11" t="s">
        <v>610</v>
      </c>
      <c r="D144" s="11" t="s">
        <v>648</v>
      </c>
    </row>
    <row r="145" spans="1:4" ht="22.5">
      <c r="A145" s="11" t="s">
        <v>201</v>
      </c>
      <c r="B145" s="11" t="s">
        <v>609</v>
      </c>
      <c r="C145" s="11" t="s">
        <v>610</v>
      </c>
      <c r="D145" s="12" t="s">
        <v>649</v>
      </c>
    </row>
    <row r="146" spans="1:4">
      <c r="A146" s="11" t="s">
        <v>202</v>
      </c>
      <c r="B146" s="11" t="s">
        <v>618</v>
      </c>
      <c r="C146" s="11" t="s">
        <v>610</v>
      </c>
      <c r="D146" s="11" t="s">
        <v>650</v>
      </c>
    </row>
    <row r="147" spans="1:4" ht="33.75">
      <c r="A147" s="11" t="s">
        <v>203</v>
      </c>
      <c r="B147" s="11" t="s">
        <v>609</v>
      </c>
      <c r="C147" s="11" t="s">
        <v>610</v>
      </c>
      <c r="D147" s="13" t="s">
        <v>651</v>
      </c>
    </row>
    <row r="148" spans="1:4" ht="33.75">
      <c r="A148" s="11" t="s">
        <v>204</v>
      </c>
      <c r="B148" s="11" t="s">
        <v>627</v>
      </c>
      <c r="C148" s="11" t="s">
        <v>610</v>
      </c>
      <c r="D148" s="12" t="s">
        <v>652</v>
      </c>
    </row>
    <row r="149" spans="1:4" ht="33.75">
      <c r="A149" s="11" t="s">
        <v>305</v>
      </c>
      <c r="B149" s="11" t="s">
        <v>612</v>
      </c>
      <c r="C149" s="11" t="s">
        <v>610</v>
      </c>
      <c r="D149" s="12" t="s">
        <v>653</v>
      </c>
    </row>
    <row r="150" spans="1:4" ht="22.5">
      <c r="A150" s="11" t="s">
        <v>206</v>
      </c>
      <c r="B150" s="11" t="s">
        <v>609</v>
      </c>
      <c r="C150" s="11" t="s">
        <v>610</v>
      </c>
      <c r="D150" s="12" t="s">
        <v>654</v>
      </c>
    </row>
    <row r="151" spans="1:4">
      <c r="A151" s="11" t="s">
        <v>207</v>
      </c>
      <c r="B151" s="11" t="s">
        <v>655</v>
      </c>
      <c r="C151" s="11" t="s">
        <v>656</v>
      </c>
      <c r="D151" s="11" t="s">
        <v>657</v>
      </c>
    </row>
    <row r="152" spans="1:4">
      <c r="A152" s="11" t="s">
        <v>208</v>
      </c>
      <c r="B152" s="11" t="s">
        <v>658</v>
      </c>
      <c r="C152" s="11" t="s">
        <v>656</v>
      </c>
      <c r="D152" s="11" t="s">
        <v>659</v>
      </c>
    </row>
    <row r="153" spans="1:4">
      <c r="A153" s="11" t="s">
        <v>209</v>
      </c>
      <c r="B153" s="11" t="s">
        <v>658</v>
      </c>
      <c r="C153" s="11" t="s">
        <v>656</v>
      </c>
      <c r="D153" s="11" t="s">
        <v>660</v>
      </c>
    </row>
    <row r="154" spans="1:4" ht="22.5">
      <c r="A154" s="11" t="s">
        <v>210</v>
      </c>
      <c r="B154" s="11" t="s">
        <v>661</v>
      </c>
      <c r="C154" s="11" t="s">
        <v>656</v>
      </c>
      <c r="D154" s="13" t="s">
        <v>662</v>
      </c>
    </row>
    <row r="155" spans="1:4">
      <c r="A155" s="11" t="s">
        <v>211</v>
      </c>
      <c r="B155" s="11" t="s">
        <v>661</v>
      </c>
      <c r="C155" s="11" t="s">
        <v>656</v>
      </c>
      <c r="D155" s="11" t="s">
        <v>663</v>
      </c>
    </row>
    <row r="156" spans="1:4" ht="22.5">
      <c r="A156" s="11" t="s">
        <v>213</v>
      </c>
      <c r="B156" s="11" t="s">
        <v>664</v>
      </c>
      <c r="C156" s="11" t="s">
        <v>656</v>
      </c>
      <c r="D156" s="13" t="s">
        <v>665</v>
      </c>
    </row>
    <row r="157" spans="1:4">
      <c r="A157" s="11" t="s">
        <v>285</v>
      </c>
      <c r="B157" s="11" t="s">
        <v>658</v>
      </c>
      <c r="C157" s="11" t="s">
        <v>656</v>
      </c>
      <c r="D157" s="11" t="s">
        <v>666</v>
      </c>
    </row>
    <row r="158" spans="1:4">
      <c r="A158" s="11" t="s">
        <v>314</v>
      </c>
      <c r="B158" s="11" t="s">
        <v>667</v>
      </c>
      <c r="C158" s="11" t="s">
        <v>656</v>
      </c>
      <c r="D158" s="11" t="s">
        <v>668</v>
      </c>
    </row>
    <row r="159" spans="1:4" ht="22.5">
      <c r="A159" s="11" t="s">
        <v>217</v>
      </c>
      <c r="B159" s="11" t="s">
        <v>658</v>
      </c>
      <c r="C159" s="11" t="s">
        <v>656</v>
      </c>
      <c r="D159" s="13" t="s">
        <v>669</v>
      </c>
    </row>
    <row r="160" spans="1:4" ht="22.5">
      <c r="A160" s="11" t="s">
        <v>218</v>
      </c>
      <c r="B160" s="11" t="s">
        <v>661</v>
      </c>
      <c r="C160" s="11" t="s">
        <v>656</v>
      </c>
      <c r="D160" s="12" t="s">
        <v>670</v>
      </c>
    </row>
    <row r="161" spans="1:4">
      <c r="A161" s="11" t="s">
        <v>310</v>
      </c>
      <c r="B161" s="11" t="s">
        <v>671</v>
      </c>
      <c r="C161" s="11" t="s">
        <v>656</v>
      </c>
      <c r="D161" s="11" t="s">
        <v>672</v>
      </c>
    </row>
    <row r="162" spans="1:4">
      <c r="A162" s="11" t="s">
        <v>220</v>
      </c>
      <c r="B162" s="11" t="s">
        <v>671</v>
      </c>
      <c r="C162" s="11" t="s">
        <v>656</v>
      </c>
      <c r="D162" s="11" t="s">
        <v>673</v>
      </c>
    </row>
    <row r="163" spans="1:4" ht="33.75">
      <c r="A163" s="11" t="s">
        <v>221</v>
      </c>
      <c r="B163" s="11" t="s">
        <v>674</v>
      </c>
      <c r="C163" s="11" t="s">
        <v>656</v>
      </c>
      <c r="D163" s="13" t="s">
        <v>675</v>
      </c>
    </row>
    <row r="164" spans="1:4">
      <c r="A164" s="11" t="s">
        <v>291</v>
      </c>
      <c r="B164" s="11" t="s">
        <v>661</v>
      </c>
      <c r="C164" s="11" t="s">
        <v>656</v>
      </c>
      <c r="D164" s="11" t="s">
        <v>676</v>
      </c>
    </row>
    <row r="165" spans="1:4" ht="22.5">
      <c r="A165" s="11" t="s">
        <v>225</v>
      </c>
      <c r="B165" s="11" t="s">
        <v>671</v>
      </c>
      <c r="C165" s="11" t="s">
        <v>656</v>
      </c>
      <c r="D165" s="12" t="s">
        <v>677</v>
      </c>
    </row>
    <row r="166" spans="1:4">
      <c r="A166" s="11" t="s">
        <v>226</v>
      </c>
      <c r="B166" s="11" t="s">
        <v>661</v>
      </c>
      <c r="C166" s="11" t="s">
        <v>656</v>
      </c>
      <c r="D166" s="11" t="s">
        <v>678</v>
      </c>
    </row>
    <row r="167" spans="1:4">
      <c r="A167" s="11" t="s">
        <v>227</v>
      </c>
      <c r="B167" s="11" t="s">
        <v>661</v>
      </c>
      <c r="C167" s="11" t="s">
        <v>656</v>
      </c>
      <c r="D167" s="11" t="s">
        <v>679</v>
      </c>
    </row>
    <row r="168" spans="1:4">
      <c r="A168" s="11" t="s">
        <v>228</v>
      </c>
      <c r="B168" s="11" t="s">
        <v>671</v>
      </c>
      <c r="C168" s="11" t="s">
        <v>656</v>
      </c>
      <c r="D168" s="11" t="s">
        <v>680</v>
      </c>
    </row>
    <row r="169" spans="1:4" ht="22.5">
      <c r="A169" s="11" t="s">
        <v>290</v>
      </c>
      <c r="B169" s="11" t="s">
        <v>658</v>
      </c>
      <c r="C169" s="11" t="s">
        <v>656</v>
      </c>
      <c r="D169" s="12" t="s">
        <v>681</v>
      </c>
    </row>
    <row r="170" spans="1:4">
      <c r="A170" s="11" t="s">
        <v>230</v>
      </c>
      <c r="B170" s="11" t="s">
        <v>682</v>
      </c>
      <c r="C170" s="11" t="s">
        <v>656</v>
      </c>
      <c r="D170" s="11" t="s">
        <v>683</v>
      </c>
    </row>
    <row r="171" spans="1:4" ht="22.5">
      <c r="A171" s="11" t="s">
        <v>231</v>
      </c>
      <c r="B171" s="11" t="s">
        <v>664</v>
      </c>
      <c r="C171" s="11" t="s">
        <v>656</v>
      </c>
      <c r="D171" s="12" t="s">
        <v>684</v>
      </c>
    </row>
    <row r="172" spans="1:4">
      <c r="A172" s="11" t="s">
        <v>232</v>
      </c>
      <c r="B172" s="11" t="s">
        <v>655</v>
      </c>
      <c r="C172" s="11" t="s">
        <v>656</v>
      </c>
      <c r="D172" s="11" t="s">
        <v>685</v>
      </c>
    </row>
    <row r="173" spans="1:4">
      <c r="A173" s="11" t="s">
        <v>233</v>
      </c>
      <c r="B173" s="11" t="s">
        <v>655</v>
      </c>
      <c r="C173" s="11" t="s">
        <v>656</v>
      </c>
      <c r="D173" s="11" t="s">
        <v>686</v>
      </c>
    </row>
    <row r="174" spans="1:4" ht="22.5">
      <c r="A174" s="11" t="s">
        <v>234</v>
      </c>
      <c r="B174" s="11" t="s">
        <v>655</v>
      </c>
      <c r="C174" s="11" t="s">
        <v>656</v>
      </c>
      <c r="D174" s="12" t="s">
        <v>687</v>
      </c>
    </row>
    <row r="175" spans="1:4" ht="22.5">
      <c r="A175" s="11" t="s">
        <v>295</v>
      </c>
      <c r="B175" s="11" t="s">
        <v>667</v>
      </c>
      <c r="C175" s="11" t="s">
        <v>656</v>
      </c>
      <c r="D175" s="12" t="s">
        <v>688</v>
      </c>
    </row>
    <row r="176" spans="1:4" ht="33.75">
      <c r="A176" s="11" t="s">
        <v>296</v>
      </c>
      <c r="B176" s="11" t="s">
        <v>671</v>
      </c>
      <c r="C176" s="11" t="s">
        <v>656</v>
      </c>
      <c r="D176" s="12" t="s">
        <v>689</v>
      </c>
    </row>
    <row r="177" spans="1:4">
      <c r="A177" s="11" t="s">
        <v>237</v>
      </c>
      <c r="B177" s="11" t="s">
        <v>690</v>
      </c>
      <c r="C177" s="11" t="s">
        <v>656</v>
      </c>
      <c r="D177" s="11" t="s">
        <v>691</v>
      </c>
    </row>
    <row r="178" spans="1:4">
      <c r="A178" s="11" t="s">
        <v>238</v>
      </c>
      <c r="B178" s="11" t="s">
        <v>671</v>
      </c>
      <c r="C178" s="11" t="s">
        <v>656</v>
      </c>
      <c r="D178" s="11" t="s">
        <v>692</v>
      </c>
    </row>
    <row r="179" spans="1:4" ht="33.75">
      <c r="A179" s="11" t="s">
        <v>239</v>
      </c>
      <c r="B179" s="11" t="s">
        <v>674</v>
      </c>
      <c r="C179" s="11" t="s">
        <v>656</v>
      </c>
      <c r="D179" s="12" t="s">
        <v>693</v>
      </c>
    </row>
    <row r="180" spans="1:4">
      <c r="A180" s="11" t="s">
        <v>312</v>
      </c>
      <c r="B180" s="11" t="s">
        <v>658</v>
      </c>
      <c r="C180" s="11" t="s">
        <v>656</v>
      </c>
      <c r="D180" s="11" t="s">
        <v>694</v>
      </c>
    </row>
    <row r="181" spans="1:4">
      <c r="A181" s="11" t="s">
        <v>241</v>
      </c>
      <c r="B181" s="11" t="s">
        <v>658</v>
      </c>
      <c r="C181" s="11" t="s">
        <v>656</v>
      </c>
      <c r="D181" s="11" t="s">
        <v>695</v>
      </c>
    </row>
    <row r="182" spans="1:4" ht="22.5">
      <c r="A182" s="11" t="s">
        <v>262</v>
      </c>
      <c r="B182" s="11" t="s">
        <v>696</v>
      </c>
      <c r="C182" s="11" t="s">
        <v>573</v>
      </c>
      <c r="D182" s="13" t="s">
        <v>697</v>
      </c>
    </row>
    <row r="183" spans="1:4">
      <c r="A183" s="11" t="s">
        <v>263</v>
      </c>
      <c r="B183" s="11" t="s">
        <v>698</v>
      </c>
      <c r="C183" s="11" t="s">
        <v>573</v>
      </c>
      <c r="D183" s="11" t="s">
        <v>699</v>
      </c>
    </row>
    <row r="184" spans="1:4" ht="22.5">
      <c r="A184" s="11" t="s">
        <v>264</v>
      </c>
      <c r="B184" s="11" t="s">
        <v>700</v>
      </c>
      <c r="C184" s="11" t="s">
        <v>573</v>
      </c>
      <c r="D184" s="12" t="s">
        <v>701</v>
      </c>
    </row>
    <row r="185" spans="1:4" ht="33.75">
      <c r="A185" s="11" t="s">
        <v>265</v>
      </c>
      <c r="B185" s="11" t="s">
        <v>702</v>
      </c>
      <c r="C185" s="11" t="s">
        <v>573</v>
      </c>
      <c r="D185" s="13" t="s">
        <v>703</v>
      </c>
    </row>
    <row r="186" spans="1:4" ht="33.75">
      <c r="A186" s="11" t="s">
        <v>266</v>
      </c>
      <c r="B186" s="11" t="s">
        <v>704</v>
      </c>
      <c r="C186" s="11" t="s">
        <v>573</v>
      </c>
      <c r="D186" s="12" t="s">
        <v>705</v>
      </c>
    </row>
    <row r="187" spans="1:4" ht="22.5">
      <c r="A187" s="11" t="s">
        <v>267</v>
      </c>
      <c r="B187" s="11" t="s">
        <v>706</v>
      </c>
      <c r="C187" s="11" t="s">
        <v>573</v>
      </c>
      <c r="D187" s="12" t="s">
        <v>707</v>
      </c>
    </row>
    <row r="188" spans="1:4" ht="22.5">
      <c r="A188" s="11" t="s">
        <v>268</v>
      </c>
      <c r="B188" s="11" t="s">
        <v>708</v>
      </c>
      <c r="C188" s="11" t="s">
        <v>573</v>
      </c>
      <c r="D188" s="12" t="s">
        <v>709</v>
      </c>
    </row>
    <row r="189" spans="1:4">
      <c r="A189" s="11" t="s">
        <v>269</v>
      </c>
      <c r="B189" s="11" t="s">
        <v>710</v>
      </c>
      <c r="C189" s="11" t="s">
        <v>573</v>
      </c>
      <c r="D189" s="11" t="s">
        <v>711</v>
      </c>
    </row>
    <row r="190" spans="1:4" ht="45">
      <c r="A190" s="11" t="s">
        <v>270</v>
      </c>
      <c r="B190" s="11" t="s">
        <v>712</v>
      </c>
      <c r="C190" s="11" t="s">
        <v>573</v>
      </c>
      <c r="D190" s="13" t="s">
        <v>713</v>
      </c>
    </row>
    <row r="191" spans="1:4" ht="33.75">
      <c r="A191" s="11" t="s">
        <v>271</v>
      </c>
      <c r="B191" s="11" t="s">
        <v>714</v>
      </c>
      <c r="C191" s="11" t="s">
        <v>573</v>
      </c>
      <c r="D191" s="13" t="s">
        <v>715</v>
      </c>
    </row>
    <row r="192" spans="1:4" ht="22.5">
      <c r="A192" s="11" t="s">
        <v>279</v>
      </c>
      <c r="B192" s="11" t="s">
        <v>716</v>
      </c>
      <c r="C192" s="11" t="s">
        <v>573</v>
      </c>
      <c r="D192" s="13" t="s">
        <v>717</v>
      </c>
    </row>
    <row r="193" spans="1:4" ht="22.5">
      <c r="A193" s="11" t="s">
        <v>311</v>
      </c>
      <c r="B193" s="11">
        <v>0</v>
      </c>
      <c r="C193" s="11" t="s">
        <v>460</v>
      </c>
      <c r="D193" s="12" t="s">
        <v>718</v>
      </c>
    </row>
    <row r="194" spans="1:4" ht="33.75">
      <c r="A194" s="11" t="s">
        <v>294</v>
      </c>
      <c r="B194" s="11">
        <v>3</v>
      </c>
      <c r="C194" s="11" t="s">
        <v>460</v>
      </c>
      <c r="D194" s="13" t="s">
        <v>719</v>
      </c>
    </row>
    <row r="195" spans="1:4" ht="22.5">
      <c r="A195" s="11" t="s">
        <v>306</v>
      </c>
      <c r="B195" s="11">
        <v>2</v>
      </c>
      <c r="C195" s="11" t="s">
        <v>460</v>
      </c>
      <c r="D195" s="12" t="s">
        <v>720</v>
      </c>
    </row>
    <row r="196" spans="1:4">
      <c r="A196" s="11" t="s">
        <v>254</v>
      </c>
      <c r="B196" s="11">
        <v>2</v>
      </c>
      <c r="C196" s="11" t="s">
        <v>460</v>
      </c>
    </row>
    <row r="197" spans="1:4">
      <c r="A197" s="11" t="s">
        <v>255</v>
      </c>
      <c r="B197" s="11">
        <v>4</v>
      </c>
      <c r="C197" s="11" t="s">
        <v>460</v>
      </c>
      <c r="D197" s="11" t="s">
        <v>721</v>
      </c>
    </row>
    <row r="198" spans="1:4">
      <c r="A198" s="11" t="s">
        <v>256</v>
      </c>
      <c r="B198" s="11">
        <v>2</v>
      </c>
      <c r="C198" s="11" t="s">
        <v>460</v>
      </c>
      <c r="D198" s="11" t="s">
        <v>722</v>
      </c>
    </row>
    <row r="199" spans="1:4" ht="22.5">
      <c r="A199" s="11" t="s">
        <v>309</v>
      </c>
      <c r="B199" s="11">
        <v>3</v>
      </c>
      <c r="C199" s="11" t="s">
        <v>460</v>
      </c>
      <c r="D199" s="12" t="s">
        <v>723</v>
      </c>
    </row>
    <row r="200" spans="1:4">
      <c r="A200" s="11" t="s">
        <v>258</v>
      </c>
      <c r="B200" s="11">
        <v>3</v>
      </c>
      <c r="C200" s="11" t="s">
        <v>460</v>
      </c>
      <c r="D200" s="14" t="s">
        <v>724</v>
      </c>
    </row>
    <row r="201" spans="1:4" ht="45">
      <c r="A201" s="11" t="s">
        <v>289</v>
      </c>
      <c r="B201" s="11">
        <v>1</v>
      </c>
      <c r="C201" s="11" t="s">
        <v>460</v>
      </c>
      <c r="D201" s="13" t="s">
        <v>725</v>
      </c>
    </row>
    <row r="202" spans="1:4" ht="33.75">
      <c r="A202" s="11" t="s">
        <v>260</v>
      </c>
      <c r="B202" s="11">
        <v>1</v>
      </c>
      <c r="C202" s="11" t="s">
        <v>460</v>
      </c>
      <c r="D202" s="12" t="s">
        <v>726</v>
      </c>
    </row>
    <row r="203" spans="1:4" ht="33.75">
      <c r="A203" s="11" t="s">
        <v>261</v>
      </c>
      <c r="B203" s="11">
        <v>3</v>
      </c>
      <c r="C203" s="11" t="s">
        <v>460</v>
      </c>
      <c r="D203" s="12" t="s">
        <v>727</v>
      </c>
    </row>
    <row r="204" spans="1:4" ht="22.5">
      <c r="A204" s="11" t="s">
        <v>273</v>
      </c>
      <c r="C204" s="11" t="s">
        <v>728</v>
      </c>
      <c r="D204" s="12" t="s">
        <v>729</v>
      </c>
    </row>
    <row r="205" spans="1:4" ht="33.75">
      <c r="A205" s="11" t="s">
        <v>292</v>
      </c>
      <c r="C205" s="11" t="s">
        <v>728</v>
      </c>
      <c r="D205" s="13" t="s">
        <v>730</v>
      </c>
    </row>
    <row r="206" spans="1:4" ht="22.5">
      <c r="A206" s="11" t="s">
        <v>275</v>
      </c>
      <c r="C206" s="11" t="s">
        <v>728</v>
      </c>
      <c r="D206" s="12" t="s">
        <v>731</v>
      </c>
    </row>
    <row r="207" spans="1:4">
      <c r="A207" s="11" t="s">
        <v>458</v>
      </c>
      <c r="B207" s="11" t="s">
        <v>732</v>
      </c>
    </row>
    <row r="208" spans="1:4">
      <c r="A208" s="11" t="s">
        <v>458</v>
      </c>
      <c r="B208" s="11" t="s">
        <v>733</v>
      </c>
    </row>
  </sheetData>
  <phoneticPr fontId="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score</vt:lpstr>
      <vt:lpstr>channelfireball</vt:lpstr>
      <vt:lpstr>smds</vt:lpstr>
      <vt:lpstr>oracle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2006-09-13T11:12:02Z</dcterms:created>
  <dcterms:modified xsi:type="dcterms:W3CDTF">2016-07-27T14:56:36Z</dcterms:modified>
</cp:coreProperties>
</file>