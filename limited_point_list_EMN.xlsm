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0" windowWidth="19200" windowHeight="12090"/>
  </bookViews>
  <sheets>
    <sheet name="scores" sheetId="1" r:id="rId1"/>
    <sheet name="channelfireball" sheetId="2" r:id="rId2"/>
    <sheet name="smds" sheetId="3" r:id="rId3"/>
    <sheet name="oracle" sheetId="4" r:id="rId4"/>
    <sheet name="cardlist" sheetId="5" r:id="rId5"/>
    <sheet name="tmp" sheetId="6" r:id="rId6"/>
  </sheets>
  <calcPr calcId="125725"/>
</workbook>
</file>

<file path=xl/calcChain.xml><?xml version="1.0" encoding="utf-8"?>
<calcChain xmlns="http://schemas.openxmlformats.org/spreadsheetml/2006/main">
  <c r="I205" i="5"/>
  <c r="H205"/>
  <c r="G205"/>
  <c r="F205"/>
  <c r="I204"/>
  <c r="H204"/>
  <c r="G204"/>
  <c r="F204"/>
  <c r="I203"/>
  <c r="H203"/>
  <c r="G203"/>
  <c r="F203"/>
  <c r="I202"/>
  <c r="H202"/>
  <c r="G202"/>
  <c r="F202"/>
  <c r="I201"/>
  <c r="H201"/>
  <c r="G201"/>
  <c r="F201"/>
  <c r="I200"/>
  <c r="H200"/>
  <c r="G200"/>
  <c r="F200"/>
  <c r="I199"/>
  <c r="H199"/>
  <c r="G199"/>
  <c r="F199"/>
  <c r="I198"/>
  <c r="H198"/>
  <c r="G198"/>
  <c r="F198"/>
  <c r="I197"/>
  <c r="H197"/>
  <c r="G197"/>
  <c r="F197"/>
  <c r="I196"/>
  <c r="H196"/>
  <c r="G196"/>
  <c r="F196"/>
  <c r="I195"/>
  <c r="H195"/>
  <c r="G195"/>
  <c r="F195"/>
  <c r="I194"/>
  <c r="H194"/>
  <c r="G194"/>
  <c r="F194"/>
  <c r="I193"/>
  <c r="H193"/>
  <c r="G193"/>
  <c r="F193"/>
  <c r="I192"/>
  <c r="H192"/>
  <c r="G192"/>
  <c r="F192"/>
  <c r="I191"/>
  <c r="H191"/>
  <c r="G191"/>
  <c r="F191"/>
  <c r="I190"/>
  <c r="H190"/>
  <c r="G190"/>
  <c r="F190"/>
  <c r="I189"/>
  <c r="H189"/>
  <c r="G189"/>
  <c r="F189"/>
  <c r="I188"/>
  <c r="H188"/>
  <c r="G188"/>
  <c r="F188"/>
  <c r="I187"/>
  <c r="H187"/>
  <c r="G187"/>
  <c r="F187"/>
  <c r="I186"/>
  <c r="H186"/>
  <c r="G186"/>
  <c r="F186"/>
  <c r="I185"/>
  <c r="H185"/>
  <c r="G185"/>
  <c r="F185"/>
  <c r="I184"/>
  <c r="H184"/>
  <c r="G184"/>
  <c r="F184"/>
  <c r="I183"/>
  <c r="H183"/>
  <c r="G183"/>
  <c r="F183"/>
  <c r="I182"/>
  <c r="H182"/>
  <c r="G182"/>
  <c r="F182"/>
  <c r="I181"/>
  <c r="H181"/>
  <c r="G181"/>
  <c r="F181"/>
  <c r="I180"/>
  <c r="H180"/>
  <c r="G180"/>
  <c r="F180"/>
  <c r="I179"/>
  <c r="H179"/>
  <c r="G179"/>
  <c r="F179"/>
  <c r="I178"/>
  <c r="H178"/>
  <c r="G178"/>
  <c r="F178"/>
  <c r="I177"/>
  <c r="H177"/>
  <c r="G177"/>
  <c r="F177"/>
  <c r="I176"/>
  <c r="H176"/>
  <c r="G176"/>
  <c r="F176"/>
  <c r="I175"/>
  <c r="H175"/>
  <c r="G175"/>
  <c r="F175"/>
  <c r="I174"/>
  <c r="H174"/>
  <c r="G174"/>
  <c r="F174"/>
  <c r="I173"/>
  <c r="H173"/>
  <c r="G173"/>
  <c r="F173"/>
  <c r="I172"/>
  <c r="H172"/>
  <c r="G172"/>
  <c r="F172"/>
  <c r="I171"/>
  <c r="H171"/>
  <c r="G171"/>
  <c r="F171"/>
  <c r="I170"/>
  <c r="H170"/>
  <c r="G170"/>
  <c r="F170"/>
  <c r="I169"/>
  <c r="H169"/>
  <c r="G169"/>
  <c r="F169"/>
  <c r="I168"/>
  <c r="H168"/>
  <c r="G168"/>
  <c r="F168"/>
  <c r="I167"/>
  <c r="H167"/>
  <c r="G167"/>
  <c r="F167"/>
  <c r="I166"/>
  <c r="H166"/>
  <c r="G166"/>
  <c r="F166"/>
  <c r="I165"/>
  <c r="H165"/>
  <c r="G165"/>
  <c r="F165"/>
  <c r="I164"/>
  <c r="H164"/>
  <c r="G164"/>
  <c r="F164"/>
  <c r="I163"/>
  <c r="H163"/>
  <c r="G163"/>
  <c r="F163"/>
  <c r="I162"/>
  <c r="H162"/>
  <c r="G162"/>
  <c r="F162"/>
  <c r="I161"/>
  <c r="H161"/>
  <c r="G161"/>
  <c r="F161"/>
  <c r="I160"/>
  <c r="H160"/>
  <c r="G160"/>
  <c r="F160"/>
  <c r="I159"/>
  <c r="H159"/>
  <c r="G159"/>
  <c r="F159"/>
  <c r="I158"/>
  <c r="H158"/>
  <c r="G158"/>
  <c r="F158"/>
  <c r="I157"/>
  <c r="H157"/>
  <c r="G157"/>
  <c r="F157"/>
  <c r="I156"/>
  <c r="H156"/>
  <c r="G156"/>
  <c r="F156"/>
  <c r="I155"/>
  <c r="H155"/>
  <c r="G155"/>
  <c r="F155"/>
  <c r="I154"/>
  <c r="H154"/>
  <c r="G154"/>
  <c r="F154"/>
  <c r="I153"/>
  <c r="H153"/>
  <c r="G153"/>
  <c r="F153"/>
  <c r="I152"/>
  <c r="H152"/>
  <c r="G152"/>
  <c r="F152"/>
  <c r="I151"/>
  <c r="H151"/>
  <c r="G151"/>
  <c r="F151"/>
  <c r="I150"/>
  <c r="H150"/>
  <c r="G150"/>
  <c r="F150"/>
  <c r="I149"/>
  <c r="H149"/>
  <c r="G149"/>
  <c r="F149"/>
  <c r="I148"/>
  <c r="H148"/>
  <c r="G148"/>
  <c r="F148"/>
  <c r="I147"/>
  <c r="H147"/>
  <c r="G147"/>
  <c r="F147"/>
  <c r="I146"/>
  <c r="H146"/>
  <c r="G146"/>
  <c r="F146"/>
  <c r="I145"/>
  <c r="H145"/>
  <c r="G145"/>
  <c r="F145"/>
  <c r="I144"/>
  <c r="H144"/>
  <c r="G144"/>
  <c r="F144"/>
  <c r="I143"/>
  <c r="H143"/>
  <c r="G143"/>
  <c r="F143"/>
  <c r="I142"/>
  <c r="H142"/>
  <c r="G142"/>
  <c r="F142"/>
  <c r="I141"/>
  <c r="H141"/>
  <c r="G141"/>
  <c r="F141"/>
  <c r="I140"/>
  <c r="H140"/>
  <c r="G140"/>
  <c r="F140"/>
  <c r="I139"/>
  <c r="H139"/>
  <c r="G139"/>
  <c r="F139"/>
  <c r="I138"/>
  <c r="H138"/>
  <c r="G138"/>
  <c r="F138"/>
  <c r="I137"/>
  <c r="H137"/>
  <c r="G137"/>
  <c r="F137"/>
  <c r="I136"/>
  <c r="H136"/>
  <c r="G136"/>
  <c r="F136"/>
  <c r="I135"/>
  <c r="H135"/>
  <c r="G135"/>
  <c r="F135"/>
  <c r="I134"/>
  <c r="H134"/>
  <c r="G134"/>
  <c r="F134"/>
  <c r="I133"/>
  <c r="H133"/>
  <c r="G133"/>
  <c r="F133"/>
  <c r="I132"/>
  <c r="H132"/>
  <c r="G132"/>
  <c r="F132"/>
  <c r="I131"/>
  <c r="H131"/>
  <c r="G131"/>
  <c r="F131"/>
  <c r="I130"/>
  <c r="H130"/>
  <c r="G130"/>
  <c r="F130"/>
  <c r="I129"/>
  <c r="H129"/>
  <c r="G129"/>
  <c r="F129"/>
  <c r="I128"/>
  <c r="H128"/>
  <c r="G128"/>
  <c r="F128"/>
  <c r="I127"/>
  <c r="H127"/>
  <c r="G127"/>
  <c r="F127"/>
  <c r="I126"/>
  <c r="H126"/>
  <c r="G126"/>
  <c r="F126"/>
  <c r="I125"/>
  <c r="H125"/>
  <c r="G125"/>
  <c r="F125"/>
  <c r="I124"/>
  <c r="H124"/>
  <c r="G124"/>
  <c r="F124"/>
  <c r="I123"/>
  <c r="H123"/>
  <c r="G123"/>
  <c r="F123"/>
  <c r="I122"/>
  <c r="H122"/>
  <c r="G122"/>
  <c r="F122"/>
  <c r="I121"/>
  <c r="H121"/>
  <c r="G121"/>
  <c r="F121"/>
  <c r="I120"/>
  <c r="H120"/>
  <c r="G120"/>
  <c r="F120"/>
  <c r="I119"/>
  <c r="H119"/>
  <c r="G119"/>
  <c r="F119"/>
  <c r="I118"/>
  <c r="H118"/>
  <c r="G118"/>
  <c r="F118"/>
  <c r="I117"/>
  <c r="H117"/>
  <c r="G117"/>
  <c r="F117"/>
  <c r="I116"/>
  <c r="H116"/>
  <c r="G116"/>
  <c r="F116"/>
  <c r="I115"/>
  <c r="H115"/>
  <c r="G115"/>
  <c r="F115"/>
  <c r="I114"/>
  <c r="H114"/>
  <c r="G114"/>
  <c r="F114"/>
  <c r="I113"/>
  <c r="H113"/>
  <c r="G113"/>
  <c r="F113"/>
  <c r="I112"/>
  <c r="H112"/>
  <c r="G112"/>
  <c r="F112"/>
  <c r="I111"/>
  <c r="H111"/>
  <c r="G111"/>
  <c r="F111"/>
  <c r="I110"/>
  <c r="H110"/>
  <c r="G110"/>
  <c r="F110"/>
  <c r="I109"/>
  <c r="H109"/>
  <c r="G109"/>
  <c r="F109"/>
  <c r="I108"/>
  <c r="H108"/>
  <c r="G108"/>
  <c r="F108"/>
  <c r="I107"/>
  <c r="H107"/>
  <c r="G107"/>
  <c r="F107"/>
  <c r="I106"/>
  <c r="H106"/>
  <c r="G106"/>
  <c r="F106"/>
  <c r="I105"/>
  <c r="H105"/>
  <c r="G105"/>
  <c r="F105"/>
  <c r="I104"/>
  <c r="H104"/>
  <c r="G104"/>
  <c r="F104"/>
  <c r="I103"/>
  <c r="H103"/>
  <c r="G103"/>
  <c r="F103"/>
  <c r="I102"/>
  <c r="H102"/>
  <c r="G102"/>
  <c r="F102"/>
  <c r="I101"/>
  <c r="H101"/>
  <c r="G101"/>
  <c r="F101"/>
  <c r="I100"/>
  <c r="H100"/>
  <c r="G100"/>
  <c r="F100"/>
  <c r="I99"/>
  <c r="H99"/>
  <c r="G99"/>
  <c r="F99"/>
  <c r="I98"/>
  <c r="H98"/>
  <c r="G98"/>
  <c r="F98"/>
  <c r="I97"/>
  <c r="H97"/>
  <c r="G97"/>
  <c r="F97"/>
  <c r="I96"/>
  <c r="H96"/>
  <c r="G96"/>
  <c r="F96"/>
  <c r="I95"/>
  <c r="H95"/>
  <c r="G95"/>
  <c r="F95"/>
  <c r="I94"/>
  <c r="H94"/>
  <c r="G94"/>
  <c r="F94"/>
  <c r="I93"/>
  <c r="H93"/>
  <c r="G93"/>
  <c r="F93"/>
  <c r="I92"/>
  <c r="H92"/>
  <c r="G92"/>
  <c r="F92"/>
  <c r="I91"/>
  <c r="H91"/>
  <c r="G91"/>
  <c r="F91"/>
  <c r="I90"/>
  <c r="H90"/>
  <c r="G90"/>
  <c r="F90"/>
  <c r="I89"/>
  <c r="H89"/>
  <c r="G89"/>
  <c r="F89"/>
  <c r="I88"/>
  <c r="H88"/>
  <c r="G88"/>
  <c r="F88"/>
  <c r="I87"/>
  <c r="H87"/>
  <c r="G87"/>
  <c r="F87"/>
  <c r="I86"/>
  <c r="H86"/>
  <c r="G86"/>
  <c r="F86"/>
  <c r="I85"/>
  <c r="H85"/>
  <c r="G85"/>
  <c r="F85"/>
  <c r="I84"/>
  <c r="H84"/>
  <c r="G84"/>
  <c r="F84"/>
  <c r="I83"/>
  <c r="H83"/>
  <c r="G83"/>
  <c r="F83"/>
  <c r="I82"/>
  <c r="H82"/>
  <c r="G82"/>
  <c r="F82"/>
  <c r="I81"/>
  <c r="H81"/>
  <c r="G81"/>
  <c r="F81"/>
  <c r="I80"/>
  <c r="H80"/>
  <c r="G80"/>
  <c r="F80"/>
  <c r="I79"/>
  <c r="H79"/>
  <c r="G79"/>
  <c r="F79"/>
  <c r="I78"/>
  <c r="H78"/>
  <c r="G78"/>
  <c r="F78"/>
  <c r="I77"/>
  <c r="H77"/>
  <c r="G77"/>
  <c r="F77"/>
  <c r="I76"/>
  <c r="H76"/>
  <c r="G76"/>
  <c r="F76"/>
  <c r="I75"/>
  <c r="H75"/>
  <c r="G75"/>
  <c r="F75"/>
  <c r="I74"/>
  <c r="H74"/>
  <c r="G74"/>
  <c r="F74"/>
  <c r="I73"/>
  <c r="H73"/>
  <c r="G73"/>
  <c r="F73"/>
  <c r="I72"/>
  <c r="H72"/>
  <c r="G72"/>
  <c r="F72"/>
  <c r="I71"/>
  <c r="H71"/>
  <c r="G71"/>
  <c r="F71"/>
  <c r="I70"/>
  <c r="H70"/>
  <c r="G70"/>
  <c r="F70"/>
  <c r="I69"/>
  <c r="H69"/>
  <c r="G69"/>
  <c r="F69"/>
  <c r="I68"/>
  <c r="H68"/>
  <c r="G68"/>
  <c r="F68"/>
  <c r="I67"/>
  <c r="H67"/>
  <c r="G67"/>
  <c r="F67"/>
  <c r="I66"/>
  <c r="H66"/>
  <c r="G66"/>
  <c r="F66"/>
  <c r="I65"/>
  <c r="H65"/>
  <c r="G65"/>
  <c r="F65"/>
  <c r="I64"/>
  <c r="H64"/>
  <c r="G64"/>
  <c r="F64"/>
  <c r="I63"/>
  <c r="H63"/>
  <c r="G63"/>
  <c r="F63"/>
  <c r="I62"/>
  <c r="H62"/>
  <c r="G62"/>
  <c r="F62"/>
  <c r="I61"/>
  <c r="H61"/>
  <c r="G61"/>
  <c r="F61"/>
  <c r="I60"/>
  <c r="H60"/>
  <c r="G60"/>
  <c r="F60"/>
  <c r="I59"/>
  <c r="H59"/>
  <c r="G59"/>
  <c r="F59"/>
  <c r="I58"/>
  <c r="H58"/>
  <c r="G58"/>
  <c r="F58"/>
  <c r="I57"/>
  <c r="H57"/>
  <c r="G57"/>
  <c r="F57"/>
  <c r="I56"/>
  <c r="H56"/>
  <c r="G56"/>
  <c r="F56"/>
  <c r="I55"/>
  <c r="H55"/>
  <c r="G55"/>
  <c r="F55"/>
  <c r="I54"/>
  <c r="H54"/>
  <c r="G54"/>
  <c r="F54"/>
  <c r="I53"/>
  <c r="H53"/>
  <c r="G53"/>
  <c r="F53"/>
  <c r="I52"/>
  <c r="H52"/>
  <c r="G52"/>
  <c r="F52"/>
  <c r="I51"/>
  <c r="H51"/>
  <c r="G51"/>
  <c r="F51"/>
  <c r="I50"/>
  <c r="H50"/>
  <c r="G50"/>
  <c r="F50"/>
  <c r="I49"/>
  <c r="H49"/>
  <c r="G49"/>
  <c r="F49"/>
  <c r="I48"/>
  <c r="H48"/>
  <c r="G48"/>
  <c r="F48"/>
  <c r="I47"/>
  <c r="H47"/>
  <c r="G47"/>
  <c r="F47"/>
  <c r="I46"/>
  <c r="H46"/>
  <c r="G46"/>
  <c r="F46"/>
  <c r="I45"/>
  <c r="H45"/>
  <c r="G45"/>
  <c r="F45"/>
  <c r="I44"/>
  <c r="H44"/>
  <c r="G44"/>
  <c r="F44"/>
  <c r="I43"/>
  <c r="H43"/>
  <c r="G43"/>
  <c r="F43"/>
  <c r="I42"/>
  <c r="H42"/>
  <c r="G42"/>
  <c r="F42"/>
  <c r="I41"/>
  <c r="H41"/>
  <c r="G41"/>
  <c r="F41"/>
  <c r="I40"/>
  <c r="H40"/>
  <c r="G40"/>
  <c r="F40"/>
  <c r="I39"/>
  <c r="H39"/>
  <c r="G39"/>
  <c r="F39"/>
  <c r="I38"/>
  <c r="H38"/>
  <c r="G38"/>
  <c r="F38"/>
  <c r="I37"/>
  <c r="H37"/>
  <c r="G37"/>
  <c r="F37"/>
  <c r="I36"/>
  <c r="H36"/>
  <c r="G36"/>
  <c r="F36"/>
  <c r="I35"/>
  <c r="H35"/>
  <c r="G35"/>
  <c r="F35"/>
  <c r="I34"/>
  <c r="H34"/>
  <c r="G34"/>
  <c r="F34"/>
  <c r="I33"/>
  <c r="H33"/>
  <c r="G33"/>
  <c r="F33"/>
  <c r="I32"/>
  <c r="H32"/>
  <c r="G32"/>
  <c r="F32"/>
  <c r="I31"/>
  <c r="H31"/>
  <c r="G31"/>
  <c r="F31"/>
  <c r="I30"/>
  <c r="H30"/>
  <c r="G30"/>
  <c r="F30"/>
  <c r="I29"/>
  <c r="H29"/>
  <c r="G29"/>
  <c r="F29"/>
  <c r="I28"/>
  <c r="H28"/>
  <c r="G28"/>
  <c r="F28"/>
  <c r="I27"/>
  <c r="H27"/>
  <c r="G27"/>
  <c r="F27"/>
  <c r="I26"/>
  <c r="H26"/>
  <c r="G26"/>
  <c r="F26"/>
  <c r="I25"/>
  <c r="H25"/>
  <c r="G25"/>
  <c r="F25"/>
  <c r="I24"/>
  <c r="H24"/>
  <c r="G24"/>
  <c r="F24"/>
  <c r="I23"/>
  <c r="H23"/>
  <c r="G23"/>
  <c r="F23"/>
  <c r="I22"/>
  <c r="H22"/>
  <c r="G22"/>
  <c r="F22"/>
  <c r="I21"/>
  <c r="H21"/>
  <c r="G21"/>
  <c r="F21"/>
  <c r="I20"/>
  <c r="H20"/>
  <c r="G20"/>
  <c r="F20"/>
  <c r="I19"/>
  <c r="H19"/>
  <c r="G19"/>
  <c r="F19"/>
  <c r="I18"/>
  <c r="H18"/>
  <c r="G18"/>
  <c r="F18"/>
  <c r="I17"/>
  <c r="H17"/>
  <c r="G17"/>
  <c r="F17"/>
  <c r="I16"/>
  <c r="H16"/>
  <c r="G16"/>
  <c r="F16"/>
  <c r="I15"/>
  <c r="H15"/>
  <c r="G15"/>
  <c r="F15"/>
  <c r="I14"/>
  <c r="H14"/>
  <c r="G14"/>
  <c r="F14"/>
  <c r="I13"/>
  <c r="H13"/>
  <c r="G13"/>
  <c r="F13"/>
  <c r="I12"/>
  <c r="H12"/>
  <c r="G12"/>
  <c r="F12"/>
  <c r="I11"/>
  <c r="H11"/>
  <c r="G11"/>
  <c r="F11"/>
  <c r="I10"/>
  <c r="H10"/>
  <c r="G10"/>
  <c r="F10"/>
  <c r="I9"/>
  <c r="H9"/>
  <c r="G9"/>
  <c r="F9"/>
  <c r="I8"/>
  <c r="H8"/>
  <c r="G8"/>
  <c r="F8"/>
  <c r="I7"/>
  <c r="H7"/>
  <c r="G7"/>
  <c r="F7"/>
  <c r="I6"/>
  <c r="H6"/>
  <c r="G6"/>
  <c r="F6"/>
  <c r="I5"/>
  <c r="H5"/>
  <c r="G5"/>
  <c r="F5"/>
  <c r="I4"/>
  <c r="H4"/>
  <c r="G4"/>
  <c r="F4"/>
  <c r="I3"/>
  <c r="H3"/>
  <c r="G3"/>
  <c r="F3"/>
  <c r="I2"/>
  <c r="H2"/>
  <c r="G2"/>
  <c r="F2"/>
  <c r="I1"/>
  <c r="H1"/>
  <c r="G1"/>
  <c r="F1"/>
  <c r="E205"/>
  <c r="D205"/>
  <c r="E204"/>
  <c r="D204"/>
  <c r="E203"/>
  <c r="D203"/>
  <c r="E202"/>
  <c r="D202"/>
  <c r="E201"/>
  <c r="D201"/>
  <c r="E200"/>
  <c r="D200"/>
  <c r="E199"/>
  <c r="D199"/>
  <c r="E198"/>
  <c r="D198"/>
  <c r="E197"/>
  <c r="D197"/>
  <c r="E196"/>
  <c r="D196"/>
  <c r="E195"/>
  <c r="D195"/>
  <c r="E194"/>
  <c r="D194"/>
  <c r="E193"/>
  <c r="D193"/>
  <c r="E192"/>
  <c r="D192"/>
  <c r="E191"/>
  <c r="D191"/>
  <c r="E190"/>
  <c r="D190"/>
  <c r="E189"/>
  <c r="D189"/>
  <c r="E188"/>
  <c r="D188"/>
  <c r="E187"/>
  <c r="D187"/>
  <c r="E186"/>
  <c r="D186"/>
  <c r="E185"/>
  <c r="D185"/>
  <c r="E184"/>
  <c r="D184"/>
  <c r="E183"/>
  <c r="D183"/>
  <c r="E182"/>
  <c r="D182"/>
  <c r="E181"/>
  <c r="D181"/>
  <c r="E180"/>
  <c r="D180"/>
  <c r="E179"/>
  <c r="D179"/>
  <c r="E178"/>
  <c r="D178"/>
  <c r="E177"/>
  <c r="D177"/>
  <c r="E176"/>
  <c r="D176"/>
  <c r="E175"/>
  <c r="D175"/>
  <c r="E174"/>
  <c r="D174"/>
  <c r="E173"/>
  <c r="D173"/>
  <c r="E172"/>
  <c r="D172"/>
  <c r="E171"/>
  <c r="D171"/>
  <c r="E170"/>
  <c r="D170"/>
  <c r="E169"/>
  <c r="D169"/>
  <c r="E168"/>
  <c r="D168"/>
  <c r="E167"/>
  <c r="D167"/>
  <c r="E166"/>
  <c r="D166"/>
  <c r="E165"/>
  <c r="D165"/>
  <c r="E164"/>
  <c r="D164"/>
  <c r="E163"/>
  <c r="D163"/>
  <c r="E162"/>
  <c r="D162"/>
  <c r="E161"/>
  <c r="D161"/>
  <c r="E160"/>
  <c r="D160"/>
  <c r="E159"/>
  <c r="D159"/>
  <c r="E158"/>
  <c r="D158"/>
  <c r="E157"/>
  <c r="D157"/>
  <c r="E156"/>
  <c r="D156"/>
  <c r="E155"/>
  <c r="D155"/>
  <c r="E154"/>
  <c r="D154"/>
  <c r="E153"/>
  <c r="D153"/>
  <c r="E152"/>
  <c r="D152"/>
  <c r="E151"/>
  <c r="D151"/>
  <c r="E150"/>
  <c r="D150"/>
  <c r="E149"/>
  <c r="D149"/>
  <c r="E148"/>
  <c r="D148"/>
  <c r="E147"/>
  <c r="D147"/>
  <c r="E146"/>
  <c r="D146"/>
  <c r="E145"/>
  <c r="D145"/>
  <c r="E144"/>
  <c r="D144"/>
  <c r="E143"/>
  <c r="D143"/>
  <c r="E142"/>
  <c r="D142"/>
  <c r="E141"/>
  <c r="D141"/>
  <c r="E140"/>
  <c r="D140"/>
  <c r="E139"/>
  <c r="D139"/>
  <c r="E138"/>
  <c r="D138"/>
  <c r="E137"/>
  <c r="D137"/>
  <c r="E136"/>
  <c r="D136"/>
  <c r="E135"/>
  <c r="D135"/>
  <c r="E134"/>
  <c r="D134"/>
  <c r="E133"/>
  <c r="D133"/>
  <c r="E132"/>
  <c r="D132"/>
  <c r="E131"/>
  <c r="D131"/>
  <c r="E130"/>
  <c r="D130"/>
  <c r="E129"/>
  <c r="D129"/>
  <c r="E128"/>
  <c r="D128"/>
  <c r="E127"/>
  <c r="D127"/>
  <c r="E126"/>
  <c r="D126"/>
  <c r="E125"/>
  <c r="D125"/>
  <c r="E124"/>
  <c r="D124"/>
  <c r="E123"/>
  <c r="D123"/>
  <c r="E122"/>
  <c r="D122"/>
  <c r="E121"/>
  <c r="D121"/>
  <c r="E120"/>
  <c r="D120"/>
  <c r="E119"/>
  <c r="D119"/>
  <c r="E118"/>
  <c r="D118"/>
  <c r="E117"/>
  <c r="D117"/>
  <c r="E116"/>
  <c r="D116"/>
  <c r="E115"/>
  <c r="D115"/>
  <c r="E114"/>
  <c r="D114"/>
  <c r="E113"/>
  <c r="D113"/>
  <c r="E112"/>
  <c r="D112"/>
  <c r="E111"/>
  <c r="D111"/>
  <c r="E110"/>
  <c r="D110"/>
  <c r="E109"/>
  <c r="D109"/>
  <c r="E108"/>
  <c r="D108"/>
  <c r="E107"/>
  <c r="D107"/>
  <c r="E106"/>
  <c r="D106"/>
  <c r="E105"/>
  <c r="D105"/>
  <c r="E104"/>
  <c r="D104"/>
  <c r="E103"/>
  <c r="D103"/>
  <c r="E102"/>
  <c r="D102"/>
  <c r="E101"/>
  <c r="D101"/>
  <c r="E100"/>
  <c r="D100"/>
  <c r="E99"/>
  <c r="D99"/>
  <c r="E98"/>
  <c r="D98"/>
  <c r="E97"/>
  <c r="D97"/>
  <c r="E96"/>
  <c r="D96"/>
  <c r="E95"/>
  <c r="D95"/>
  <c r="E94"/>
  <c r="D94"/>
  <c r="E93"/>
  <c r="D93"/>
  <c r="E92"/>
  <c r="D92"/>
  <c r="E91"/>
  <c r="D91"/>
  <c r="E90"/>
  <c r="D90"/>
  <c r="E89"/>
  <c r="D89"/>
  <c r="E88"/>
  <c r="D88"/>
  <c r="E87"/>
  <c r="D87"/>
  <c r="E86"/>
  <c r="D86"/>
  <c r="E85"/>
  <c r="D85"/>
  <c r="E84"/>
  <c r="D84"/>
  <c r="E83"/>
  <c r="D83"/>
  <c r="E82"/>
  <c r="D82"/>
  <c r="E81"/>
  <c r="D81"/>
  <c r="E80"/>
  <c r="D80"/>
  <c r="E79"/>
  <c r="D79"/>
  <c r="E78"/>
  <c r="D78"/>
  <c r="E77"/>
  <c r="D77"/>
  <c r="E76"/>
  <c r="D76"/>
  <c r="E75"/>
  <c r="D75"/>
  <c r="E74"/>
  <c r="D74"/>
  <c r="E73"/>
  <c r="D73"/>
  <c r="E72"/>
  <c r="D72"/>
  <c r="E71"/>
  <c r="D71"/>
  <c r="E70"/>
  <c r="D70"/>
  <c r="E69"/>
  <c r="D69"/>
  <c r="E68"/>
  <c r="D68"/>
  <c r="E67"/>
  <c r="D67"/>
  <c r="E66"/>
  <c r="D66"/>
  <c r="E65"/>
  <c r="D65"/>
  <c r="E64"/>
  <c r="D64"/>
  <c r="E63"/>
  <c r="D63"/>
  <c r="E62"/>
  <c r="D62"/>
  <c r="E61"/>
  <c r="D61"/>
  <c r="E60"/>
  <c r="D60"/>
  <c r="E59"/>
  <c r="D59"/>
  <c r="E58"/>
  <c r="D58"/>
  <c r="E57"/>
  <c r="D57"/>
  <c r="E56"/>
  <c r="D56"/>
  <c r="E55"/>
  <c r="D55"/>
  <c r="E54"/>
  <c r="D54"/>
  <c r="E53"/>
  <c r="D53"/>
  <c r="E52"/>
  <c r="D52"/>
  <c r="E51"/>
  <c r="D51"/>
  <c r="E50"/>
  <c r="D50"/>
  <c r="E49"/>
  <c r="D49"/>
  <c r="E48"/>
  <c r="D48"/>
  <c r="E47"/>
  <c r="D47"/>
  <c r="E46"/>
  <c r="D46"/>
  <c r="E45"/>
  <c r="D45"/>
  <c r="E44"/>
  <c r="D44"/>
  <c r="E43"/>
  <c r="D43"/>
  <c r="E42"/>
  <c r="D42"/>
  <c r="E41"/>
  <c r="D41"/>
  <c r="E40"/>
  <c r="D40"/>
  <c r="E39"/>
  <c r="D39"/>
  <c r="E38"/>
  <c r="D38"/>
  <c r="E37"/>
  <c r="D37"/>
  <c r="E36"/>
  <c r="D36"/>
  <c r="E35"/>
  <c r="D35"/>
  <c r="E34"/>
  <c r="D34"/>
  <c r="E33"/>
  <c r="D33"/>
  <c r="E32"/>
  <c r="D32"/>
  <c r="E31"/>
  <c r="D31"/>
  <c r="E30"/>
  <c r="D30"/>
  <c r="E29"/>
  <c r="D29"/>
  <c r="E28"/>
  <c r="D28"/>
  <c r="E27"/>
  <c r="D27"/>
  <c r="E26"/>
  <c r="D26"/>
  <c r="E25"/>
  <c r="D25"/>
  <c r="E24"/>
  <c r="D24"/>
  <c r="E23"/>
  <c r="D23"/>
  <c r="E22"/>
  <c r="D22"/>
  <c r="E21"/>
  <c r="D21"/>
  <c r="E20"/>
  <c r="D20"/>
  <c r="E19"/>
  <c r="D19"/>
  <c r="E18"/>
  <c r="D18"/>
  <c r="E17"/>
  <c r="D17"/>
  <c r="E16"/>
  <c r="D16"/>
  <c r="E15"/>
  <c r="D15"/>
  <c r="E14"/>
  <c r="D14"/>
  <c r="E13"/>
  <c r="D13"/>
  <c r="E12"/>
  <c r="D12"/>
  <c r="E11"/>
  <c r="D11"/>
  <c r="E10"/>
  <c r="D10"/>
  <c r="E9"/>
  <c r="D9"/>
  <c r="E8"/>
  <c r="D8"/>
  <c r="E7"/>
  <c r="D7"/>
  <c r="E6"/>
  <c r="D6"/>
  <c r="E5"/>
  <c r="D5"/>
  <c r="E4"/>
  <c r="D4"/>
  <c r="E3"/>
  <c r="D3"/>
  <c r="E2"/>
  <c r="D2"/>
  <c r="E1"/>
  <c r="D1"/>
  <c r="B2" i="1"/>
</calcChain>
</file>

<file path=xl/sharedStrings.xml><?xml version="1.0" encoding="utf-8"?>
<sst xmlns="http://schemas.openxmlformats.org/spreadsheetml/2006/main" count="4290" uniqueCount="801">
  <si>
    <t>Liliana, the Last Hope</t>
  </si>
  <si>
    <t>Blessed Alliance</t>
  </si>
  <si>
    <t>Escalate is one of the new mechanics in Eldritch Moon. Cards with escalate are extremely flexible; you can sink varying amounts of mana into them, and they have?multiple?modes to choose from. Most of the cards have one or two bread-and-butter modes that you’ll be using most of the time in Limited. The rest are situational, bonus modes that can be nice, but shouldn’t drastically change your valuation of the cards.In the case of Blessed Alliance, the bread and butter ability is making the opponent sacrifice an attacking creature (this is the only mode that gives you a card’s worth of value). However, the two bonus abilities make it a reasonably powerful utility spell.It’s difficult to kill two attackers with Blessed Alliance, because if you escalate and try to untap creatures for an ambush, your opponent can choose to sacrifice a weaker or non-evasive attacker. That said, you can certainly contrive situations where you can kill multiple attackers, and sometimes the stars do align.Finally, while you should basically never play with a card that does nothing but gain you life, having the gain-4 option tacked on to this card at such a low cost is also fantastic.</t>
  </si>
  <si>
    <t>Borrowed Grace</t>
  </si>
  <si>
    <t>I’m not a fan of Trumpet Blast. But Borrowed Grace will be Trumpet Blast when Trumpet Blast is good (a.k.a. lethal). It gives your team the full +2/+2 when the game stalls out, and every now and then it will save a creature for 3 mana. Escalate is a powerful ability, and Borrowed Grace is a very good version of what it does.Not every deck will be interested in Borrowed Grace, and it’s not the type of card you’ll want more than 1 or 2 copies of. But when you have an aggressive, white, creature-swarm deck, Borrowed Grace will be a great?addition.</t>
  </si>
  <si>
    <t>Bruna, the Fading Light // Brisela, Voice of Nightmares</t>
  </si>
  <si>
    <t>When you can spend 7 mana on a 5/7 flyer plus another relevant body, you have a Limited bomb. The only reason Bruna doesn’t earn a 4.5 rating is because every once in a while you won’t have an Angel or Human in your graveyard to return.Still, I think you’ll get max value from Bruna often enough that you should pick her highly, and not worry too much about drafting around her.Oh, also, she can meld with a mythic rare bomb when you draft both, draw them both together, and they both survive. This should not factor into your Limited evaluation.</t>
  </si>
  <si>
    <t>Choking Restraints</t>
  </si>
  <si>
    <t>Choking Restraints is Eldritch Moon’s version of the Pacifism, Arrest, and Bound by Moonsilver category of removal. These cards are typically excellent, and tend to rank higher than the vast majority of white commons.The weakness of Choking Restraints is that it cannot stop a creature with an annoying noncombat ability, such as Reckless Scholar. Its second ability somewhat corrects that weakness if you have the time and mana to spend on it. Most of the time, you’ll simply use this to remove a blocker. But some games do play out where you simply need to remove an opposing Drogskol Cavalry from the battlefield at any cost, and the fact that Choking Restraints can do it is certainly a plus. The activated ability can help it combo with Ironclad Slayer as well!Choking Restraints is marginally worse than Bound by Moonsilver, but is still excellent. It’s a card you should be happy to pick highly, and should play in as many copies as you can get.</t>
  </si>
  <si>
    <t>Collective?Effort</t>
  </si>
  <si>
    <t>You’ll most commonly use the Smite the Monstrous and the “Nissa -2” modes on Collective Effort. In doing so, you combine a solid removal spell with a free, permanent power and toughness bonus to your whole team. The result is a great Limited card. The ability to sometimes tack on destroying an enchantment is just gravy!</t>
  </si>
  <si>
    <t>Courageous Outrider</t>
  </si>
  <si>
    <t>With only 5 other Humans in your deck, you’ll hit with Courageous Outrider close to 50% of the time. In a white-based creature deck, you’ll have a good chance of having more than 5 other Humans, and the odds will go further in your favor.Courageous Outrider isn’t quite as good as a 4-mana 3/4?that draws a card, but it’s pretty close. When you do find a creature, the ability winds up being better than drawing a card because you know you’re getting action instead of something random (which could be a land).</t>
  </si>
  <si>
    <t>Dawn Gryff</t>
  </si>
  <si>
    <t>Wind Drake is an oldie but a goodie. Dawn Gryff also fits white’s theme of evasive beatdown, and is good in a deck with equipment or other ways to buff creatures. This is a solid card, but might once in a while get cut from more defensive white decks.</t>
  </si>
  <si>
    <t>Deploy the Gatewatch</t>
  </si>
  <si>
    <t>If you somehow end up with 3 planeswalkers and Deploy the Gatewatch in Limited―congratulations, everybody hates you.</t>
  </si>
  <si>
    <t>Desperate Sentry</t>
  </si>
  <si>
    <t>Desperate Sentry does a lot, and has a pretty high raw power level for a common. It’s fantastic in a deck that can count on getting delirium. It’s also solid in a defensive deck that simply wants to block with it (3 mana for a 3/2 is a baseline rate, and getting a free chump-block from Desperate Sentry makes it a little better than that). It also does a nice job holding equipment, which is a bit of a theme in white.Don’t play this in an aggressive, non-delirium deck unless you’re desperate. In such a deck, you’ll have trouble getting him to die, and pecking away for 1 damage at a time is not what you want to get from your 3-drop creature.</t>
  </si>
  <si>
    <t>Drogskol Shieldmate</t>
  </si>
  <si>
    <t>Flash is quite a powerful ability in Limited, giving you the potential to ambush a smaller attacking creature. But all of the flash creatures in Eldritch Moon and Shadows over Innistrad are hurt by the fact that there are so many of them. Players will quickly learn to be wary of attacking small ground creatures into open mana, and so?the number of times Drogskol Shieldmate will successfully ambush a 2-drop won’t be quite as high as you would like.Drogskol Shieldmate also has a minor combat-trick element, offering the possibility of saving one of your creatures. 1 toughness isn’t much, and again, it might end up being harder to get full value from Drogskol Shieldmate in practice than you would like in theory.All told, the Shieldmate is going to be an average body (very slightly below average), with two outside chances at giving you extra value. This amounts to a creature you’ll be happy to play with. Some drafters will also be in the market for a Spirit creature type.</t>
  </si>
  <si>
    <t>Extricator of Sin // Extricator of Flesh</t>
  </si>
  <si>
    <t>There’s a lot going on with Extricator of Sin, and it’s not the easiest card to evaluate. Looking at it as a 3-drop in an average deck, it’s not that appealing. You won’t want to sacrifice a land early in the game, and it would only offer a marginal upgrade to your 2-drop creature. If you’re not trying for it, you usually don’t achieve delirium until turn 7 or 8, at which point Extricator of Flesh won’t be the most powerful creature on the battlefield.Looking at it as a late-game play, it gets a bit more appealing. On the one hand, 3/2 Eldrazi start to get outclassed deep into the game, but you’re also more likely to have a disposable permanent (like an extra land or a creature with Choking Restraints on it), and the sacrifice effect can help you get delirium. Now you have a threatening body on the table that the opponent might need to spend removal on to prevent you from transforming into Extricator of Flesh.Finally, if you look at Extricator of Sin in the context of a dedicated delirium deck, it looks pretty great. The front side can help you get your last card type for delirium, and then transforms very quickly into a big creature with a powerful ability.You have to do a little bit of work to make good use of Extricator of Sin, but the power level is high, and I’ve given it a very solid rating. You won’t want this in your most aggressive decks, but it’s great if you’re going for delirium, and I think it’s good enough to just play for value in decks of average speed.</t>
  </si>
  <si>
    <t>Faith Unbroken</t>
  </si>
  <si>
    <t>I don’t love putting my faith in a card this swingy, but the power level breaks through the roof. When it works, you’ll eliminate your opponent’s best creature―no questions asked―while simultaneously creating a giant threat on the battlefield (with the benefit of some immediate damage coming through).When it doesn’t work, Faith Unbroken creates a 2-for-1 in the opponent’s favor just like any other Aura. The good news is that you can cast it when the opponent is tapped out for a huge board-presence swing that might allow you to either win the game or unload a ton of damage immediately.Because the downside is higher, Faith Unbroken is a bit worse than Banisher Priest. But it’s still a powerful card that aggressive white decks will be very interested in. When it goes unanswered, Faith Unbroken will lead to some easy and convincing wins.</t>
  </si>
  <si>
    <t>Faithbearer Paladin</t>
  </si>
  <si>
    <t>Faithbearer Paladin is basically my definition of a filler card. Lifelink on a creature this size is roughly equal to having an extra +1/+1, which makes Faithbearer Paladin equal on power level to Thornhide Wolves. Both creatures will continue to make the cut in my decks a little more than half the time.</t>
  </si>
  <si>
    <t>Fiend Binder</t>
  </si>
  <si>
    <t>Fiend Binder looked like a great card when I thought it was 3 mana. When I reread it, I became much less excited. Even with tapping down one?blocker, a 2-toughness creature often won’t make it out of the red zone alive on the fifth turn of the game.Getting this effect as an attack trigger is about equal to the enters-the-battlefield trigger on Voldaren Duelist. The fact that Fiend Binder lacks haste makes it far worse.Fiend Binder offers a powerful effect if it can successfully attack for a few turns in a row. Unfortunately, the bottom line is that its stats are simply too far below par for your 4-drop creature to be an exciting card. This is filler for aggressive decks, and should be avoided in defensive decks.</t>
  </si>
  <si>
    <t>Geist of the Lonely Vigil</t>
  </si>
  <si>
    <t>A 2-drop creature that can’t attack is fairly unappealing, and a 2/3?attacker in the late game isn’t exactly a big payoff. There will be some middle ground―defensive delirium decks―where getting both is good enough. But Geist of the Lonely Vigil is a fairly unexciting card that won’t wind up as a high pick.</t>
  </si>
  <si>
    <t>Gisela, the Broken Blade // Brisela, Voice of Nightmares</t>
  </si>
  <si>
    <t>Gisela is the closest thing you’re going to get to Baneslayer Angel on Innistrad, and she sure looks broken to me. She’s cheap to cast and virtually impossible to race?or?beat in combat. What keeps her from earning the perfect 5.0 is her vulnerability to many of the format’s common removal spells.Gisela should be one of the cards you’re most excited to open in?Draft or Sealed Deck.</t>
  </si>
  <si>
    <t>Give No Ground</t>
  </si>
  <si>
    <t>Defensive combat tricks are a particularly unloved category of cards. Are you really going to pass the turn with 4 mana open for Give No Ground, just in case your opponent goes for a big attack? Are you really going to cast it into your opponent’s open mana and risk getting blown out by a removal spell? Sure, sometimes you’ll do these things, and sometimes it will work out nicely, but Give No Ground is the type of card that you should not be planning your strategy around.</t>
  </si>
  <si>
    <t>Guardian of Pilgrims</t>
  </si>
  <si>
    <t>2-drops are incredibly important for white aggressive decks, and Guardian of Pilgrims is a good, efficient one. Grizzly Bears is solid enough that you’re happy to play this on turn 2 just to get something on the board. If you draw it on turn 5, you can get a bit of extra value, letting one of your creatures attack into a bigger blocker. Add the fact that it has a relevant creature type, and you have a solid?card that you’ll be happy to snatch up during the middle picks of the draft, once you’ve solidified yourself in white.</t>
  </si>
  <si>
    <t>Ironclad Slayer</t>
  </si>
  <si>
    <t>Choking Restraints is a premium common that might wind up in your graveyard in the very late game. Beyond that, it doesn’t look like it will be particularly easy or convenient to get Auras and equipments into your graveyard for the purposes of Ironclad Slayer. There are ways to mill yourself in Eldritch Moon/Shadows over Innistrad Limited, but that doesn’t seem to be a major theme of white.Ironclad Slayer is an average creature that offers the potential for some late game value. Even if you’re only returning an Aura 20% of the time, this is still a solid filler card.</t>
  </si>
  <si>
    <t>Ironwright's Cleansing</t>
  </si>
  <si>
    <t>Try not to maindeck Ironwright’s Cleansing, but there seem to be enough artifacts and enchantments in this Limited format that it wouldn’t be a complete catastrophe if you had to do so. Beyond that, it looks like a solid sideboard card.</t>
  </si>
  <si>
    <t>Lone Rider // It That Rides as One</t>
  </si>
  <si>
    <t>Lone Rider is weak on the front side, and requires a bit of effort to transform. This is the type of card that will become very fun if you happen to pick up multiples early and can draft around them. But a lone Lone Rider isn’t someone you particularly need on your team.</t>
  </si>
  <si>
    <t>Long Road Home</t>
  </si>
  <si>
    <t>If you’ve read much of my writing on Limited, you’ll know that I have a strong tendency to dislike cards that are not creatures or removal spells. I’m going to err toward giving cards like Long Road Home low ratings. But where that means you shouldn’t be spending high draft picks on them, there can certainly still be a time and place for playing with them.Put Long Road Home in your deck main deck when you have several creatures with powerful enters-the-battlefield triggers. Sideboard it in to beat pesky Auras like Sleep Paralysis and Bound by Moonsilver. You can also use it to save your creature from a removal spell, or to remove a blocker on the turn you attack for lethal, but if those are the only things you can do, you’re better off leaving this at home.</t>
  </si>
  <si>
    <t>Lunarch Mantle</t>
  </si>
  <si>
    <t>Lunarch Mantle is an average Aura, and average Auras are generally weak in Limited. If this was Spectral Flight, I’d be interested, and Lunarch Mantle can help you with a few corner-case situations, like getting delirium. Unfortunately, having to both spend mana and sacrifice a permanent means that you can’t keep?giving your creature flying turn after turn.Lunarch Mantle is a decent rate for an aggressive deck, and there are a few cards (like Ironclad Slayer) that incentivize you to play with Auras. All told, I’d say this is a below-average filler card.</t>
  </si>
  <si>
    <t>Peace of Mind</t>
  </si>
  <si>
    <t>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t>
  </si>
  <si>
    <t>Providence</t>
  </si>
  <si>
    <t>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t>
  </si>
  <si>
    <t>Sanctifier of Souls</t>
  </si>
  <si>
    <t>Token generators are traditionally powerful in Limited. Sanctifier of Souls is a repeatable token maker, but is limited to the number of creatures you can get into your graveyard. This is a card that will have a big impact on a protracted game, and I can’t imagine cutting it from a white deck. That said, I don’t see it as being one of the strongest rares in the set.</t>
  </si>
  <si>
    <t>Selfless Spirit</t>
  </si>
  <si>
    <t>Selfless Spirit is not a bomb, but it is a supremely good and efficient card. 2 mana, 2-power flyers are already premium cards in Limited, and this has the additional ability to save a better creature from removal or to bail you out of an otherwise-disastrous combat step.</t>
  </si>
  <si>
    <t>Sigarda's Aid</t>
  </si>
  <si>
    <t>If you have so much equipment in your deck that you’re considering Sigarda’s Aid, you’ve probably already done something very wrong. What’s worse is that this is card disadvantage, and does nothing as a late-game topdeck. If you work hard, you might be able to dream up a game that plays out in such a way where Sigarda’s Aid is decent, but trust me when I say that you’ll win a lot more if you ignore this card.</t>
  </si>
  <si>
    <t>Sigardian Priest</t>
  </si>
  <si>
    <t>Sigardian Priest is a functional reprint (and a fairly uncreative one at that) of Avacynian Priest, which was one of the best white commons in original Innistrad. A lot of creatures are Humans, but a lot are not, and Sigardian Priest gives you control over the battlefield.Tappers tend to be excellent in Limited, and Sigardian Priest is a very good, efficient tapper.</t>
  </si>
  <si>
    <t>Spectral Reserves</t>
  </si>
  <si>
    <t>You’d rather have a Courier Griffin than Spectral Reserves, but Courier Griffin was a strong filler card that would rarely get cut from a deck. Spectral Reserves seems like a completely fine, bread-and-butter card. You won’t want it in super-aggressive decks, but in average or controlling decks, this can buy you time, offer you value, and present some flying attackers.I’d also mention that Spectral Reserves gives you two?bodies to hold equipment, but that would be a bit of a flavor fail…</t>
  </si>
  <si>
    <t>Steadfast Cathar</t>
  </si>
  <si>
    <t>Aggressive white decks want 2-drops, and attacking as a 2/3?is a very solid rate for a 2-drop. Unfortunately, sitting around as a 2/1 creature also makes Steadfast Cathar vulnerable to the pinging effects (think Tooth Collector) that are reasonably prevalent in Eldritch Moon and Shadows over Innistrad. Overall, this is an average, or slightly above average card that you’ll play when you’re aggressive or when you need a 2-drop.</t>
  </si>
  <si>
    <t>Subjugator Angel</t>
  </si>
  <si>
    <t>The first thing I look for in my 6-drop creature is its ability to stabilize the board and bring me back from a tough situation. Subjugator Angel doesn’t earn high marks in that category, having a measly 3 toughness, and an ability that doesn’t contribute much to defense.On the other hand, its ability to act as a “super Voldaren Duelist” is not to be ignored. There is one tough situation that Subjugator Angel can get you out of, which is when a stronger late-game deck has stabilized against you, and you need to finish them off before things away from you completely. The Angel is so good at this particular job that you might be willing to stretch your curve all the way up to 6 mana in your WR beatdown decks when you would've otherwise stopped at 4 or 5.As a?mediocre 6-drop for the decks that normally want 6-drops, and a stellar 6-drop for the decks that normally don’t want 6-drops, Subjugator Angel is an interesting card. In a completely normal-looking deck (let’s say an average WB deck), the raw power level makes this a card you’ll be happy to play with.</t>
  </si>
  <si>
    <t>Thalia, Heretic Cathar</t>
  </si>
  <si>
    <t>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t>
  </si>
  <si>
    <t>Thalia’s Lancers</t>
  </si>
  <si>
    <t>2.5/4.5</t>
  </si>
  <si>
    <t>Thalia’s Lancers require things to have gone pretty well for you before they can be at their most powerful―both the floor and the ceiling are pretty high in terms of their power level. 5 mana for a 4/4 first strike usually makes?the cut in your draft deck on its own. If you add searching for your bomb rare onto that, then you have something really special.Given something like a Bruna, the Fading Light to search for, Thalia’s Lancers easily earns a 4.5 rating. If you have nothing to search for, it’s somewhere in the 2.0-2.5 range. My “pack 1 pick 1 rating” is a 3.0. When possible, you want to keep yourself open for the chance of getting lucky.</t>
  </si>
  <si>
    <t>Thraben Standard Bearer</t>
  </si>
  <si>
    <t>Thraben Standard Bearer’s effect is costly, and it doesn’t have enough impact on the game. It’s like Stern Constable in the sense that you’ll only play it when you have a lot of combos with madness and/or delirium. The Standard Bearer’s ability is more powerful than the Constable’s, but the fact that it costs 2 mana to use means that it doesn’t even do its job of enabling discarding particularly well. I do not like this card.</t>
  </si>
  <si>
    <t>Advanced Stitchwing</t>
  </si>
  <si>
    <t>Advanced Stitchwing is on par with Stitchwing Skaab and significantly better than Ghoulsteed, which makes it a very strong Limited card. A 3/4?flyer is capable of dominating games, and this one can come back over and over again. Add the fact that you can discard or mill your own Advanced Stitchwing for value, and you have a premium card that ought to go highly in booster draft.</t>
  </si>
  <si>
    <t>Chilling Grasp</t>
  </si>
  <si>
    <t>Frost Breath would already be a good card in?Shadows over Innistrad block since it’s fairly aggressive and there are archetypes where having a lot of cheap instants are helpful. The madness is only a small bonus, but a small bonus on an already good card makes for something you’re quite happy with.</t>
  </si>
  <si>
    <t>Coax from the Blind Eternities</t>
  </si>
  <si>
    <t>Coax from the Blind Eternities can let you tutor for a handful of the powerful rares in Eldritch Moon. The problem is that you then have to keep your powerful rare in the sideboard! You could contrive situations where this card is good, such as having multiples, or having multiple different Eldrazi that you’ve decided not to put in your deck anyway. All things considered, though, this is a bad Limited card that should mostly be ignored.</t>
  </si>
  <si>
    <t>Contingency Plan</t>
  </si>
  <si>
    <t>Contingency Plan is very bad. For the cost of 2 mana you get card disadvantage and no effect on the board. You do get to mill yourself for a bunch with the small upside of fixing your next draw step or two, but you have to have a very specific deck before this is a passable effect, let alone one you’re excited about. If playing with Contingency Plan is your contingency plan for drafting a self-mill deck, then I recommend not drafting a self-mill deck.</t>
  </si>
  <si>
    <t>Convolute</t>
  </si>
  <si>
    <t>Cancel is a?decidedly?average Limited card. Compared to Cancel, Convolute loses a little bit of late-game value due to the risk that the opponent might be able to pay the 4 mana. On the other hand, it gains a little bit of early-game value by being easier to cast, with less demanding color requirements.Overall, Convolute is slightly-below-average filler in most normal decks. It’s slightly-above-average filler in decks that have a lot of instants and that?keep?their mana untapped anyway. You should generally avoid putting more than one copy in your main deck.</t>
  </si>
  <si>
    <t>Curious Homuncullus // Voracious Reader</t>
  </si>
  <si>
    <t>The front side of Curious Homunculus is fairly bad, and the flipped side is probably a bit worse than Pyre Hound in a “spells matter” deck. Granted, the fact that you only need to invest 2 mana is a strong point in its favor.The Homunculus is legitimately great in the right deck. And the good news is that, if you want it, you probably don’t have a ton of competition for it (if you’re not certain that you want it, then you probably don’t want it).</t>
  </si>
  <si>
    <t>Displace</t>
  </si>
  <si>
    <t>Displace has some corner-case applications, but really doesn’t do much. 3 mana is far too expensive of a way to protect your creatures from removal spells. Retriggering enters-the-battlefield effects or untapping blockers will also typically not be worth a card. When your opponent has 4 or more detrimental Auras they want to stick on your creatures―dis is da place for Displace.</t>
  </si>
  <si>
    <t>Docent of Perfection // Final Iteration</t>
  </si>
  <si>
    <t>You’ll be able to get some of the lynchpins of the “spells matter” deck―like Curious Homunculus―late in the draft. But not Docent of Perfection―this is a card that everyone at the table will want. 5 mana for a 5/4 flying alone is bordering on bomb status. Docent of Perfection also has a powerful triggered ability and the possibility of transforming into something even bigger. This is a stone-cold bomb rare.The Docent is good enough that you shouldn’t feel pressure to draft your deck around it. That said, it goes from great to insane if you actually have a lot of instants and sorceries to cast.</t>
  </si>
  <si>
    <t>Drag Under</t>
  </si>
  <si>
    <t>Sorcery-speed hurts bounce spells a lot, since it means that you won’t get the value of blowing out combat tricks and Auras. 2-mana instant-speed bounce spells like Unsubstantiate will generally be better than Drag Under, and there’s no shortage of those in this Limited format. But Drag Under is a perfectly reasonable Limited card as well.If you’re playing a spells-matter deck, you’ll be interested in Drag Under since it replaces itself while helping you keep pace on the board. It’ll be especially good in the combo-esque Rise From the Tides decks since it helps buy time while filling your graveyard.Beyond that, any blue deck that doesn’t get the 1 or 2 Just the Wind effects that it wants will be happy to play a Drag Under. It’s also a solid 23rd card that’ll never be embarrassing to play.</t>
  </si>
  <si>
    <t>Enlightened Maniac</t>
  </si>
  <si>
    <t>4 mana is too expensive for a 3/2 ground creature. Enlightened Maniac gives you a bit of extra value in a free chump-block, or the option to bounce-and-recast (or Displace) it for another creature. It’s also the perfect body to use for emerge. But if I had no way to make use of the 0/2 body, I’d be fairly disappointed to play with Enlightened Maniac.</t>
  </si>
  <si>
    <t>Exultant Cultist</t>
  </si>
  <si>
    <t>I tend to like any card that can trade off for value in the early game. Exultant Cultist isn’t a good beatdown creature, and it doesn’t have evasion or any other useful abilities. But the games that you get to play it and trade with a 2- or 3-drop creature, it’s going to be excellent. It’s not even the end of the world if you have to chump block with it. This is a pretty strong filler card for defensive decks.</t>
  </si>
  <si>
    <t>Fogwalker</t>
  </si>
  <si>
    <t>Like Exultant Cultist, Fogwalker is a great way for defensive decks to add to the board in the early game while getting a bit of bonus value for their troubles. I’ve never been too proud to play a Seagraf Skaab, so I like everything about Fogwalker. I like that it can block most 2-drops without dying, I like that it can lock down a flying creature for a turn, or generally help you in a damage race. I also like that skulk can let it pluck away for a few damage later in the game, once you no longer need it on defense.</t>
  </si>
  <si>
    <t>Fortune’s Favor</t>
  </si>
  <si>
    <t>Fortune's Favor is a fun and interesting card that breaks down to being roughly equal to Inspiration. You can guarantee yourself at least 2 cards, but you cannot count on getting the 2 you want most. If it was a 4-card Fact or Fiction, you could at least choose the single card you want most, but Fortune’s Favor allows your opponent to hide information from you and forces you into making your choice half in the dark. Unless your opponent makes a mistake or tries and fails to pull one over on you, you’re probably going to wind up with something like the best and worst of the 4 cards, or the 2 median cards.So for practical purposes, I think you should play with Fortune’s Favor when you want Inspiration in your deck. It’s better than Catalog, but still slow and overpriced. Play it in a deck that really needs spells, or has a lot of ways to operate at instant speed. Leave it on the bench in your average, normal-looking decks.</t>
  </si>
  <si>
    <t>Geist of the Archives</t>
  </si>
  <si>
    <t>Sigiled Starfish anyone? The extra point of toughness is definitely not worth the extra mana, making Geist of the Archives a bit worse than Sigiled Starfish. But this is still a powerful effect in Limited, helping you to smooth your draw, find your bombs and answer cards, and make sure you don’t flood out in a long game.If you can use both a ground blocker and a little extra late-game power, then Geist of the Archives is a card you’ll be very happy to play with.</t>
  </si>
  <si>
    <t>Grizzled Angler // Grisly Anglerfish</t>
  </si>
  <si>
    <t>Grizzled Angler is a reasonable body with a cool ability. You’ll play him when you need to fill out your creature curve, you’ll play him when you’re interested in self mill, and you’ll play him when you have 2 or 3 colorless creatures to help him transform.You’ll increase your chances of making a Grisly Anglerfish if you accidentally sleeve your Eldritch Moon DFCs backwards with the Eldrazi side showing. Failing that, remember that artifact creatures like Thraben Gargoyle and Wicker Witch still count.</t>
  </si>
  <si>
    <t>Identity Thief</t>
  </si>
  <si>
    <t>When I first read Identity Thief I said to myself, “So it attacks as the best creature on the battlefield.” Upon further inspection, that’s a gross oversimplification.For starters, if the best creature on the battlefield is yours, and you want to attack with it, then you’ll have to thieve the identity of something else instead. On the other hand, if you target an opposing creature, you make it unable to block for the turn. Other uses of Identity Thief include knocking off Auras and counters, and retriggering enters-the-battlefield abilities.On the whole, this is a cool card that gives you a good amount of control over the battlefield. If it played better defense, it would be a 3.0 or 3.5.</t>
  </si>
  <si>
    <t>Imprisoned in the Moon</t>
  </si>
  <si>
    <t>Imprisoned in the Moon is an average-quality removal spell. It can answer any creature but can be destroyed to free the creature. I’d much rather pay the extra mana for Sleep Paralysis than give my opponent an extra mana for the rest of the game. That said, Sleep Paralysis is quite a good card, and I think Imprisoned in the Moon will still usually make the cut.One thing that is very nice, as compared to other Auras like Sleep Paralysis and Bound by Moonsilver is that the opponent will have a hard time bouncing and recasting their creature. The bounce spells in this format (Just the Wind, Unsubstantiate, etc.) cannot bounce lands.The ability to answer a planeswalker might come up, but I doubt it’ll ever be correct to cast this on an opposing land.</t>
  </si>
  <si>
    <t>Ingenious Skaab</t>
  </si>
  <si>
    <t>Ingenious Skaab is a very solid body that can hit quite hard if it goes unblocked and you have even a single noncreature spell to cast. In a color lacking a premium common removal spell, Ingenious Skaab could easily be among the best commons.</t>
  </si>
  <si>
    <t>Laboratory Brute</t>
  </si>
  <si>
    <t>Hill Giant is slightly-below-average filler for this Limited format, but it’s still reasonable if you need to fill out your mana curve. Add the fact that many blue decks will be interested in delirium and/or have other reasons to mill themselves, and you have a card that will probably make the cut in about 2 out of 3 of your blue decks.</t>
  </si>
  <si>
    <t>Lunar Force</t>
  </si>
  <si>
    <t>A permission spell that lets the opponent choose what it counters is not exactly stellar. At first, I thought that you could at least combo this with Ironclad Slayer, but it’s not even an Aura! I guess the value in Lunar Force is supposed to be a contribution to delirium. All things considered, I think you’d have to be a bit of a lunatic to play with this.</t>
  </si>
  <si>
    <t>Mausoleum Wanderer</t>
  </si>
  <si>
    <t>The stock of Spirits is on the rise! Mausoleum Wanderer is a Judge’s Familiar that sometimes attacks for 2, and can force the opponent to pay extra if you get very tricky. All of this makes for a solid and appealing card.Unfortunately, this is the type of card that was designed with Constructed in mind, and it’s far less exciting for Limited play. It’ll range from average to strong depending on how dedicated you are to Spirit tribal synergies.</t>
  </si>
  <si>
    <t>Mind’s Dilation</t>
  </si>
  <si>
    <t>Mind's Dilation is a fancy card that’s going to mostly be slow and bad. You’ll need to cast 3 spells before you get an effect worthy of investing 7 mana. You also need to factor that you can miss (they reveal a land), that they have the option to save up multiple spells for the same turn, and that you might be losing on the board by the time you cast it. All in all, I don’t think it’s very realistic for this card to be worth its cost.</t>
  </si>
  <si>
    <t>Nebelgast Herald</t>
  </si>
  <si>
    <t>Pestermite is back! What it lacks in the ability to untap a permanent it makes up for in having a repeatable effect in a deck with other Spirits. Even as a one-shot tapper, Nebelgast Herald is a super efficient Limited card that will virtually always make the cut. In a dedicated Spirit deck, it will give you a ton of control over the battlefield, and is going to be very frustrating for the opponent to play against. Your sorcery-speed Spirits will only tap down blockers to help you on offense, but a healthy number of the Spirits in Eldritch Moon have flash, and will give you more Pestermite effects to help you in a race.</t>
  </si>
  <si>
    <t>Niblis of Frost</t>
  </si>
  <si>
    <t>Much like Docent of Perfection, Niblis of Frost starts with an extremely powerful flying body and becomes absurd with just a couple of instants and sorceries. If you’ve done the work to draft around this, you’ll virtually never lose when you draw the Niblis and it survives. This strikes me as one of the best cards in the set for Limited.</t>
  </si>
  <si>
    <t>Scour the Laboratory</t>
  </si>
  <si>
    <t>6 mana to draw 3 cards is a pretty fair rate for Limited (6 mana for 4 cards is a bomb). In a stalled game, this can swing a game in your favor even at full price. Factor in that it can be cast for 4 mana in the very late game, or in a dedicated delirium deck, and you have quite a strong Limited card.You won’t play this in every draft deck, but the decks that do want it will be very, very happy to have it.</t>
  </si>
  <si>
    <t>Spontaneous Mutation</t>
  </si>
  <si>
    <t>Reducing the power on an opposing creature isn’t a particularly strong effect, but the price is right on Spontaneous Mutation. In slow decks that want to invest a lot of mana on card drawing (like Scour the Laboratory), Spontaneous Mutation is a great way to make up the tempo disadvantage and protect yourself. Even in a more normal deck, it’s a fine way to answer evasion creatures, and might be a good sideboard card against decks with a lot of flyers.Again, not every deck will want Spontaneous Mutation, but it will be a very strong and efficient card in the decks that do want it, and you’ll have a good chance of picking them up late in a draft.</t>
  </si>
  <si>
    <t>Summary Dismissal</t>
  </si>
  <si>
    <t>This is a fancy way of printing what amounts to a vanilla 4-mana counterspell. I like a Cancel more than most, but I’d be quite unhappy to main deck a 4-mana Cancel, and would only sideboard it in for very slow matchups.</t>
  </si>
  <si>
    <t>Take Inventory</t>
  </si>
  <si>
    <t>In an average deck, you need 4 copies to be very excited about Take Inventory, which is simply not something you can plan for with only 2 packs of Eldritch Moon. For a dedicated “spells matter” deck, you’d be thrilled to play 3 copies, and might play with Take Inventory even if you can only get 1 or 2.It’s always nice to pay attention to cards like this, in case you think you might wheel 1, or if you want to keep the door open for getting extremely lucky. But I think you’ll generally be making a mistake to spend a high pick on Take Inventory early in the draft.</t>
  </si>
  <si>
    <t>Tattered Haunter</t>
  </si>
  <si>
    <t>2-power 2-drops with evasion tend to be quite good, and Tattered Haunter is no exception. It might be held back a little bit by the fact that blue isn’t the most aggressive color in Eldritch Moon/Shadows over Innistrad Limited, but it’s still going to be excellent in decks like UW Spirits and UR Beatdown.Tattered Haunter is just one more reason that Spirits are shaping up to be a very successful tribe in Eldritch Moon Limited.</t>
  </si>
  <si>
    <t>Turn Aside</t>
  </si>
  <si>
    <t>Highly situational cards like Turn Aside are never high draft picks. In an emergency where you’ve only drafted 19 or 20 playables, you could put Turn Aside in your main deck and hope things work out for the perfect blowout. Preferably, though, this is?sideboard material.</t>
  </si>
  <si>
    <t>Unsubstantiate</t>
  </si>
  <si>
    <t>Most Limited decks benefit from having 1 or 2 bounce spells, and Unsubstantiate is a good bounce spell. You’ll still be bouncing creatures 80+% of the time, but once in a while Remanding that Descend Upon the Sinful or Devil’s Playground will be a game-winning play.All of Innistrad’s bounce spells are hurt by the fact that bounce is relatively plentiful. I’m less likely to spend a high pick on Unsubstantiate when there’s a good chance I’ll be able to pick up a Just the Wind on the cheap later in the draft.</t>
  </si>
  <si>
    <t>Wharf Infiltrator</t>
  </si>
  <si>
    <t>Wharf Infiltrator has the potential to run away with a game very quickly. You should pick it highly, and always play it, in order to give yourself a good chance at some easy wins.Looting and making 3/2 creatures are both extremely powerful abilities to trigger when your creature deals combat damage. But both abilities are slightly worse than they look on Wharf Infiltrator because you have to discard your good cards in order to make the 3/2 creatures. Later in the game, if you want to cycle through your extra lands, you won’t be making Eldrazi Horrors anymore. That said, having a looter in a stalled game is often good enough to win anyway.</t>
  </si>
  <si>
    <t>Boon of Emrakul</t>
  </si>
  <si>
    <t>Borrowed Malevolence</t>
  </si>
  <si>
    <t>Cemetery Recruitment</t>
  </si>
  <si>
    <t>Certain Death</t>
  </si>
  <si>
    <t>Collective Brutality</t>
  </si>
  <si>
    <t>Cryptbreaker</t>
  </si>
  <si>
    <t>Dark Salvation</t>
  </si>
  <si>
    <t>Dusk Feaster</t>
  </si>
  <si>
    <t>Gavony Unhallowed</t>
  </si>
  <si>
    <t>Graf Harvest</t>
  </si>
  <si>
    <t>Graf Rats // Chittering Host</t>
  </si>
  <si>
    <t>Haunted Dead</t>
  </si>
  <si>
    <t>Liliana’s Elite</t>
  </si>
  <si>
    <t>Markov Crusader</t>
  </si>
  <si>
    <t>Midnight Scavengers // Chittering Host</t>
  </si>
  <si>
    <t>Murder</t>
  </si>
  <si>
    <t>Noosegraf Mob</t>
  </si>
  <si>
    <t>Oath of Liliana</t>
  </si>
  <si>
    <t>Olivia’s Dragoon</t>
  </si>
  <si>
    <t>Prying Questions</t>
  </si>
  <si>
    <t>Rise from the Grave</t>
  </si>
  <si>
    <t>Ruthless Disposal</t>
  </si>
  <si>
    <t>Skirsdag Supplicant</t>
  </si>
  <si>
    <t>Strange Augmentation</t>
  </si>
  <si>
    <t>Stromkirk Condemned</t>
  </si>
  <si>
    <t>Succumb to Temptation</t>
  </si>
  <si>
    <t>Thraben Foulbloods</t>
  </si>
  <si>
    <t>Tree of Perdition</t>
  </si>
  <si>
    <t>Vampire Cutthroat</t>
  </si>
  <si>
    <t>Voldaren Pariah // Abolisher of Bloodlines</t>
  </si>
  <si>
    <t>Wailing Ghoul</t>
  </si>
  <si>
    <t>Weirded Vampire</t>
  </si>
  <si>
    <t>Whispers of Emrakul</t>
  </si>
  <si>
    <t>Abandon Reason</t>
  </si>
  <si>
    <t>Alchemist’s Greeting</t>
  </si>
  <si>
    <t>Assembled Alphas</t>
  </si>
  <si>
    <t>Bedlam Reveler</t>
  </si>
  <si>
    <t>Blood Mist</t>
  </si>
  <si>
    <t>Bold Impaler</t>
  </si>
  <si>
    <t>Borrowed Hostility</t>
  </si>
  <si>
    <t>Brazen Wolves</t>
  </si>
  <si>
    <t>Collective Defiance</t>
  </si>
  <si>
    <t>Conduit of Storms // Conduit of Emrakul</t>
  </si>
  <si>
    <t>Deranged Welp</t>
  </si>
  <si>
    <t>Distemper of the Blood</t>
  </si>
  <si>
    <t>Falkenrath Reaver</t>
  </si>
  <si>
    <t>Furyblade Vampire</t>
  </si>
  <si>
    <t>Galvanic Bombardment</t>
  </si>
  <si>
    <t>Hanweir Garrison // Hanweir, the Writhing Township</t>
  </si>
  <si>
    <t>Harmless Offering</t>
  </si>
  <si>
    <t>Impetuous Devils</t>
  </si>
  <si>
    <t>Incendiary Flow</t>
  </si>
  <si>
    <t>Insatiable Gorgers</t>
  </si>
  <si>
    <t>Make Mischief</t>
  </si>
  <si>
    <t>Mirrorwing Dragon</t>
  </si>
  <si>
    <t>Nahiri’s Wrath</t>
  </si>
  <si>
    <t>Otherworldly Outburst</t>
  </si>
  <si>
    <t>Prophetic Ravings</t>
  </si>
  <si>
    <t>Savage Alliance</t>
  </si>
  <si>
    <t>Shreds of Sanity</t>
  </si>
  <si>
    <t>Smoldering Werewolf // Erupting Dreadwolf</t>
  </si>
  <si>
    <t>Spreading Flames</t>
  </si>
  <si>
    <t>Stensia Banquet</t>
  </si>
  <si>
    <t>Stensia Innkeeper</t>
  </si>
  <si>
    <t>Stromkirk Occultist</t>
  </si>
  <si>
    <t>Thermo-Alchemist</t>
  </si>
  <si>
    <t>Vildin-Pack Outcast // Dronepack Kindred</t>
  </si>
  <si>
    <t>Weaver of Lightning</t>
  </si>
  <si>
    <t>Backwoods Survivalists</t>
  </si>
  <si>
    <t>Bloodbriar</t>
  </si>
  <si>
    <t>Clear Shot</t>
  </si>
  <si>
    <t>Crop Sigil</t>
  </si>
  <si>
    <t>Crossroads Consecrator</t>
  </si>
  <si>
    <t>Decimator of the Provinces</t>
  </si>
  <si>
    <t>Eldritch Evolution</t>
  </si>
  <si>
    <t>0.5/2.5</t>
  </si>
  <si>
    <t>Emrakul’s Evangel</t>
  </si>
  <si>
    <t>Emrakul’s Influence</t>
  </si>
  <si>
    <t>Foul Emissary</t>
  </si>
  <si>
    <t>Gnarlwood Dryad</t>
  </si>
  <si>
    <t>Grapple With the Past</t>
  </si>
  <si>
    <t>Hamlet Captain</t>
  </si>
  <si>
    <t>Ishkanah, Grafwidow</t>
  </si>
  <si>
    <t>It of the Horrid Swarm</t>
  </si>
  <si>
    <t>Kessig Prowler // Sinuous Predator</t>
  </si>
  <si>
    <t>Mockery of Nature</t>
  </si>
  <si>
    <t>Noose Constrictor</t>
  </si>
  <si>
    <t>Permeating Mass</t>
  </si>
  <si>
    <t>Prey Upon</t>
  </si>
  <si>
    <t>Primal Druid</t>
  </si>
  <si>
    <t>Shrill Howler // Howling Chorus</t>
  </si>
  <si>
    <t>Somberwald Stag</t>
  </si>
  <si>
    <t>Spirit of the Hunt</t>
  </si>
  <si>
    <t>Splendid Reclamation</t>
  </si>
  <si>
    <t>Springsage Ritual</t>
  </si>
  <si>
    <t>Swift Spinner</t>
  </si>
  <si>
    <t>Tangleclaw Werewolf // Fibrous Entangler</t>
  </si>
  <si>
    <t>Ulvenwald Captive // Ulvenwald Abomination</t>
  </si>
  <si>
    <t>Ulvenwald Observer</t>
  </si>
  <si>
    <t>Waxing Moon</t>
  </si>
  <si>
    <t>Wolfkin Bond</t>
  </si>
  <si>
    <t>Woodcutter’s Grit</t>
  </si>
  <si>
    <t>Woodland Patrol</t>
  </si>
  <si>
    <t>Abundant Maw</t>
  </si>
  <si>
    <t>Distended Mindbender</t>
  </si>
  <si>
    <t>Drownyard Behemoth</t>
  </si>
  <si>
    <t>Elder Deep-Fiend</t>
  </si>
  <si>
    <t>Emrakul, the Promised End</t>
  </si>
  <si>
    <t>Eternal Scourge</t>
  </si>
  <si>
    <t>Lashweed Lurker</t>
  </si>
  <si>
    <t>Vexing Scuttler</t>
  </si>
  <si>
    <t>Wretched Gryff</t>
  </si>
  <si>
    <t>Cathar’s Shield</t>
  </si>
  <si>
    <t>Cryptolith Fragment // Aurora of Emrakul</t>
  </si>
  <si>
    <t>Cultist’s Staff</t>
  </si>
  <si>
    <t>Field Creeper</t>
  </si>
  <si>
    <t>Geist-Fueled Scarecrow</t>
  </si>
  <si>
    <t>Lupine Prototype</t>
  </si>
  <si>
    <t>Slayer’s Cleaver</t>
  </si>
  <si>
    <t>Soul Separator</t>
  </si>
  <si>
    <t>Stitcher’s Graft</t>
  </si>
  <si>
    <t>Terrarion</t>
  </si>
  <si>
    <t>Thirsting Axe</t>
  </si>
  <si>
    <t>Bloodhall Priest</t>
  </si>
  <si>
    <t>Campaign of Vengeance</t>
  </si>
  <si>
    <t>Gisa and Geralf</t>
  </si>
  <si>
    <t>Grim Flayer</t>
  </si>
  <si>
    <t>Heron's Grace Champion</t>
  </si>
  <si>
    <t>Mercurial Geists</t>
  </si>
  <si>
    <t>Mournwillow</t>
  </si>
  <si>
    <t>Ride Down</t>
  </si>
  <si>
    <t>Spell Queller</t>
  </si>
  <si>
    <t>Tamiyo, Field Researcher</t>
  </si>
  <si>
    <t>Ulrich of the Krallenhorde // Ulrich, Uncontested Alpha</t>
  </si>
  <si>
    <t>Geier Reach Sanitarium</t>
  </si>
  <si>
    <t>Hanweir Battlements // Hanweir, the Writhing Township</t>
  </si>
  <si>
    <t>Nephalia Academy</t>
  </si>
  <si>
    <t>Gisela, the Broken Blade</t>
  </si>
  <si>
    <t>Nahiri's Wrath</t>
  </si>
  <si>
    <t>Collective Effort</t>
  </si>
  <si>
    <t>Ulrich of the Krallenhorde</t>
  </si>
  <si>
    <t>Thalia's Lancers</t>
  </si>
  <si>
    <t>Bruna, the Fading Light</t>
  </si>
  <si>
    <t>Voldaren Pariah</t>
  </si>
  <si>
    <t>Hanweir Garrison</t>
  </si>
  <si>
    <t>Docent of Perfection</t>
  </si>
  <si>
    <t>Emrakul's Evangel</t>
  </si>
  <si>
    <t>Lone Rider</t>
  </si>
  <si>
    <t>Extricator of Sin</t>
  </si>
  <si>
    <t>Smoldering Werewolf</t>
  </si>
  <si>
    <t>Stitcher's Graft</t>
  </si>
  <si>
    <t>Shrill Howler</t>
  </si>
  <si>
    <t>Kessig Prowler</t>
  </si>
  <si>
    <t>Hanweir Battlements</t>
  </si>
  <si>
    <t>Conduit of Storms</t>
  </si>
  <si>
    <t>Cryptolith Fragment</t>
  </si>
  <si>
    <t>Tangleclaw Werewolf</t>
  </si>
  <si>
    <t>Ulvenwald Captive</t>
  </si>
  <si>
    <t>Midnight Scavengers</t>
  </si>
  <si>
    <t>Liliana's Elite</t>
  </si>
  <si>
    <t>Deranged Whelp</t>
  </si>
  <si>
    <t>Grizzled Angler</t>
  </si>
  <si>
    <t>Curious Homunculus</t>
  </si>
  <si>
    <t>Alchemist's Greeting</t>
  </si>
  <si>
    <t>Olivia's Dragoon</t>
  </si>
  <si>
    <t>Graf Rats</t>
  </si>
  <si>
    <t>Vildin-Pack Outcast</t>
  </si>
  <si>
    <t>Cultist's Staff</t>
  </si>
  <si>
    <t>Fortune's Favor</t>
  </si>
  <si>
    <t>Repel the Abominable</t>
  </si>
  <si>
    <t>Slayer's Cleaver</t>
  </si>
  <si>
    <t>Grapple with the Past</t>
  </si>
  <si>
    <t>Cathar's Shield</t>
  </si>
  <si>
    <t>Woodcutter's Grit</t>
  </si>
  <si>
    <t>Mind's Dilation</t>
  </si>
  <si>
    <t>Emrakul's Influence</t>
  </si>
  <si>
    <t>Boon of Emrakul is a solid removal spell. It’s sorcery speed and can’t kill giant monsters, but it will do a nice job taking out most creatures that cost less than 5 mana. This is the type of card you really want a copy or 2 of to keep your opponent from punking you out with an evasion creature, or dominating the board with a Sigardian Priest.Naturally, you’d rather have all Murders and Dead Weights, but the world we?live in is one in which we?typically have to make due with non-premium removal. As far as non-premium removal goes, Boon of Emrakul is reliable and affordable, and should earn moderately high draft picks.The combo with Ironclad Slayer might prove to be a driving force in BW.</t>
  </si>
  <si>
    <t>When things break right, you can spend 1 or 3 mana on Borrowed Malevolence to help your creature win a fight in combat. But by far the most practical use of this card is picking off 1-toughness creatures. You should either be sideboarding Borrowed Malevolence against decks with weenie creatures, or maindecking it then?sideboarding it out against decks that don’t have weenie creatures.</t>
  </si>
  <si>
    <t>Raise Dead is never really bad in Limited. In a vanilla deck, you can either start 1 copy of this card or skip it as you see fit. If you have?Zombies, bomb rare creatures, or self-mill, then it becomes an effect you want access to.</t>
  </si>
  <si>
    <t>This is certainly better than Sip of Hemlock, which was already pretty good. I loved drafting black in Theros block, and while Sip of Hemlock wasn’t one of the absolute best commons, it would virtually always make my deck, even in multiples. Compared to Sip, Certain Death gains you 2 life, and is marginally easier to cast (even splashable in a Sealed deck or some bizarre Draft decks).But an important note is that Theros was a format with heroic, where games could be won and lost by the ability to answer a single, monstrous threat. Eldritch Moon plus Shadows over Innistrad Limited isn’t like that, and you’ll sometimes wind up having to swallow your pride and point Certain Death at a 3-drop.All things considered, I’m starting Certain Death with a high rating. It’s never a big mistake to prioritize removal in the early days of a new Limited format, and this is an effect that controlling black decks really want somewhere in their 40 cards. But the value of Certain Death drops off in multiples, and I can see its rating settling at closer to a 2.0.</t>
  </si>
  <si>
    <t>A lot of the escalate cards have one mode that you’ll usually turn?to in Limited. For Collective Brutality, it’s killing a 2-toughness creature. Stripping an instant or sorcery from the opponent’s hand is also a good effect, but once in a while it will be complicated by the fact that you’ll want to wait until there’s a good creature to target before firing off your Collective Brutality.Draining your opponent for 2 life will rarely be worth the extra card (unless he or she is at 2). But keep an eye out for using Collective Brutality alongside madness cards.</t>
  </si>
  <si>
    <t>Cryptbreaker can take a while to get going, but it only costs 1 mana and can take over a game all on its own. Note that you don’t need to make 3 tokens before using the second ability―you can tap your other Zombies, and Cryptbreaker is a Zombie itself. It’s not farfetched to think that by turn 3, Cryptbreaker might have already allowed you to cash in your worst card for a 2/2 Zombie, and drawn you an extra card. All it takes is having another Zombie in your hand that costs 3 or less mana.And let’s not forget that it’s a repeatable instant-speed madness enabler.</t>
  </si>
  <si>
    <t>Dark Salvation is a powerful rare that offers the potential for solid card advantage. 5 mana for 2 Zombies is a slightly below average rate, but the flexibility to spend 3, 5, 7, or 9 mana makes the first line of text on Dark Salvation a card you’d be happy to play with. Tack on the ability to kill an opposing creature and you have a premium card that can really swing games. Remember that it counts your preexisting Zombies as well, so it’s really not far-fetched to kill a 4/4 or 5/5 creature with this.</t>
  </si>
  <si>
    <t>At 7 mana, Dusk Feaster could be an occasional role player, but would be a bit too expensive for widespread appeal. 5 mana for a 4/5?flyer, however, is a rate you can usually only get in Limited on a premium rare. This is a pretty big payoff for drafting delirium. Even in an average deck, you’ll sometimes achieve delirium before hitting your seventh land, making it more realistic that Dusk Feaster makes it to the party in time.Don’t be afraid to leave this on the bench in your aggressive, non-delirium decks. It’s a powerful card that many black decks will want to pay close attention to.</t>
  </si>
  <si>
    <t>Gavony Unhallowed starts with average stats, but then begins to get a bit unruly. This is a nice ability to have on a creature that starts with high toughness since it’s not fragile, and has a better chance of surviving those big, messy combat steps. Being a Zombie also helps, and I think this is a card that will make the cut in most black decks.Sacrificing creatures isn’t a huge theme in Eldritch Moon or Shadows over Innistrad, but there are a handful of cards that help you do it, and they’ll all pair well with Gavony Unhallowed.</t>
  </si>
  <si>
    <t>Graf Harvest is both slow and mana-intensive. The power level is pretty high, and in other Limited formats, this might be a borderline bomb. But Eldritch Moon/Shadows over Innistrad Limited will be relatively fast, and there are plenty of other activated abilities (especially Clues) that you can spend your extra mana on.Graf Harvest still seems like a card that your slower draft decks (and probably the majority of Sealed decks) will want 1?copy of. The fact that you’ll never want multiples, and that aggressive decks won’t want it, means that you won’t have to put a special premium on Graf Harvest during the draft.</t>
  </si>
  <si>
    <t>Goblin Piker is a bit below par for Eldritch Moon/Shadows over Innistrad Limited, but you’ll still play Graf Rats once in a while to fill your mana curve. The ability to meld with another common creature (and a good one at that) into the powerful Chittering Host increases Graf Rats’ value a noticeable amount.</t>
  </si>
  <si>
    <t>Single cards that give you two?relevant creatures tend to be strong in Limited, and the fact that your 1/1 bonus token has flying means that both bodies are relevant. Discarding 2 cards to return Haunted Dead isn’t a stellar rate, but it will come up a lot in the late game and allows you to trigger madness at instant speed. Overall, this is a strong card.</t>
  </si>
  <si>
    <t>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t>
  </si>
  <si>
    <t>The good news for Liliana’s Elite is that black has a lot of ways to get creatures into its graveyard. The bad news for Liliana’s Elite is that they often don’t stay there for long. Cemetery Recruitment and Macabre Waltz are strong cards that graveyard-centric Limited decks will be playing with anyway, and there’s also Graf Harvest and creatures like Haunted Dead or Sanitarium Skeleton―just to name a few ways for things to be jumping out of their graves.Still, if you can cast Liliana’s Elite as a 2/2 with the potential to grow over the course of the game, then it’s a strong filler card. I just don’t see this as being one of the major payoffs to drafting a black, graveyard-centric deck.</t>
  </si>
  <si>
    <t>When covering white, I described Faithbearer Paladin as, “basically my definition of a filler card.” A 4/3 is marginally better than a 3/4, and tacking haste onto a creature like this is easily worth a full point of rating.Markov Crusader will make your Vampire deck a colossal favorite to win any kind of damage race, and pairing this with Stensia Masquerade is going to be gross.It’s also worth noting that when there are plenty of playable Raise Dead effects in a format, a powerful creature like Markov Crusader, which trades off easily and provides you with a big life total buffer in the process, gets a bit better.</t>
  </si>
  <si>
    <t>If you’re a fiend for value, then you’re a lot happier topping your curve with Midnight Scavengers than with vanilla cards like Thornhide Wolves or Hound of the Farbogs. Midnight Scavengers is a pretty strong card, and earns a 2.0 or 2.5 on its own merits. The fact that it melds with Graf Rats―a card that you’ll probably be able to pick up relatively late―might make Mignight Scavengers one of the higher picks among black commons.</t>
  </si>
  <si>
    <t>Great. Instant-speed, unconditional removal. Great.</t>
  </si>
  <si>
    <t>Casting Noosegraf Mob isn’t quite the same as putting five 2/2 Zombies directly into play, but it’s pretty close. It’s very hard for the opponent to answer the Mob without giving you a lot of value. For example, against the beatdown player who wants to remove your blocker and finish you off, their?would-be-lethal spell now generate you an extra blocker.The Mob pairs exceptionally well with cards like Cemetery Recruitment and Macabre Waltz.</t>
  </si>
  <si>
    <t>Diabolic Edict effects aren’t great in Limited in general, and are especially mediocre in this block?because of token makers and disposable bodies like Sanitarium Skeleton. Oath of Liliana has a tiny bit of extra value in being an enchantment that might somehow end up in the graveyard to help with delirium, and maybe getting you a 2/2 Zombie once in a blue moon alongside a planeswalker. But, all told, this is an unexciting Limited card.</t>
  </si>
  <si>
    <t>Olivia’s Dragoon is a bread-and-butter card that you’ll really want in RB Vampires. 2-drop Vampires with good stats will always be at a premium, and the Dragoon can help you get in the last few points of damage against a weakened opponent. Most importantly, it’s a repeatable, instant-speed madness enabler.</t>
  </si>
  <si>
    <t>If this was a Mind Rot, you’d have to pry it from my cold, dead fingers. But Mind Rot offers card advantage, and despite the terrifying artwork on this card, its power level is questionable. You can force the opponent to skip his or her next draw step, but that effect does nothing if they’re empty-handed, and denying them a draw step is a lot worse than forcing them to discard their best 1 or 2 cards.The lose-3-life clause makes Prying Questions a passable card, but the bottom line is that this is a noncreature, nonremoval spell that doesn’t impact the board, and doesn’t provide an effect that you ever desperately need. I don’t see much reason to ever play with this.</t>
  </si>
  <si>
    <t>Rise from the Grave has been a strong Limited card every time it’s been printed. One of the greatest appeals is that you’re not confined?to your own graveyard―you can take your opponent’s best creature as well.Rise from the Grave is a premium version of the Reanimate effect (by Limited standards). It’s a little bit more replaceable in Eldritch Moon than it has been in the past since you can always play Cemetery Recruitment or Macabre Waltz instead if you’re in a pinch. But this is still a strong card that will almost always make the cut.</t>
  </si>
  <si>
    <t>I spent a long time staring at Ruthless Disposal before I could actually start writing. First of all, the black cards in Eldritch Moon feature some of the most compelling artwork I can remember seeing in MTG, and Ruthless Disposal is particularly gruesome (a.k.a. awesome). Second of all, the effect on this card seems too good to be true! Kill your opponent’s 2 best creatures, no questions asked?!At a glance, the price is also pretty high, but in practice I think the costs will be fairly easy to meet, and you’ll be happy to pay them. You’ll almost always have some kind of disposable creature in play, and you can discard an extra land, or a card that has value in the graveyard―that’s not even to mention that you might happen to have a madness card.There will be games here and there where Ruthless Disposal isn’t great, such as against a WR Weenie deck or against a swarm of Spirit tokens. But the power level is simply outrageous, and there are certain decks―like bigger green decks―that I can’t envision ever beating this card.Ruthless Disposal is my early pick for the best nonrare in Eldritch Moon.</t>
  </si>
  <si>
    <t>Skirsdag Supplicant is average filler. 3 mana for a 2/3?with a medium ability is a dead-average card. If it were a Vampire or Zombie, it might be a bit better, but black doesn’t have much way to benefit from having a Human creature. This becomes solid if you need a madness enabler, but in most decks this is just a mana curve filler.</t>
  </si>
  <si>
    <t>This is a strange one to evaluate. It can be a highly efficient rate for an aggressive Aura, but the aggressive decks that would ordinarily want an Aura like this usually won’t be the ones putting the effort in to achieve delirium early in the game.This is a very poor card if you’re only getting +1/+1. It’s also a poor card if you can’t count on getting delirium until turn 7 or 8. It’s powerful in a dedicated delirium deck, but those decks will be hard-pressed to play a noncreature, nonremoval, non-delirium-enabling spell. Don’t work too hard trying to get Strange Augmentation to be good.</t>
  </si>
  <si>
    <t>Stromkirk Condemned has reasonable stats on its own, and gets powerful fast when you start adding madness and/or Vampire tribal synergies. You’ll be happy to play this in all decks with 9 or more Swamps, and picking it up early is a strong incentive to go BR.</t>
  </si>
  <si>
    <t>Divination is a strong Limited card. Compared to Divination, Succumb to Temptation is an instant, but it forces you to lose 2 life, and it has more demanding colored mana requirements. Perhaps worst of all, it’s not in the color (blue) that really wants card-drawing spells, and wants to hold its mana up for instants.My best advice is to err on the side of avoiding this card. But I confess that I’ll probably succumb to the temptation to play it a little more often than I’m proud to admit.</t>
  </si>
  <si>
    <t>Finally, black gets a common creature that’s legitimately great when you can count on achieving delirium! Thraben Foulbloods is what Stallion of Ashmouth and Hound of the Farbogs wish they could be.At 3 mana for a 3/2 Zombie, the Foulbloods already meet my criteria as an acceptable filler card. If you can make them attack as a 4/3 menace within a reasonable time frame, you have a very strong creature.</t>
  </si>
  <si>
    <t>Tree of Perdition is an excellent blocker that can nuke the opponent for 7 life points if you draw it early enough. The combo with Triskaidekaphobia is also good enough to be worth speculating on.</t>
  </si>
  <si>
    <t>Standing alone, Vampire Cutthroat is too low-impact to be a good Limited card, but it’s efficient enough that if you have Vampire tribal synergies, or good equipment and Auras that need to be carried, then this is a card you might get excited about.</t>
  </si>
  <si>
    <t>5 mana for a 3/3 flyer is a fairly solid, baseline rate in Limited. The madness ability adds a little, and the threat of actually transforming Voldaren Pariah adds a lot. With a little bit of build-around effort, you can make a 3-for-3 creature trade excellent for you. Oh, and don’t forget that you leave behind a 6/5 flyer that’s likely to kill the opponent in 2 or 3 turns!</t>
  </si>
  <si>
    <t>Wailing Ghoul is certainly not exciting, but is the type of card you’ll pick up late to round out your Zombie deck or your defensive black control deck.</t>
  </si>
  <si>
    <t>Weirded Vampire is pretty much exactly equal to Twins of Maurer Estates. It’s marginally better to hardcast, but a bit worse to madness out. One subtle factor is that Eldritch Moon has a high concentration of flash creatures, so I predict that players will be a little more cagey about attacking into open mana than they might’ve been in all Shadows over Innistrad Limited.Weirded Vampire is a solid card that you’ll be happy to play with if you have Vampire synergies, or a couple ways to enable madness. Failing that, it’s a mediocre filler card.</t>
  </si>
  <si>
    <t>Hymn to Tourach is one of my all-time favorite Magic cards, and this is probably as close as you’re ever going to get to a reprint. Unfortunately, a lot of the power (more accurately, the cheesiness) of Hymn was casting it on turn 2 and nailing your opponent’s lands or cheap plays. By the time most Limited decks can get delirium, the opponent will have had a fair chance to empty his or her hand.Making the opponent discard one at random isn’t a horrible effect, and sometimes you will land the good, clean 2-for-1. But make sure this isn’t your biggest payoff for drafting a delirium deck.</t>
  </si>
  <si>
    <t>This card is a reasonably good combat trick. I wouldn’t expect to actually kill two creatures with Abandon Reason more than about 10-15%?of the times you cast it. But you’ll often kill one, and getting an extra damage from an unblocked creature, plus the potential for extra value from madnessing it out (plus the chance that you actually do kill two creatures!), results in a solid card.I expect this to make the cut in most aggressive red decks, but not necessarily be a high draft pick.</t>
  </si>
  <si>
    <t>When you hardcast it, Alchemist's Greeting is a bit worse than Reduce to Ashes, but still a perfectly fine card. Throttle and Reduce to Ashes weren’t exactly premium cards in Shadows over Innistrad, but I think virtually all decks are happy to have a piece or two?of 5-mana removal.What really makes Alchemist’s Greeting awesome is the ability to madness it out. This isn’t 2-mana removal in the sense that you can cast it on turn 2, but it will create devastating tempo swings in the midgame by allowing you to remove an opposing creature while casting another spell in the same turn. If you have the right madness outlets, you can even get some amount of card advantage when you use the madness cost.This card will range from about a 2.0 (when you only have 0-1 way to discard it), all the way up to about a 4.0 (when you’re confident you can discard it at will). Note that it’s a lot easier to make good use of Alchemist’s Greeting in RU and RB than it is in RW or RG. Early in the draft, you might not know exactly how valuable it will be in your finished product, but I think this is worth picking up early and speculating on.</t>
  </si>
  <si>
    <t>Assembled Alphas is annoying to attack into, and has a reasonable approximation of unblockable. But it’s a 6-mana creature in a format where 6-mana creatures aren’t at a premium. Compared to a vanilla 6-drop like Kessig Dire Swine, its biggest advantage is that your opponent won’t have the option of gang-blocking to try and take it down. Beyond that, though, I don’t envision this winning many games that a common 6-drop wouldn’t have been able to win anyway.If you’re looking for a top-end creature, this is a great one to have. But I don’t think you need to spend a first pick on this.</t>
  </si>
  <si>
    <t>In an average deck, you should count on Bedlam Reveler costing about 6 mana, but playing it out as the last card in your hand, getting a reasonable body, and drawing 3 cards gives you a phenomenal effect.In a dedicated spells deck, you’ll cast it on the cheap and make better use of the prowess. While it does get better the more spells you have, I think Bedlam Reveler is simply a great card that you don’t have to go too far out of your way to make?great use of. The more important “build-around” aspect of this card is avoiding permission spells and situational cards that need to sit in your hand for a long time (since you’ll always want to be empty-handed when you cast it).</t>
  </si>
  <si>
    <t>The effect of Blood Mist is relatively powerful, but it’s a bit too expensive to be a great Limited card. Comparing this to Uncaged Fury, you spend an extra mana, you miss out on the +1/+1, and it’s not an instant, meaning you have to commit to which creature you’re targeting, and your opponent sees it coming. All of that leads me to believe you want something in the ballpark of four good, clean attack steps with a strong creature before Blood Mist becomes worth its investment.Granted, there will be some games where Blood Mist is very good, and its value does depend a lot on your exact creature suite. If you have big tramplers and evasion creatures, it’s going to get better. If you curve into it on turn 4, you might put your opponent in chump-block mode pretty quickly.Overall, I think this card is playable, but not exciting. It does nothing for you on defense, and it gives your opponent too much warning about what’ll be coming at them. I expect it to make the cut approximately half the time.</t>
  </si>
  <si>
    <t>Bold Impaler is a functional reprint of Lavastep Raider, except that it has a relevant creature type. Unfortunately, Lavastep Raider was pretty bad.This can be acceptable filler if you’re dedicated to Vampire tribal, if you’re suicidally aggressive, or if you have a lot of cheap Auras. Usually, though, I recommend staying away.</t>
  </si>
  <si>
    <t>1 mana for 3 extra power is a decent enough rate that it’ll sometimes be fine to just cash this in for damage to the opponent. Normally, the weakness of a card that only pumps your creature’s power would be that it doesn’t help said creature survive combat. But with Borrowed Hostility, you have the option to choose first strike mode or to invest the full 4 mana when you need to.This looks like a solid combat trick for an aggressive deck, and gets better if a lot of your creatures already have first strike or trample.</t>
  </si>
  <si>
    <t>Brazen Wolves can attack as a 4/3 and block as a 2/3, which makes it noticeably better than Howlpack Wolf, which was already a very solid card. 4 power on a 3-drop is a rate that’s not easy to find, and this looks to be a solid?card that virtually all red decks will be happy to play. It would take a more brazen man than I to say anything bad about this card.</t>
  </si>
  <si>
    <t>Let’s start by evaluating Collective Defiance as 4 mana for 4 damage to a creature and 3 damage to the opponent. That’s what it’s going to be most of the time, and that’s excellent. For a 5th?mana, you’ll have the option to cycle the last couple of cards in your hand, which can be a great bonus if you’ve been planning for it, or if things coincidentally work out nicely for the ability. Also, look for times where you can force your opponent to Winds of Change his or her hand in order to ruin his or her well-laid plans.</t>
  </si>
  <si>
    <t>Conduit of Storms has average stats to begin with, and generating an extra mana is a good enough bonus to put it well into the realm of solid filler just on the front side. But it can also transform into Conduit of Emrakul, making it a powerful monster in the mid- and late-game.Unlike many of the other Werewolf horrors, Conduit of Storm’s transform cost is extremely affordable, and you can transform it as early as your turn-4 post-combat main phase by using the extra mana it generates.With a card like this, the threat of transformation often does as much work as the actual transformation itself. Attack with Conduit of Storms on turn 5, and how is your opponent supposed to block with a 3/3 when you can transform at instant-speed? He or she will be forced to take the damage, leaving you the option to transform if you like, or spend your mana playing a creature post-combat if you prefer.Overall, this is a premium creature that will make the cut in any red deck.</t>
  </si>
  <si>
    <t>Deranged Whelp is a solid 2-drop with a relevant creature type. 1 toughness isn’t ideal, but having menace will help it get in some damage, and avoid trading down against tokens and weaker creatures.</t>
  </si>
  <si>
    <t>At sorcery speed, Distemper of the Blood is quite bad to hard-cast. It becomes good if you’re playing an aggressive deck that can usually count on having a madness enabler. Overall, it’s hard to make this work, and you shouldn’t be picking it highly.</t>
  </si>
  <si>
    <t>My analysis of Falkenrath Reaver is much the same as Deranged Whelp (the Whelp is a little better, however). Red wants 2-drops, and the Vampire creature type on this makes it fairly desirable.</t>
  </si>
  <si>
    <t>Furyblade Vampire can help you to have some extremely powerful curve-outs, but I wouldn’t jam it in just any deck. For a 2-drop, this thing hits incredibly hard, but you won’t simply want to start dumping your hand to it starting on turn 3. In a deck with no madness, you’d rather have Falkenrath Reaver. In a deck with a solid amount of madness, or a couple of Uncaged Furies, this becomes scary very quickly.</t>
  </si>
  <si>
    <t>You’ve always known Shock to be a good (though not outrageous) Limited card. Shock rarely wanted to target players in Limited anyway, so the small possibility of dealing a third damage easily makes up for not being able to hit the opponent. I pick Galvanic Bombardment to be the best red common in Eldritch Moon Limited.</t>
  </si>
  <si>
    <t>Much like Goblin Rabblemaster, Hanweir Garrison runs away with a game if it gets to attack uncontested for more than 1 turn. Even if it attacks and trades off, you might get some tokens and some extra damage for your troubles.Once you have a creature that wants to attack as badly as Hanweir Garrison, combat tricks, tempo spells, and removal start to go up in value.</t>
  </si>
  <si>
    <t>This is what my teammate Andrew Cuneo would call “a sideboard card.”</t>
  </si>
  <si>
    <t>Ball Lightning meets Asphyxiate. Impetuous Devils will typically come down, kill an opposing creature, and leave behind a couple of points of trample damage. That’s a great effect! It’s true that the Devils can’t kill a tapped creature, but hopefully your aggressive red deck will be more concerned with killing blockers than anything else (especially when this gives you a bunch of hasted damage to help win the race).If your opponent’s already on the back foot, Impetuous Devils might just kill him or her on the spot. On the other hand, this isn’t quite as reliable as a removal spell because of the possibility that the opponent might have an instant-speed way to deal with it. In particular, the threat of an untapped Sigardian Priest is very annoying.All told, though, the power level on Impetuous Devils is high, and I’d be happy spending a first or second pick on it.</t>
  </si>
  <si>
    <t>Incendiary Flow is likely even better than Galvanic Bombardment in the cheap burn spell department. It also has flavor text that would make Jaya Ballard herself proud.The ability to exile a creature can be easy to ignore, but in a format of graveyard recursion and creatures like Dauntless Cathar, it’s more than just a minor bonus.</t>
  </si>
  <si>
    <t>Insatiable Gorgers is one of the hardest-hitting beaters you’re going to find in Eldritch Moon. 4 mana for a 5-power attacker is powerful, and dropping this at the end of the turn via madness might have the opponent taking a lot more damage than he or she was prepared for.On a smaller creature, “attacks each turn if able” can be a substantial downfall, since it’ll wind up suiciding into bigger blockers sooner or later. When it comes to a 5 power creature, you want to be attacking every turn anyway! Sure, the opponent can trade off if they’re lucky, but it’s going to take quite a monster to actually beat Insatiable Gorgers in combat.</t>
  </si>
  <si>
    <t>LimitedRatingg:2.0</t>
    <phoneticPr fontId="5"/>
  </si>
  <si>
    <t>In a color of flashy burn spells and 4 and 5 damage attackers, Make Mischief is a bit of an unassuming card. If you’re counting on this to be your 3-drop creature, it’s going to be pretty bad. But if you’re using it to kill a 1 toughness utility creature, then it’s a beating!Main decking this card is optional, but you should go out of your way to pick up 1 or 2 as sideboard cards against players with a lot of weenie creatures. Against white decks with Spirit tokens or red decks with fragile creatures, you should be making as much mischief as possible.</t>
  </si>
  <si>
    <t>Mirrorwing Dragon isn’t unkillable, but in a lot of situations it might as well be. Using a removal spell on this is going to cost the opponent a lot more than 7 years bad luck. If your opponent wants to cast Reduce to Ashes on your dragon, he or she needs to be prepared to Plague Wind themselves along with it.On the other side of the coin, Mirrorwing Dragon offers you the same ability that Zada, Hedron Grinder did in Battle for Zendikar, making a single combat trick lethal in most situations. Especially with Borrowed Hostility and Distemper of the Blood being commons in Eldritch Moon, Mirrorwing Dragon can help you unload an absolutely massive amount of damage under the right circumstances. You can even set up a combo turn by targeting the Dragon right away when you cast it. Just be careful, because your opponent can also use your Dragon against you to pump up all of their creatures!An affordable ? flyer with upside that’s also resilient to removal definitely fits my criteria for a Limited bomb.</t>
  </si>
  <si>
    <t>The cost is large, but the effect is massive. With a bit of setup, you can use Nahiri’s Wrath as a one-sided board wipe that can decide the game in short order. It poses a little bit of a dilemma in that you’ll have to discard your better cards to deal more damage. But it should be easy in the late game to discard a 5-drop and a land or 2 in order to get the desired effect.This isn’t one of the best Limited cards ever due to the fact that it sometimes won’t be a great topdeck. Red decks empty their hands pretty fast in this format, and it’s hard to hold a grip full of spells just on the chance you draw Nahiri’s Wrath on turn 10.Should Nahiri’s Wrath encourage you to raise the mana curve of your deck? Maybe a little bit. It could be a fine tiebreaker in favor of adding 1 or 2 5-mana spells to your W/R Beatdown deck that might normally only curve up to 4 mana. Certainly don’t go crazy, though―this card doesn’t need much help to be a gamewinner. Naturally, look for madness cards to pair with it for bonus value.</t>
  </si>
  <si>
    <t>Otherworldly Outburst requires a little bit of setup, but the payoff is a 3/2 creature for the low price of 1 mana. The best use comes when you cast this before trading with your opponent’s 2-drop on turn 3, and then use your remaining mana to cast another 2-drop post-combat.When everything works out perfectly, this card is very exciting. But for practical purposes, I’d usually just as soon have another solid 2-drop or 3-drop creature in its place.Remember that you can target your opponent’s creatures, so you’ll almost always be able to cash this in sooner or later. Otherworldly Outburst is slightly less powerful than Skin Invasion, but being an instant makes it a lot more reliable.</t>
  </si>
  <si>
    <t>Prophetic Ravings lets you build your own Mad Prophet, and there are some madness-heavy decks that win a tremendously high percentage of the games that they can stick a Mad Prophet.I always preach caution when it comes to auras since you risk getting 2-for-1ed. But I do think that Prophetic Ravings is a useful card for decks that really need to enable their madness spells.</t>
  </si>
  <si>
    <t>For 4 mana, Savage Alliance can deal 3 damage to a creature and pick off all other 1 toughness guys your opponent might happen to have. It’s instant speed, and can even give your team trample to unload damage on the opponent (you’ll get even more damage if you pair trample with dealing damage to your opponent’s creatures).Savage Alliance does it all, and I consider this slightly better than even the premium removal spells of the format.</t>
  </si>
  <si>
    <t>Shreds of Sanity is a late-game card, and requires a bit of setup. You’ll be looking to play with this in your U/R Spells decks, and it’s not insane to play it in your slower Sealed decks, either. The discard clause will wind up being a plus just as often as it’ll be a minus since you have the option to pick up a madness card from your graveyard and use it again right away (say, Alchemist’s Greeting, for example).The setup costs are high, and the payoff isn’t huge, so Shreds of Sanity is a card you should ignore in a lot of your average decks. But when you have enough to go with it (say, 8+ other spells divided pretty evenly between instants and sorceries), then it can be a great way to restock a couple of removal spells and take over a game.</t>
  </si>
  <si>
    <t>Eldritch Moon and Shadows over Innistrad have enough 1 toughness dudes that Smoldering Werewolf will often be able to kill a creature upon entering the battlefield. If you make the right attacks before casting it, you might be able to kill a weenie and finish off a bigger creature that your opponent blocked with!The front side of this card alone would be excellent, but the ability to transform into a giant monster that can start killing even bigger stuff makes Smoldering Werewolf a very scary Limited card.</t>
  </si>
  <si>
    <t>Some aggressive Limited decks aren’t interested in 7-mana spells at all. When you do choose to play with a 7-mana spell, you want to be winning the game a very high percentage of the time that you cast it. Thankfully, Spreading Flames passes that test. 6 damage divided as you choose can kill a troublesome bomb, massacre an army of tokens, or just take out 3 creatures for value. Any way you look at it, it ought to be a huge swing in your favor.Red is an aggressive color, so Spreading Flames won’t go in just any deck. But if you happen to have a U/R or B/R controlling draft deck, you’ll be happy to play 1 copy. In a Sealed deck, this is quite powerful, and can even be splashed if you have the right mana fixing.</t>
  </si>
  <si>
    <t>A cantrip can never be that bad in Limited, but I don’t like this one very much. Dealing the opponent 2 or 3 damage and drawing a card usually won’t be worth 3 mana.And here’s some food for thought: When you have 3, 4, or more Vampires sticking on the battlefield, how many other cards could you find that would win you the game from that position?You’d have to be virtually mono-vampires before Stensia Banquet would threaten to actually be good, and even then it wouldn’t be great. I’d hope to play with this card less than half the time. Like I said, a cantrip can never be that bad, and I think you’ll mostly turn to this when the draft hasn’t gone well, and you just need to get to 22 playables without stretching into those 0.0 and 0.5 rated cards.</t>
  </si>
  <si>
    <t>Stensia Innkeeper is a hill giant with the upside of forcing your opponent to play off-curve for a turn. The value of its effect will be largely random. Sometimes your opponent was going to play two 3-drop creatures in a row anyway, and locking down their land will do nothing. Other times they’ll be missing land drops, and you’ll force them to pass the turn without doing anything, which is absolutely huge.Overall, this is a slightly-above average card, and you’ll stay with the Innkeeper well over half the time. Especially when you’re looking for more Vampires to help with your tribal synergies, you’ll be happy to have this.</t>
  </si>
  <si>
    <t>Stromkirk Occultist is yet another premium, aggressive Vampire. With only 2 toughness, it’s relatively easy for the opponent to trade with, but trample means that you can still get value from triggering the ability.Stensia Masquerade, or any other card that makes it hard for the opponent to block, will help the Occultist go nuts, and this card is absurdly punishing against a player with a poor draw.Tack madness onto an already-premium creature and you have a card you’re thrilled to play in any red deck.</t>
  </si>
  <si>
    <t>Thermo-Alchemist is very comparable to Lobber Crew, which was a solid Limited card. It doesn’t block as well, which is a downside, but it costs 1 less mana, which is great.At first glance, this looks like a build-around card, where you’ll have to play tons of spells to take full advantage. But I think simply pinging the opponent for one-and-a-half unblockable damage per turn is a good effect, and you don’t need to go crazy to make Thermo-Alchemist do work for you.If you have very few instants and sorceries, Thermo-Alchemist is cuttable, but I think it’ll be a solid card more often than not. Once you pick up 2 copies, you can start prioritizing average-quality instants and sorceries a little bit more than you normally would.</t>
  </si>
  <si>
    <t>Vildin-Pack Outcast is better than Thornhide Wolves, but probably a bit worse than Gatstaf Arsonists. This makes it a 5-drop creature that’ll usually make the cut, but might not require a high draft pick. Having trample on both the front and the back is excellent, but having to invest so much mana to transform is annoying when compared to the tradition Werewolf template.</t>
  </si>
  <si>
    <t>Weaver of Lightning has the potential to be an extremely powerful card. It’s a great payoff for drafting a UR Spells deck, and even out of more average decks, certain opponents will have a very hard time beating Weaver of Lightning.As a 1/4 reach, Weaver of Lightning stands as a strong blocker even without its triggered ability. Most decks have some 1 toughness creatures, so even the occasional spell might take out a weenie creature or finish off a weakened blocker here and there. Where Weaver of Lightning begins to get really insane, though, is when you can reliably cast multiple instants and sorceries in the same turn in order to shoot down 2 toughness guys.I’d still err on the side of picking premium burn spells over Weaver of Lightning early in the draft. And in your aggressive red decks without a lot of spells, Weaver of Lightning will be relegated to being a strong sideboard card. But this is an extremely good, powerful card that’s worth picking highly.</t>
  </si>
  <si>
    <t>4 mana for a 4/3 is already a rock-solid Limited card. With a large potential bonus on top of that, Backwoods Survivalists looks excellent. A creature that can attack as a 5/4 trample this early in the game is a creature to really pay attention to.In an average deck, this is a 4/3 creature with the potential to grow a little bigger in the late game. In a dedicated delirium deck, you’re getting a giant, trampling creature way ahead of schedule. Backwoods Survivalists will rarely get cut, and is a pretty solid payoff for drafting delirium (at least when it comes to commons).</t>
  </si>
  <si>
    <t>There aren’t a lot of repeatable ways to sacrifice permanents, but there are a handful of permanents with abilities that require you to sacrifice them, and there’s the emerge mechanic.I think the most common home for Bloodbriar will be as a filler creature in a deck with 2-4 ways to sacrifice other permanents. In this case, it’ll start as a 2/3 with a reasonable ability to grow into a 3/4 a little later in the game―a fine filler card. Once you get multiples, you can start going out of your way to make them better. With 2 Bloodbriars, you’ll be happy to pick up a Warped Landscape in the Shadows over Innistrad pack―just as one example.If the stars align and you’re actually able to build a “sacrifice deck,” then this is a great payoff. Interestingly, it might be white, and not black, that gives you the best weapons to pair with Bloodbriar. Extricator of Sin and Lunarch Mantle are two of the best ways to sacrifice permanents in Eldritch Moon.</t>
  </si>
  <si>
    <t>Rabid Bite was one of the best commons in Shadows over Innistrad. Clear Shot costs an additional mana, but it offers +1/+1 and―more importantly―is an instant.Clearly, this is a great card. It’s a premium removal spell, and does a better job killing big monsters than most of the removal in black and red. It’s conceivable that this could even do double-duty by serving as both a trick to help a creature win in combat and a removal spell to take out one of the opponent’s other creatures.Keep in mind, Clear Shot only deals damage to the opponent’s creature―it’s not a fight spell like Prey Upon.</t>
  </si>
  <si>
    <t>Crop Sigil will help you achieve delirium, but it’s pretty slow at its job. Crawling Sensation dumped 2 cards in the graveyard per turn, and gave you value while it was at it. Crop Sigil has to sit in play for a bunch of turns in order to fill your graveyard, and doesn’t actually do anything until you’re ready to sacrifice it.Still, this is a decent card since you can play it early and sit on it for awhile. If you draw it in the late game, you can spend 4 mana to cash it in right away for a reasonable effect.</t>
  </si>
  <si>
    <t>Say it 10 times fast! “Crossroad Consecrators constantly complicate combat.”Anointer of Champions was a good card in very aggressive decks, but that was in Magic Origins, where a major goal was to punch your renowned creatures through blockers. More importantly, the Anointer and the Consecrator have the type of effect that you really don’t want to have to commit mana towards. The strength of a creature like this is to sit on the table and passively offer extra damage and make things difficult on the opponent. If you have to play off-curve in order to activate it, the value drops off very quickly.Crossroad Consecrator is still passable if you’re aggressive and most of your creatures are Humans. It also helps that he’s a Human himself. Overall, however, this shouldn’t be a high pick.</t>
  </si>
  <si>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</si>
  <si>
    <t>Eldritch Evolution is card disadvantage, so under normal circumstances you should avoid it. However, if you wind up with an incredible bomb creature like Ishkanah, Grafwidow, then Eldritch Evolution will increase your chances of getting it into play.I think you can mostly ignore Eldritch Evolution, and in the rare cases where your deck wants it, you’ll know.</t>
  </si>
  <si>
    <t>Emrakul's Evangel is a very unique card. I don’t think you can count on 3/2 Eldrazis being major upgrades to too many of your creatures (although it’s nice with tokens and Sanitarium Skeletons). Instead, what’s cool about this card is the ability to leave it untapped and use it in response to removal, or as a reaction to an unfavorable combat step.On the whole, Emrakul’s Evangel is a reasonable body, and you’ll almost always find a way to get some extra value from it. In particular, look for it as a way to make your Bloodbriars huge at a moment’s notice.</t>
  </si>
  <si>
    <t>It’s going to be tempting to play with Emrakul's Influence in UG when you wind up with a handful of emerge creatures, but I strongly recommend staying away. If you’re able to resolve a 4-mana do-nothing and then multiple Eldrazi that cost 7 or more mana, you shouldn’t need help winning the game. If you’re looking for a card that’s good alongside tons of 7+ mana creatures, I recommend basic Forest. You’re allowed to take as many as you like from the land bin.</t>
  </si>
  <si>
    <t>In case you couldn’t take the hint with cards like Enlightened Maniac and Exultant Cultist, Foul Emissary is holding a big, flashing neon sign that says, “use me with emerge creatures!” And he’s very good at his job. Where emerge normally costs two cards to produce one creature, when you sacrifice Foul Emissary you’ve actually gained card advantage―you get a creature in your hand, a 3/2 token, and a giant Eldrazi on the battlefield.This is simply a very good card. The enters-the-battlefield ability on Foul Emissary is better than drawing a card, making him a good chump blocker that replaces himself well.If you have even one creature with emerge, this is a slam dunk, and I also think it’s fine to play Foul Emissary with no emerge just for the enters-the-battlefield trigger. If you suspect you’re going to end up with multiple emerge creatures, this should be a high pick.</t>
  </si>
  <si>
    <t>Gnarlwood Dryad is a Sedge Scorpion for most practical purposes. Small deathtouch creatures tend to trade up the curve anyway, so whether Gnarlroot Dryad is a 1/1 or a 3/3, it’s likely to trade with a Brazen Wolves or an Ingenious Skaab either way. That said, Sedge Scorpion rocks, and I’ll put this card in basically all of my green decks!</t>
  </si>
  <si>
    <t>In the past, I’ve always been a big fan of Raise Dead effects. But in this Limited format, I’m grappling with the idea that they’re so plentiful that they won’t be worth high picks. BG is the color combination that would want Grapple with the Past the most, but in that archetype you could just as easily play Cemetery Recruitment, Macabre Waltz, or Rise from the Grave.Grapple With the Past is a strong card, and has a nice home in the green delirium decks, but doesn’t need to be a high priority.</t>
  </si>
  <si>
    <t>In original Innistrad, this was a staple of WG Aggro―the archetype that many players felt was the best in the format. Hamlet Captain has still got moves in Eldritch Moon, being one the cheapest, most direct, and most efficient payoffs for drafting a Human aggro deck.White and green are the colors with the most Humans, and Human tribal is a major theme of the color combination. But there are Humans in every color, and the Shadows over Innistrad Werewolves are even Humans on the front side, making Hamlet Captain powerful in a variety of decks.While not a bomb, Hamlet Captain is a very good 2-drop creature that ought to be a priority for aggressive green decks, especially when paired with white.</t>
  </si>
  <si>
    <t>Here’s the newest creature to follow in the footsteps of Siege-Gang Commander, Cloudgoat Ranger, and Pia and Kiran Nalaar. Ishkanah, Grafwidow can easily hold a candle (or 8) to all of them.Her high toughness and reach help stabilize the board immediately, and the fact that her Spider tokens are 1/2s makes them resistant to many of the normal anti-token measures. Pair stabilizing the board with a deadly activated ability to sit behind, and you have a creature that can win the game all on its own.Ishkanah, Grafwidow is probably the best payoff for delirium in the format. If you see her, windmill slamming and drafting GB delirium will usually be a great option. In particular, creatures like this are disgusting alongside recursion (like Grapple With the Past), and recursion happens to be a theme of the delirium decks.</t>
  </si>
  <si>
    <t>It of the Horrid Swarm is one of only two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t>
  </si>
  <si>
    <t>A hyper-cheap and aggressive creature that’s still good in the late game is an excellent Limited card. Naturally, this is at its best in something like GW or GR beatdown. But even your defensive green decks might want Kessig Prowler to trade off early, or to sink mana into late.</t>
  </si>
  <si>
    <t>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it seems natural to sideboard it out if the opponent doesn’t have artifacts or enchantments, and you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
  </si>
  <si>
    <t>We’ve come a long way since?Wild Mongrel was the best creature in Magic. But in Limited―and particularly in a format with madness―Noose Constrictor is still an excellent card. Reach is even a nice addition since the Odyssey days.This is both a great beater and a cheap way for slower green decks to defend themselves against UW Flying Spirits which look powerful in Eldritch Moon.</t>
  </si>
  <si>
    <t>Permeating Mass is a fancy rare that, for practical purposes, will wind up playing similarly to Gnarlwood Dryad. Your opponent won’t want to attack his or her big creatures into the Mass. But be careful about putting it into combat against disposable 2-toughness creatures because you’ll wind up giving your opponent Permeating Masses to hold off your creatures!Most games, this thing will stay home and hold down the fort. Every once in a while, though, it might cause a game to get very, very weird…</t>
  </si>
  <si>
    <t>Prey Upon is a reprint from original Innistrad, where it was one of the strongest green commons. It will be no different here, letting green’s giant Werewolves take out opposing creatures on the cheap. Just remember that, unlike Rabid Bite, your creature will take damage back from whatever opposing creature you’re trying to kill.</t>
  </si>
  <si>
    <t>Primal Druid is a solid defensive card against opponents who are trying to attack you on the ground. As a 2-drop, it can hold the ground for a while, and you’ll usually be happy if it winds up dying in combat.Unfortunately, Primal Druid will be poor in aggressive decks, poor if your opponent is controlling, and poor if they’re attacking you with flying creatures. This is a relatively useful card, but shouldn’t be a high pick.</t>
  </si>
  <si>
    <t>Shrill Howler is a bit fragile, but being difficult to block makes up for that and helps ensure that it won’t trade down against weaker creatures. When it transforms, it becomes a big threat that can take over the game if it goes unblocked a couple of times. This is a strong card that you’ll be happy to play in any green deck.</t>
  </si>
  <si>
    <t>Somberwald Stag is like a Flametongue Kavu for little creatures. If you can cast this card and fight something like a Dawn Gryff, then you have a borderline bomb card capable of swinging a game in your favor. At only 3 toughness, it’s not terribly easy to kill a relevant creature while keeping the Stag out of danger. Remember, though, that you can always use this as a 5-mana removal spell to trade with a 4/4 if you need to.Overall, Somberwald Stag looks like an excellent card, and will probably prove to be stronger than the majority of rares in the set.</t>
  </si>
  <si>
    <t>If Spirit of the Hunt pumped itself up, it would be incredible. Instead, it’s merely great. 3 mana for a 3/3 flash can ambush an attacker nicely, especially since it’s a rare and the opponent usually won’t expect it. You can also use it to save your other Wolves and Werewolves from removal or from a hairy combat step.At its absolute worst, Spirit of the Hunt is a good, efficient creature. More often than not, I expect you’ll also be able to find a way for it to result in a 2-for-1 exchange.</t>
  </si>
  <si>
    <t>Even if you’ve already gone to the trouble of filling your graveyard with lands, Limited decks usually aren’t in a position to benefit from the jump from 7 to 11 lands on the 10th?turn of the game. The set-up costs are high and the rewards are low. Splendid Reclamation is a less-than-splendid Limited card.</t>
  </si>
  <si>
    <t>Here’s what I wrote about Ironwright’s Cleansing when I covered white: “Try not to maindeck Ironwright’s Cleansing, but there seem to be enough artifacts and enchantments in this Limited format that it wouldn’t be a complete catastrophe if you had to do so. Beyond that, it looks like a solid sideboard card.”Springsage Ritual is noticeably better than Ironwright’s Cleansing, but the evaluation is mostly the same. Try not to maindeck this, but pick one up for your sideboard.</t>
  </si>
  <si>
    <t>I would’ve been more excited about Swift Spinner in all-Shadows-over-Innistrad Limited, where you could pass with a flash creature in order to transform all of your Werewolves. Unfortunately, Werewolves have found a new method of transforming in Eldritch Moon, and Swift Spinner cannot help them.As it stands, the Spider has below-average stats, and generally isn’t that exciting. The fact that UW Spirits appears to be a strong archetype in Eldritch Moon will make this useful, especially for slower green decks. This is just a filler card, and is generally worse than Watcher in the Web.</t>
  </si>
  <si>
    <t>Tangleclaw Werewolf is Eldritch Moon’s only defensive Werewolf. The front side is pretty average, but it does hold the ground well. Once you find the mana to transform it, Fibrous Entangler is a creature that will give you massive control over the battlefield, and can force the opponent into chump-blocking under the right circumstances.Tangleclaw Werewolf is a perfect fit in big-mana green decks where you can both make use of the defensive creature, and amass the mana to transform it into its Eldrazi form.</t>
  </si>
  <si>
    <t>I like mana dorks in Limited, and one that can turn into a major threat in the late game is very exciting to me. This is a card that deserves to be picked pretty highly, and almost always maindecked. Casting bigger Werewolves like Solitary Hunter ahead of schedule is a good way to run away with a game.</t>
  </si>
  <si>
    <t>Ulvenwald Observer is a powerful card and has a great chance of either dominating a game, or scoring you a 2-for-1 exchange. Be wary of bounce spells, though, and Auras like Bound by Moonsilver. Green in Eldritch Moon/Shadows over Innistrad is a color of meaty creatures, and the Observer will frequently trigger off of creatures other than itself.Unfortunately, I have to make the same criticism that I made of Assembled?Alphas, which is that 6-drop creatures aren’t at a premium, and Kessig Dire Swine can still do a lot of what Ulvenwald Observer does. This is a strong card that should always make the cut, but it’s not the rare you’re hoping to observe when you crack your first pack.</t>
  </si>
  <si>
    <t>Waxing Moon is effectively a premium combat trick that can only be used on a Werewolf. When it works, you’ll be able to eat a guy in combat while transforming your average creature into a huge monster―either permanently or semi-permanently―and getting in some trample damage to boot. That’s an excellent effect, but it takes a lot to line up properly before it can happen. I’d want to have something in the ballpark of 7 Werewolves before I’d be excited to play with Waxing Moon.</t>
  </si>
  <si>
    <t>Raised by Wolves was a good card, but that gave you 2 Wolves, and was in a set where you were constantly trying to trigger heroic. I really don’t see the appeal of Wolfkin Bond. When it turns your 3/3 into a 5/5 that can attack through an opposing blocker, then it’s okay. But I think you’re better off just playing an average 5-drop creature in your deck. The power level of this card is too low to risk getting blown out by removal or bounce in response.</t>
  </si>
  <si>
    <t>This card looks like it can make the cut. It’s an overpriced Giant Growth that can reliably save your creature from any removal spell. That amounts to a pretty average combat trick that you won’t need to pick highly, but that you’ll often play with in a beatdown deck.</t>
  </si>
  <si>
    <t>3 mana for a 3/2 is average, and Woodland Patrol gets an ability on top of that. The problem with vigilance on a low-toughness creature is that it often won’t survive combat when it attacks. Even when it does, there’s not really much that you’ll be excited to block. This is the definition of a filler card.</t>
  </si>
  <si>
    <t>I like emerge as a quite a lot. As a general rule when evaluating new Magic cards, anything that lets you cast expensive spells for cheaper is worth paying close attention to. Emerge can lead to some easy wins when you put a giant monster into play quickly and it goes unanswered. In Limited it’s important?to put yourself in a position to earn easy wins.But be aware that the cost of emerge is card disadvantage. You spend 2 cards (the Eldrazi in your hand and the creature on the battlefield) to result in 1 new creature on the battlefield. There’s a risk of falling behind if the opponent can answer your Eldrazi with a removal or bounce spell.Abundant Maw isn’t quite the payoff I’d hope for for an emerge creature. Since it puts you down on card advantage, I’m looking for an immediate impact on the battlefield, which this card doesn’t have. Granted, the 6 point life swing gives you breathing room, and ensures that things can’t go too horribly wrong. The power level is high enough that I think you’re happy to play with Abundant Maw in your black decks.</t>
  </si>
  <si>
    <t>By the time turn 8 rolls around, your opponent’s hand will often be empty. So you have another emerge card that’s unexciting to hardcast. Casting Distended Mindbender ahead of schedule for its emerge cost can be more powerful. You can feel a lot better sacrificing board presence for a creature like this when you know you can strip away your opponent’s removal spell.You should evaluate this card assuming you’ll strip 1 card out of your opponent’s hand. Even by turn 5, the odds of actually sniping 2 spells will be relatively low. Overall, the Mindbender looks like something you’re always happy to play in a black deck, but not exactly a bomb. That said, it’s also a bit matchup dependent and can be absolutely devastating against slow, control decks. Despite not having the highest power and toughness, the Mindbender is great at trumping other emerge creatures by taking them out of the opponent’s hand before they can hit the battlefield.</t>
  </si>
  <si>
    <t>Because of its strange 1-turn-hexproof clause, Drownyard Behemoth is a foolproof way to ambush a ground attacker. Almost nothing can beat a 5/7 in combat, and the opponent can’t use instant-speed bounce or removal to trump the Behemoth. This is its way of guaranteeing value and paying for the creature you sacrificed to emerge. Looks pretty solid to me.</t>
  </si>
  <si>
    <t>When you’re winning, Elder Deep-Fiend will usually win you the game by tapping down opposing blockers at the end of the turn. When you’re losing, it can ambush a creature in combat, or fog for a turn (but unfortunately not both). Being helpful in a wide variety of situations is exactly what I look for in an expensive card, and this one seems to fit that bill.Note also that it can tap any permanent, including lands. This can help you clear the way for a safe, clean combat step where you’ll know exactly what your opponent can and can’t do.Elder Deep-Fiend earns its high rating based on being able to cast it for its emerge cost in a blue deck. But I think it stands out from the other emerge creatures in that its rate is good enough to be playable “off color.” Of course, your WR Beatdown decks don’t want an 8-mana spell for any reason. I can easily see playing this in?a slow?GB delirium deck.</t>
  </si>
  <si>
    <t>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t>
  </si>
  <si>
    <t>For most practical purposes, Eternal Scourge is a colorless Nessian Courser. If you can’t exile it from your own graveyard (which is difficult), then its ability is a minor downfall, since it gives your opponent more options. It can always come back, but they might use their instants and sorceries to tempo you out, or they might have a permanent that can repeatedly target it. Overall, not a high draft pick.</t>
  </si>
  <si>
    <t>Having a multicolored emerge cost makes Lashweed Lurker slightly more difficult to use well. But the power level is still definitely there, as it has a large, immediate impact on the board, and won’t leave you down on card advantage even when paying the emerge cost.</t>
  </si>
  <si>
    <t>Of the non-rare emerge creatures, Vexing Scuttler is my favorite. Returning an instant or sorcery from your graveyard to your hand replaces the creature that you sacrificed to emerge. It’s also pretty affordable by Eldrazi standards, and it’s not far-fetched that you could cast this and whatever spell you return both in the same turn.I like the card advantage, the flexibility, and the giant monster that you get out of casting Vexing Scuttler. Look for this to be an especially powerful card in a Sealed deck.</t>
  </si>
  <si>
    <t>Mulldrifter this is not. But a threatening body that replaces itself it is! Wretched Gryff looks like a good addition to any blue deck, and some, slow nonblue decks.For practical purposes, Wretched Gryff might prove to be one of the best “blue” commons. Pairing this with Exultant Cultist or Enlightened Maniac will probably be one of the bread-and-butter synergies that blue decks will want in Eldritch Moon Limited.</t>
  </si>
  <si>
    <t>Cathar’s Shield has an annoyingly high equip cost, and doesn’t help you unload extra damage on the opponent. On the whole, this is a poor card. I could see playing it if you have a ton of equipment synergies, but there are enough common equipment in Eldritch Moon/Shadows over Innistrad that you shouldn’t have to stoop this low.</t>
  </si>
  <si>
    <t>Cryptolith Fragment is a unique and reasonably powerful card, but whether or not you can use it well will depend largely on your deck. The challenge is that ramp decks want to protect their own life total, and they do not attack the opponent’s life total quickly. Aggressive decks that attack the opponent’s life total might not be able to make use of the extra mana (or count on their own life total going down to 10).I see Cryptolith Fragment being best in something like a big RG Werewolves deck where you’re reasonably aggressive, and casting a 5-drop ahead of schedule is appealing to you.At its best, the Fragment could easily be as high as a 2.5, but don’t be afraid to leave it on the sidelines when it’s not a good fit for your deck.</t>
  </si>
  <si>
    <t>Cultist’s Staff, unlike the mediocre Cathar’s Shield, is a decently strong equipment. Vulshok Morningstar stands as a baseline for great?equipment in Limited, and the Staff comes reasonably close to matching it.I’d usually stick to 1 copy of Cultist’s Staff, but I think this is a card you’ll want if you specifically have equipment synergies (like Avacynian Missionaries), or if you’re just looking for a little extra support for your evasion creatures.</t>
  </si>
  <si>
    <t>2-drops are important. Field Creeper’s stats aren’t exciting, but a 2-drop that can go in any deck and contributes an extra card type for delirium is totally fine in my book.</t>
  </si>
  <si>
    <t>You’re going to get sick of me talking about fueling delirium, but it’s going to be a legitimate appeal of all of these artifact creatures. Geist-Fueled Scarecrow is a body that’s more efficient than you’re likely to find in any of the 5 colors. The drawback is not even that bad since you can cast this as one of the last creatures in your hand and you’ll often have the option to trade it off once it’s on the board. Granted, it will be very annoying to have this locked down by a Choking Tethers (you can consider sideboarding it out if your opponent has a lot of cards like that).Unlike a Steel Golem, you can still cast your creatures―it just becomes minorly annoying to do so. The only place you might want to avoid Geist-Fueled Scarecrow is in a deck like RG Werewolves, where you actually have a healthy number of 5-drop creatures that you’d like to play on curve. Outside of that, I envision this being a solid playable for most decks in this Limited format.</t>
  </si>
  <si>
    <t>Play with Lupine Prototype if you’re planning to eventually empty your own hand, as you would with most normal, aggressively slanted decks. It often won’t be attacking until turn 6 or so, but that still makes it as good as most creatures you’d tap out for on turn 5. The advantage of the Lupine isn’t its speed, but the fact that it requires such a small investment of mana. You can cast this and another spell in the same turn, and then cash in once you finally do empty your hand.Avoid this card in blue decks with card drawing, counterspells, or other situational instants.</t>
  </si>
  <si>
    <t>I prefer the more affordable Cultist's Staff over Slayer's Cleaver. Investing 4 mana to equip a creature, only to have that creature trade in combat is a real bummer. That’s why expensive equipment that doesn’t pump toughness (or offer evasion, trample, or another helpful ability), is usually disappointing.</t>
  </si>
  <si>
    <t>Soul Separator has excellent flavor, and some interesting potential uses, but I think it costs too much mana to be very good. If you have some self-mill, you can dump a giant monster in your graveyard and then use Soul Separator to make a big threat. But for 8 mana, why aren’t you just casting Cemetery Recruitment and recasting your creature? It’s a real shame that this can’t even target creatures in the opponent’s graveyard.As someone pointed out in the comments section of the black review, the sweetest combo with Soul Separator is Tree of Perdition. This will give you a 0/13 ground blocker and a 1/1 Spirit with the ability to set your opponent’s life total at 1!</t>
  </si>
  <si>
    <t>Stitcher’s Graft is very slow and a bit dangerous, but I think the rate is good enough that it’s still a useful card. You won’t want to put this on your giant green Werewolves, but in an RB or WR weenie deck, you can start attacking for big damage very quickly, and make your 1- and 2-drop creatures into very real threats.Imagine, for example, equipping an Insolent Neonate on turn 3. Even attacking every other turn, you’re unloading damage at a highly increased rate, and your opponent won’t ever have profitable blocks. If the Neonate ever dies (you can sacrifice it any time you like), you can re-equip Stitcher’s Graft and keep the pressure on.</t>
  </si>
  <si>
    <t>Terrarion isn’t exactly exciting, but it offers mana fixing and a contribution to delirium at a very, very low cost. You’ll be happy to play this virtually any time your deck is 3 colors, or any time you’re going for delirium (and don’t already have a handful of artifacts in your deck).</t>
  </si>
  <si>
    <t>More than the other common and uncommon equipment, I like both the flavor and the strategy questions represented by Thirsting Axe. For a pretty affordable rate, you can put your opponent to the test of trading for your weakest creatures every turn, or taking massive damage.Thirsting Axe is a pretty strong card for decks that aggressively attack the opponent’s life total. It’s good with evasion creatures, even though they’ll go unblocked. Having the option to unload damage is a good thing. More importantly, it’s good in decks with a lot of cheap creatures. Cheaper creatures are more expendable if you have to sacrifice them to the Axe’s triggered ability. They also don’t demand large mana investments, meaning you can use your mana on re-equiping each turn instead.</t>
  </si>
  <si>
    <t>Well-above-average stats and madness make Bloodhall Priest a card to be excited about in any RB deck. The ability to sometimes kill a creature when it enters the battlefield is a big bonus on an already-good card.Unfortunately, it’s hard to get both the “kill a creature” value and the “big creature ahead of schedule” value at the same time since you’ll rarely be hellbent by turn 4. But jamming Bloodhall Priest right away or waiting to empty your hand is a choice that can be made case-by-case. It’s also a problem I’ll be happy to have.</t>
  </si>
  <si>
    <t>Campaign of Vengeance does a reasonable impression of Glorious Anthem and is quite a powerful card. Where it doesn’t help you on defense, the life gain can make you difficult to race. Where it doesn’t help your creatures win in combat, it works well with skulk and can allow you to bleed out an opponent who might’ve otherwise stabilized.Campaign of Vengeance will make the cut in all but the most controlling of BW decks, and it’s even a draw toward the color combination. But noncreature, nonremoval card that commits me to 2 colors is not how I would hope to start a draft.</t>
  </si>
  <si>
    <t>Just like Bloodhall Priest, Gisa and Geralf offer a 4-mana 4/4 with tons of upside. Blue and black are the Zombie colors, and even without trying you’re going to end up with a decent handful of creatures that you can cast from your graveyard. The self-mill ability finds you Zombies to cast, helps with delirium, and can offer plenty of other benefits in this color combination.</t>
  </si>
  <si>
    <t>Grim Flayer is efficiently costed, but “efficiently costed” usually isn’t a great reason to commit to a 2-color combination early in the draft. That said, if you’re GB already, then a 2-mana creature that becomes a 4/4 trampler and can help with delirium is something you’ll always be happy to have.</t>
  </si>
  <si>
    <t>Heron’s Grace Champion is exactly what your WG creature decks will be looking for. Those are the colors with the most Humans anyway, so you can use the Champion as Tenacity in a big combat step (plus a 3/3 lifelink that sticks around for later). He also stands on his own extremely well, being a solid body that can ambush an attacker. Built-in lifelink also makes him carry equipment, Auras, and combat tricks particularly well.</t>
  </si>
  <si>
    <t>Mercurial Geists has the potential to hit incredibly hard, but I usually hope for my 4-mana gold uncommon to have a bit more standalone power than this. If you can’t offer it much help, it’s a fragile creature that might only average about 2 damage per turn.Thankfully, blue and red are the “spells matter” colors, and you’ll usually have enough that, when you’re drawing well, Mercurial Geists will be a deadly threat.</t>
  </si>
  <si>
    <t>The stats and text on Mournwillow are similar (likely a little worse) than Voldaren Duelist. Its converted mana cost is 1 less, but it’s a gold card in a combination that’s not always aggressive. On efficiency, this is a card you’ll always play in your BG decks, but it’s not the payoff you want for committing your colors early in the draft.</t>
  </si>
  <si>
    <t>When you’re playing WR aggro, this is a card you can ride to victory. When you’re attacking, Ride Down is a premium removal spell with a healthy chunk of damage attached to it. These decks are in the market for any card that lets them keep attacking, and Ride Down might just be the best one out there.Note that it can give trample to all 8 creatures blocked by an opposing Watcher in the Web!</t>
  </si>
  <si>
    <t>In terms of power level, Spell Queller is pushed to the limit on virtually every axis! A 2/3?with flying for 3 mana has great stats. Flash gives it the potential to ambush a creature if you choose, or keeps your mana open for other options. The ability to (temporarily) counter a spell while adding an evasive attacker to the board is a huge swing. It’s also a Spirit, which is the creature type the UW color combination wants.Granted, Spell Queller does have its limits. If it gets killed later in the game, the opponent will finally get their spell. But if it’s a cheap creature you’re countering, delaying it by a few turns has already taken away a ton of its value―it might be outclassed by the time it finally hits the battlefield. If it’s a situational spell like a combat trick, the opponent might not find as good a use for it.Spell Queller can’t counter any spell, but hitting anything that costs 4 or less mana means you should have no trouble finding a target. At any rate, this seems like a creature that you want to get onto the board early to push a tempo advantage, not save in your hand forever to counter their late-game bomb.</t>
  </si>
  <si>
    <t>We all know how powerful planeswalkers are in Limited, and you’re going to win most games that you cast Tamiyo on an even board. In Limited, both players are going to have creatures, so you can use the +1 ability on your own guys to draw cards, or on your opponent’s to make combat more difficult for them. If you’re far ahead, the -2 ability ought to effectively win the game. If you’re far behind, it ought to buy you enough time to get right back in it.One strike against the Field Researcher is?that her ultimate isn’t particularly great in Limited (I doubt you’ll ever really want to cash her in for the emblem and 3 random cards). The other is her demanding 3-color requirement. This is a 2-color format, and splashing comes at a very high cost. If you’re drafting WG, WU, or GU already, then the rewards are high enough to consider splashing, but decreasing the consistency of your WG Beatdown deck is something that should make you cringe. A lot has to go right for Tamiyo to fit into your deck, and a lot more has to go right before you can smoothly curve into casting her on turn 4.</t>
  </si>
  <si>
    <t>Ulrich of the Krallenhorde is one of the major characters in Shadows over Innistrad, being referenced in the names and flavor texts of a lot of the Werewolves. He also seems to be the only “traditional” Werewolf in Eldritch Moon who hasn’t been corrupted by Emrakul. I had pretty high expectations for him when he finally got printed as his own card.The Human side is actually a bit lackluster. When he enters the battlefield, he can help one of your other creatures attack for a big chunk of damage, but there’s nothing to stop the opponent from chump-blocking anyway.But the Werewolf side does not disappoint in the slightest. A 6/6 that gets to kill off one of the opponent’s best creatures is a game-winner. The fact that you might actually get to make this happen more than once in a game is truly beastly.</t>
  </si>
  <si>
    <t>Geier Reach Sanitarium offers a relatively powerful symmetrical effect, and having control over it is appealing. That said, Eldritch Moon/Shadows over Innistrad is a fast Limited format with poor mana fixing, and the costs of adding a colorless land to your deck are high.I’d never call somebody crazy for playing with this card, but I think you’re only excited about it in dedicated madness decks, or decks with extremely good mana (for example, if you’re mostly one?color with a light splash).</t>
  </si>
  <si>
    <t>Hanweir Battlements is a bit more powerful because its effect only benefits you. Any red deck that can afford it will want Hanweir Battlements. Very aggressive red decks like WR will want to pick it relatively highly.</t>
  </si>
  <si>
    <t>Nephalia Academy</t>
    <phoneticPr fontId="5"/>
  </si>
  <si>
    <t>Nephalia Academy’s ability simply doesn’t do enough in Limited. You’re almost always going to be better off with a basic land from the land box.So that’s it for Eldritch Moon’s Limited cards! Much like Shadows over Innistrad, there seem to be a lot of powerful rares which, even if they’re not bombs, can be picked highly and give your draft some direction. The multicolored rares are great examples.As of now, I see no reason not to believe that all 10 color combinations will be viable in draft. In particular, UW Spirits and RB Vampires seem to have gotten a lot stronger. If the emerge mechanic is as powerful as it looks like it might be, then there might be big rewards in finding the perfect way to build a UG Emerge deck.Shadows over Innistrad was already a fun and popular Limited format. Let’s hope that Eldritch Moon only adds to it!				Reid Duke burst onto the competitive scene in 2011 by winning the Magic Online Championship at Worlds, and has since grown to become one of the most widely respected players in Magic. For Team ChannelFireball: The Pantheon, Reid functions as more of a fine-tuner than a pure deckbuilder, always ready with an improved version of a known deck. _x000D_</t>
  </si>
  <si>
    <t>Emrakul, the Promised End</t>
    <phoneticPr fontId="5"/>
  </si>
  <si>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phoneticPr fontId="5"/>
  </si>
  <si>
    <t>Abundant Maw</t>
    <phoneticPr fontId="5"/>
  </si>
  <si>
    <t>info</t>
  </si>
  <si>
    <t>EldritchMoom 0 W0U0B0R0G0C0A0</t>
  </si>
  <si>
    <t>colorless</t>
  </si>
  <si>
    <t>\"Emerge {6}{B} （You may cast this spell by sacrificing a creature and paying the emerge cost reduced by that creature's converted mana cost.）
When you cast Abundant Maw, target opponent loses 3 life and you gain 3 life.\"</t>
  </si>
  <si>
    <t>\"\\"\"\\\"\"\\"\"\\\\"\"\\"\"\\\"\"\\"\"Emerge {6}{G}{G}{G} （You may cast this spell by sacrificing a creature and paying the emerge cost reduced by that creature's converted mana cost.）
When you cast Decimator of the Provinces, creatures you control get +2/+2 and gain trample until end of turn.
Trample, haste\\\\"\"\\"\"\\\"\"\\"\"\\\"\"\\"\"\\"\"\"</t>
  </si>
  <si>
    <t>\"\\"\"\\\"\"\\"\"\\\\"\"\\"\"\\\"\"\\"\"Emerge {5}{B}{B} （You may cast this spell by sacrificing a creature and paying the emerge cost reduced by that creature's converted mana cost.）
When you cast Distended Mindbender, target opponent reveals his or her hand. You choose from it a nonland card with converted mana cost 3 or less and a card with converted mana cost 4 or greater. That player discards those cards.\\\\"\"\\"\"\\\"\"\\"\"\\\"\"\\"\"\\"\"\"</t>
  </si>
  <si>
    <t>\"\\"\"\\\"\"\\"\"\\\\"\"\\"\"\\\"\"\\"\"Flash （You may cast this spell any time you could cast an instant.）
Emerge {7}{U} （You may cast this spell by sacrificing a creature and paying the emerge cost reduced by that creature's converted mana cost.）
Drownyard Behemoth has hexproof as long as it entered the battlefield this turn.\\\\"\"\\"\"\\\"\"\\"\"\\\"\"\\"\"\\"\"\"</t>
  </si>
  <si>
    <t>\"\\"\"\\\"\"\\"\"\\\\"\"\\"\"\\\"\"\\"\"Flash
Emerge {5}{U}{U} （You may cast this spell by sacrificing a creature and paying the emerge cost reduced by that creature's converted mana cost.）
When you cast Elder Deep-Fiend, tap up to four target permanents.\\\\"\"\\"\"\\\"\"\\"\"\\\"\"\\"\"\\"\"\"</t>
  </si>
  <si>
    <t>\"\\"\"\\\"\"\\"\"\\\\"\"\\"\"\\\"\"\\"\"Emrakul, the Promised End costs {1} less to cast for each card type among cards in your graveyard.
When you cast Emrakul, you gain control of target opponent during that player's next turn. After that turn, that player takes an extra turn.
Flying, trample, protection from instants\\\\"\"\\"\"\\\"\"\\"\"\\\"\"\\"\"\\"\"\"</t>
  </si>
  <si>
    <t>\"\\"\"\\\"\"\\"\"\\\\"\"\\"\"\\\"\"\\"\"You may cast Eternal Scourge from exile.
When Eternal Scourge becomes the target of a spell or ability an opponent controls, exile Eternal Scourge.\\\\"\"\\"\"\\\"\"\\"\"\\\"\"\\"\"\\"\"\"</t>
  </si>
  <si>
    <t>\"\\"\"\\\"\"\\"\"\\\\"\"\\"\"\\\"\"\\"\"Emerge {6}{G} （You may cast this spell by sacrificing a creature and paying the emerge cost reduced by that creature's converted mana cost.）
When you cast It of the Horrid Swarm, put two 1/1 green Insect creature tokens onto the battlefield.\\\\"\"\\"\"\\\"\"\\"\"\\\"\"\\"\"\\"\"\"</t>
  </si>
  <si>
    <t>\"\\"\"\\\"\"\\"\"\\\\"\"\\"\"\\\"\"\\"\"Emerge {5}{G}{U} （You may cast this spell by sacrificing a creature and paying the emerge cost reduced by that creature's converted mana cost.）
When you cast Lashweed Lurker, you may put target nonland permanent on top of its owner's library.\\\\"\"\\"\"\\\"\"\\"\"\\\"\"\\"\"\\"\"\"</t>
  </si>
  <si>
    <t>\"\\"\"\\\"\"\\"\"\\\\"\"\\"\"\\\"\"\\"\"Emerge {7}{G} （You may cast this spell by sacrificing a creature and paying the emerge cost reduced by that creature's converted mana cost.）
When you cast Mockery of Nature, you may destroy target artifact or enchantment.\\\\"\"\\"\"\\\"\"\\"\"\\\"\"\\"\"\\"\"\"</t>
  </si>
  <si>
    <t>\"\\"\"\\\"\"\\"\"\\\\"\"\\"\"\\\"\"\\"\"Emerge {6}{U} （You may cast this spell by sacrificing a creature and paying the emerge cost reduced by that creature's converted mana cost.）
When you cast Vexing Scuttler, you may return target instant or sorcery card from your graveyard to your hand.\\\\"\"\\"\"\\\"\"\\"\"\\\"\"\\"\"\\"\"\"</t>
  </si>
  <si>
    <t>\"\\"\"\\\"\"\\"\"\\\\"\"\\"\"\\\"\"\\"\"Emerge {5}{U} （You may cast this spell by sacrificing a creature and paying the emerge cost reduced by that creature's converted mana cost.）
When you cast Wretched Gryff, draw a card.
Flying\\\\"\"\\"\"\\\"\"\\"\"\\\"\"\\"\"\\"\"\"</t>
  </si>
  <si>
    <t>1W</t>
  </si>
  <si>
    <t>white</t>
  </si>
  <si>
    <t>\"Escalate {2} （Pay this cost for each mode chosen beyond the first.）
Choose one or more ---
? Target player gains 4 life.
? Untap up to two target creatures.
? Target opponent sacrifices an attacking creature.\"</t>
  </si>
  <si>
    <t>2W</t>
  </si>
  <si>
    <t>\"\\"\"\\\"\"\\"\"\\\\"\"\\"\"\\\"\"\\"\"Escalate {1}{W} （Pay this cost for each mode chosen beyond the first.）
Choose one or both ---
? Creatures you control get +2/+0 until end of turn.
? Creatures you control get +0/+2 until end of turn.\\\\"\"\\"\"\\\"\"\\"\"\\\"\"\\"\"\\"\"\"</t>
  </si>
  <si>
    <t>5WW</t>
  </si>
  <si>
    <t>\"\\"\"\\\"\"\\"\"\\\\"\"\\"\"\\\"\"\\"\"When you cast Bruna, the Fading Light, you may return target Angel or Human creature card from your graveyard to the battlefield.
Flying, vigilance
（Melds with Gisela, the Broken Blade.）\\\\"\"\\"\"\\\"\"\\"\"\\\"\"\\"\"\\"\"\"</t>
  </si>
  <si>
    <t>\"\\"\"\\\"\"\\"\"\\\\"\"\\"\"\\\"\"\\"\"Enchant creature
Enchanted creature can't attack or block.
{3}{W}{W}, Sacrifice Choking Restraints: Exile enchanted creature.\\\\"\"\\"\"\\\"\"\\"\"\\\"\"\\"\"\\"\"\"</t>
  </si>
  <si>
    <t>1WW</t>
  </si>
  <si>
    <t>\"\\"\"\\\"\"\\"\"\\\\"\"\\"\"\\\"\"\\"\"Escalate --- Tap an untapped creature you control. （Pay this cost for each mode chosen beyond the first.）
Choose one or more ---
? Destroy target creature with power 4 or greater.
? Destroy target enchantment.
? Put a +1/+1 counter on each creature target player controls.\\\\"\"\\"\"\\\"\"\\"\"\\\"\"\\"\"\\"\"\"</t>
  </si>
  <si>
    <t>3W</t>
  </si>
  <si>
    <t>When Courageous Outrider enters the battlefield, look at the top four cards of your library. You may reveal a Human card from among them and put it into your hand. Put the rest on the bottom of your library in any order.</t>
  </si>
  <si>
    <t>Flying</t>
  </si>
  <si>
    <t>4WW</t>
  </si>
  <si>
    <t>Look at the top seven cards of your library. Put up to two planeswalker cards from among them onto the battlefield. Put the rest on the bottom of your library in a random order.</t>
  </si>
  <si>
    <t>\"\\"\"\\\"\"\\"\"\\\\"\"\\"\"\\\"\"\\"\"When Desperate Sentry dies, put a 3/2 colorless Eldrazi Horror creature token onto the battlefield.
Delirium --- Desperate Sentry gets +3/+0 as long as there are four or more card types among cards in your graveyard.\\\\"\"\\"\"\\\"\"\\"\"\\\"\"\\"\"\\"\"\"</t>
  </si>
  <si>
    <t>\"\\"\"\\\"\"\\"\"\\\\"\"\\"\"\\\"\"\\"\"Flash （You may cast this spell any time you could cast an instant.）
When Drogskol Shieldmate enters the battlefield, other creatures you control get +0/+1 until end of turn.\\\\"\"\\"\"\\\"\"\\"\"\\\"\"\\"\"\\"\"\"</t>
  </si>
  <si>
    <t>\"\\"\"\\\"\"\\"\"\\\\"\"\\"\"\\\"\"\\"\"When Extricator of Sin enters the battlefield, you may sacrifice another permanent. If you do, put a 3/2 colorless Eldrazi Horror creature token onto the battlefield.
Delirium --- At the beginning of your upkeep, if there are four or more card types among cards in your graveyard, transform Extricator of Sin.\\\\"\"\\"\"\\\"\"\\"\"\\\"\"\\"\"\\"\"\"</t>
  </si>
  <si>
    <t>\"\\"\"\\\"\"\\"\"\\\\"\"\\"\"\\\"\"\\"\"Enchant creature you control
When Faith Unbroken enters the battlefield, exile target creature an opponent controls until Faith Unbroken leaves the battlefield.
Enchanted creature gets +2/+2.\\\\"\"\\"\"\\\"\"\\"\"\\\"\"\\"\"\\"\"\"</t>
  </si>
  <si>
    <t>4W</t>
  </si>
  <si>
    <t>Lifelink （Damage dealt by this creature also causes you to gain that much life.）</t>
  </si>
  <si>
    <t>Whenever Fiend Binder attacks, tap target creature defending player controls.</t>
  </si>
  <si>
    <t>\"\\"\"\\\"\"\\"\"\\\\"\"\\"\"\\\"\"\\"\"Defender, flying
Delirium --- Geist of the Lonely Vigil can attack as though it didn't have defender as long as there are four or more card types among cards in your graveyard.\\\\"\"\\"\"\\\"\"\\"\"\\\"\"\\"\"\\"\"\"</t>
  </si>
  <si>
    <t>2WW</t>
  </si>
  <si>
    <t>\"\\"\"\\\"\"\\"\"\\\\"\"\\"\"\\\"\"\\"\"Flying, first strike, lifelink
At the beginning of your end step, if you both own and control Gisela, the Broken Blade and a creature named Bruna, the Fading Light, exile them, then meld them into Brisela, Voice of Nightmares.\\\\"\"\\"\"\\\"\"\\"\"\\\"\"\\"\"\\"\"\"</t>
  </si>
  <si>
    <t>Target creature gets +2/+6 until end of turn and can block any number of creatures this turn.</t>
  </si>
  <si>
    <t>When Guardian of Pilgrims enters the battlefield, target creature gets +1/+1 until end of turn.</t>
  </si>
  <si>
    <t>When Ironclad Slayer enters the battlefield, you may return target Aura or Equipment card from your graveyard to your hand.</t>
  </si>
  <si>
    <t>Exile target artifact or enchantment.</t>
  </si>
  <si>
    <t>\"\\"\"\\\"\"\\"\"\\\\"\"\\"\"\\\"\"\\"\"First strike, lifelink
At the beginning of the end step, if you gained 3 or more life this turn, transform Lone Rider.\\\\"\"\\"\"\\\"\"\\"\"\\\"\"\\"\"\\"\"\"</t>
  </si>
  <si>
    <t>Exile target creature. At the beginning of the next end step, return that card to the battlefield under its owner's control with a +1/+1 counter on it.</t>
  </si>
  <si>
    <t>\"\\"\"\\\"\"\\"\"\\\\"\"\\"\"\\\"\"\\"\"Enchant creature
Enchanted creature gets +2/+2 and has \\\\\"\"\\"\"\\\"\"\\"\"\\\\"\"\\"\"\\\"\"\\"\"{1}, Sacrifice a permanent: This creature gains flying until end of turn.\\\\\"\"\\"\"\\\"\"\\"\"\\\\"\"\\"\"\\\"\"\\"\"\\\\"\"\\"\"\\\"\"\\"\"\\\"\"\\"\"\\"\"\"</t>
  </si>
  <si>
    <t>{W}, Discard a card: You gain 3 life.</t>
  </si>
  <si>
    <t>\"\\"\"\\\"\"\\"\"\\\\"\"\\"\"\\\"\"\\"\"You may reveal this card from your opening hand. If you do, at the beginning of the first upkeep, your life total becomes 26.
Your life total becomes 26.\\\\"\"\\"\"\\\"\"\\"\"\\\"\"\\"\"\\"\"\"</t>
  </si>
  <si>
    <t>Prevent all damage that would be dealt this turn by non-Human sources.</t>
  </si>
  <si>
    <t>\"\\"\"\\\"\"\\"\"\\\\"\"\\"\"\\\"\"\\"\"Whenever another creature enters the battlefield under your control, Sanctifier of Souls gets +1/+1 until end of turn.
{2}{W}, Exile a creature card from your graveyard: Put a 1/1 white Spirit creature token with flying onto the battlefield.\\\\"\"\\"\"\\\"\"\\"\"\\\"\"\\"\"\\"\"\"</t>
  </si>
  <si>
    <t>\"\\"\"\\\"\"\\"\"\\\\"\"\\"\"\\\"\"\\"\"Flying
Sacrifice Selfless Spirit: Creatures you control gain indestructible until end of turn.\\\\"\"\\"\"\\\"\"\\"\"\\\"\"\\"\"\\"\"\"</t>
  </si>
  <si>
    <t>W</t>
  </si>
  <si>
    <t>\"\\"\"\\\"\"\\"\"\\\\"\"\\"\"\\\"\"\\"\"You may cast Aura and Equipment spells as though they had flash.
Whenever an Equipment enters the battlefield under your control, you may attach it to target creature you control.\\\\"\"\\"\"\\\"\"\\"\"\\\"\"\\"\"\\"\"\"</t>
  </si>
  <si>
    <t>{1}, {T}: Tap target non-Human creature.</t>
  </si>
  <si>
    <t>Put two 1/1 white Spirit creature tokens with flying onto the battlefield. You gain 2 life.</t>
  </si>
  <si>
    <t>Whenever Steadfast Cathar attacks, it gets +0/+2 until end of turn.</t>
  </si>
  <si>
    <t>\"\\"\"\\\"\"\\"\"\\\\"\"\\"\"\\\"\"\\"\"Flying
When Subjugator Angel enters the battlefield, tap all creatures your opponents control.\\\\"\"\\"\"\\\"\"\\"\"\\\"\"\\"\"\\"\"\"</t>
  </si>
  <si>
    <t>\"\\"\"\\\"\"\\"\"\\\\"\"\\"\"\\\"\"\\"\"First strike
Creatures and nonbasic lands your opponents control enter the battlefield tapped.\\\\"\"\\"\"\\\"\"\\"\"\\\"\"\\"\"\\"\"\"</t>
  </si>
  <si>
    <t>3WW</t>
  </si>
  <si>
    <t>\"\\"\"\\\"\"\\"\"\\\\"\"\\"\"\\\"\"\\"\"First strike
When Thalia's Lancers enters the battlefield, you may search your library for a legendary card, reveal it, put it into your hand, then shuffle your library.\\\\"\"\\"\"\\\"\"\\"\"\\\"\"\\"\"\\"\"\"</t>
  </si>
  <si>
    <t>{1}{W}, {T}, Discard a card: Put a 1/1 white Human Soldier creature token onto the battlefield.</t>
  </si>
  <si>
    <t>3UU</t>
  </si>
  <si>
    <t>blue</t>
  </si>
  <si>
    <t>\"\\"\"\\\"\"\\"\"\\\\"\"\\"\"\\\"\"\\"\"Flying
{2}{U}, Discard two cards: Return Advanced Stitchwing from your graveyard to the battlefield tapped.\\\\"\"\\"\"\\\"\"\\"\"\\\"\"\\"\"\\"\"\"</t>
  </si>
  <si>
    <t>2U</t>
  </si>
  <si>
    <t>\"\\"\"\\\"\"\\"\"\\\\"\"\\"\"\\\"\"\\"\"Tap up to two target creatures. Those creatures don't untap during their controller's next untap step.
Madness {3}{U} （If you discard this card, discard it into exile. When you do, cast it for its madness cost or put it into your graveyard.）\\\\"\"\\"\"\\\"\"\\"\"\\\"\"\\"\"\\"\"\"</t>
  </si>
  <si>
    <t>You may choose an Eldrazi card you own from outside the game or in exile, reveal that card, and put it into your hand.</t>
  </si>
  <si>
    <t>1U</t>
  </si>
  <si>
    <t>Look at the top five cards of your library. Put any number of them into your graveyard and the rest back on top of your library in any order.</t>
  </si>
  <si>
    <t>Counter target spell unless its controller pays {4}.</t>
  </si>
  <si>
    <t>\"\\"\"\\\"\"\\"\"\\\\"\"\\"\"\\\"\"\\"\"{T}: Add {C} to your mana pool. Spend this mana only to cast an instant or sorcery spell.
At the beginning of your upkeep, if there are three or more instant and/or sorcery cards in your graveyard, transform Curious Homunculus.\\\\"\"\\"\"\\\"\"\\"\"\\\"\"\\"\"\\"\"\"</t>
  </si>
  <si>
    <t>Exile up to two target creatures you control, then return those cards to the battlefield under their owner's control.</t>
  </si>
  <si>
    <t>\"\\"\"\\\"\"\\"\"\\\\"\"\\"\"\\\"\"\\"\"Flying
Whenever you cast an instant or sorcery spell, put a 1/1 blue Human Wizard creature token onto the battlefield. Then if you control three or more Wizards, transform Docent of Perfection.\\\\"\"\\"\"\\\"\"\\"\"\\\"\"\\"\"\\"\"\"</t>
  </si>
  <si>
    <t>\"\\"\"\\\"\"\\"\"\\\\"\"\\"\"\\\"\"\\"\"Return target creature to its owner's hand.
Draw a card.\\\\"\"\\"\"\\\"\"\\"\"\\\"\"\\"\"\\"\"\"</t>
  </si>
  <si>
    <t>3U</t>
  </si>
  <si>
    <t>When Enlightened Maniac enters the battlefield, put a 3/2 colorless Eldrazi Horror creature token onto the battlefield.</t>
  </si>
  <si>
    <t>When Exultant Cultist dies, draw a card.</t>
  </si>
  <si>
    <t>\"\\"\"\\\"\"\\"\"\\\\"\"\\"\"\\\"\"\\"\"Skulk （This creature can't be blocked by creatures with greater power.）
When Fogwalker enters the battlefield, target creature an opponent controls doesn't untap during its controller's next untap step.\\\\"\"\\"\"\\\"\"\\"\"\\\"\"\\"\"\\"\"\"</t>
  </si>
  <si>
    <t>Target opponent looks at the top four cards of your library and separates them into a face-down pile and a face-up pile. Put one pile into your hand and the other into your graveyard.</t>
  </si>
  <si>
    <t>\"\\"\"\\\"\"\\"\"\\\\"\"\\"\"\\\"\"\\"\"Defender
At the beginning of your upkeep, scry 1. （Look at the top card of your library. You may put that card on the bottom of your library.）\\\\"\"\\"\"\\\"\"\\"\"\\\"\"\\"\"\\"\"\"</t>
  </si>
  <si>
    <t>{T}: Put the top two cards of your library into your graveyard. Then if there is a colorless creature card in your graveyard, transform Grizzled Angler.</t>
  </si>
  <si>
    <t>2UU</t>
  </si>
  <si>
    <t>Whenever Identity Thief attacks, you may exile another target nontoken creature. If you do, Identity Thief becomes a copy of that creature until end of turn. Return the exiled card to the battlefield under its owner's control at the beginning of the next end step.</t>
  </si>
  <si>
    <t>\"\\"\"\\\"\"\\"\"\\\\"\"\\"\"\\\"\"\\"\"Enchant creature, land, or planeswalker
Enchanted permanent is a colorless land with \\\\\"\"\\"\"\\\"\"\\"\"\\\\"\"\\"\"\\\"\"\\"\"{T}: Add {C} to your mana pool\\\\\"\"\\"\"\\\"\"\\"\"\\\\"\"\\"\"\\\"\"\\"\" and loses all other card types and abilities.\\\\"\"\\"\"\\\"\"\\"\"\\\"\"\\"\"\\"\"\"</t>
  </si>
  <si>
    <t>\"\\"\"\\\"\"\\"\"\\\\"\"\\"\"\\\"\"\\"\"Prowess （Whenever you cast a noncreature spell, this creature gets +1/+1 until end of turn.）
{U}: Ingenious Skaab gets +1/-1 until end of turn.\\\\"\"\\"\"\\\"\"\\"\"\\\"\"\\"\"\\"\"\"</t>
  </si>
  <si>
    <t>When Laboratory Brute enters the battlefield, put the top four cards of your library into your graveyard.</t>
  </si>
  <si>
    <t>When an opponent casts a spell, sacrifice Lunar Force and counter that spell.</t>
  </si>
  <si>
    <t>U</t>
  </si>
  <si>
    <t>\"\\"\"\\\"\"\\"\"\\\\"\"\\"\"\\\"\"\\"\"Flying
Whenever another Spirit enters the battlefield under your control, Mausoleum Wanderer gets +1/+1 until end of turn.
Sacrifice Mausoleum Wanderer: Counter target instant or sorcery spell unless its controller pays {X}, where X is Mausoleum Wanderer's power.\\\\"\"\\"\"\\\"\"\\"\"\\\"\"\\"\"\\"\"\"</t>
  </si>
  <si>
    <t>5UU</t>
  </si>
  <si>
    <t>Whenever an opponent casts his or her first spell each turn, that player exiles the top card of his or her library. If it's a nonland card, you may cast it without paying its mana cost.</t>
  </si>
  <si>
    <t>\"\\"\"\\\"\"\\"\"\\\\"\"\\"\"\\\"\"\\"\"Flash （You may cast this spell any time you could cast an instant.）
Flying
Whenever Nebelgast Herald or another Spirit enters the battlefield under your control, tap target creature an opponent controls.\\\\"\"\\"\"\\\"\"\\"\"\\\"\"\\"\"\\"\"\"</t>
  </si>
  <si>
    <t>\"\\"\"\\\"\"\\"\"\\\\"\"\\"\"\\\"\"\\"\"Flying
Prowess （Whenever you cast a noncreature spell, this creature gets +1/+1 until end of turn.）
Whenever you cast an instant or sorcery spell, tap target creature an opponent controls. That creature doesn't untap during its controller's next untap step.\\\\"\"\\"\"\\\"\"\\"\"\\\"\"\\"\"\\"\"\"</t>
  </si>
  <si>
    <t>4UU</t>
  </si>
  <si>
    <t>\"\\"\"\\\"\"\\"\"\\\\"\"\\"\"\\\"\"\\"\"Delirium --- Scour the Laboratory costs {2} less to cast if there are four or more card types among cards in your graveyard.
Draw three cards.\\\\"\"\\"\"\\\"\"\\"\"\\\"\"\\"\"\\"\"\"</t>
  </si>
  <si>
    <t>\"\\"\"\\\"\"\\"\"\\\\"\"\\"\"\\\"\"\\"\"Flash （You may cast this spell any time you could cast an instant.）
Enchant creature
Enchanted creature gets -X/-0, where X is the number of cards in your graveyard.\\\\"\"\\"\"\\\"\"\\"\"\\\"\"\\"\"\\"\"\"</t>
  </si>
  <si>
    <t>Exile all other spells and counter all abilities.</t>
  </si>
  <si>
    <t>Draw a card, then draw cards equal to the number of cards named Take Inventory in your graveyard.</t>
  </si>
  <si>
    <t>\"\\"\"\\\"\"\\"\"\\\\"\"\\"\"\\\"\"\\"\"Flying
Tattered Haunter can block only creatures with flying.\\\\"\"\\"\"\\\"\"\\"\"\\\"\"\\"\"\\"\"\"</t>
  </si>
  <si>
    <t>Counter target spell that targets a permanent you control.</t>
  </si>
  <si>
    <t>Return target spell or creature to its owner's hand.</t>
  </si>
  <si>
    <t>\"\\"\"\\\"\"\\"\"\\\\"\"\\"\"\\\"\"\\"\"Skulk （This creature can't be blocked by creatures with greater power.）
Whenever Wharf Infiltrator deals combat damage to a player, you may draw a card. If you do, discard a card.
Whenever you discard a creature card, you may pay {2}. If you do, put a 3/2 colorless Eldrazi Horror creature token onto the battlefield.\\\\"\"\\"\"\\\"\"\\"\"\\\"\"\\"\"\\"\"\"</t>
  </si>
  <si>
    <t>2B</t>
  </si>
  <si>
    <t>black</t>
  </si>
  <si>
    <t>\"\\"\"\\\"\"\\"\"\\\\"\"\\"\"\\\"\"\\"\"Enchant creature
Enchanted creature gets +3/-3.\\\\"\"\\"\"\\\"\"\\"\"\\\"\"\\"\"\\"\"\"</t>
  </si>
  <si>
    <t>B</t>
  </si>
  <si>
    <t>\"\\"\"\\\"\"\\"\"\\\\"\"\\"\"\\\"\"\\"\"Escalate {2} （Pay this cost for each mode chosen beyond the first.）
Choose one or both ---
? Target creature gets +1/+1 until end of turn.
? Target creature gets -1/-1 until end of turn.\\\\"\"\\"\"\\\"\"\\"\"\\\"\"\\"\"\\"\"\"</t>
  </si>
  <si>
    <t>1B</t>
  </si>
  <si>
    <t>Return target creature card from your graveyard to your hand. If it's a Zombie card, draw a card.</t>
  </si>
  <si>
    <t>5B</t>
  </si>
  <si>
    <t>Destroy target creature. Its controller loses 2 life and you gain 2 life.</t>
  </si>
  <si>
    <t>\"\\"\"\\\"\"\\"\"\\\\"\"\\"\"\\\"\"\\"\"Escalate --- Discard a card. （Pay this cost for each mode chosen beyond the first.）
Choose one or more ---
? Target opponent reveals his or her hand. You choose an instant or sorcery card from it. That player discards that card.
? Target creature gets -2/-2 until end of turn.
? Target opponent loses 2 life and you gain 2 life.\\\\"\"\\"\"\\\"\"\\"\"\\\"\"\\"\"\\"\"\"</t>
  </si>
  <si>
    <t>\"\\"\"\\\"\"\\"\"\\\\"\"\\"\"\\\"\"\\"\"{1}{B}, {T}, Discard a card: Put a 2/2 black Zombie creature token onto the battlefield.
Tap three untapped Zombies you control: You draw a card and you lose 1 life.\\\\"\"\\"\"\\\"\"\\"\"\\\"\"\\"\"\\"\"\"</t>
  </si>
  <si>
    <t>ＸＸB</t>
  </si>
  <si>
    <t>multi</t>
  </si>
  <si>
    <t>Target player puts X 2/2 black Zombie creature tokens onto the battlefield, then up to one target creature gets -1/-1 until end of turn for each Zombie that player controls.</t>
  </si>
  <si>
    <t>5BB</t>
  </si>
  <si>
    <t>\"\\"\"\\\"\"\\"\"\\\\"\"\\"\"\\\"\"\\"\"Delirium --- Dusk Feaster costs {2} less to cast if there are four or more card types among cards in your graveyard.
Flying\\\\"\"\\"\"\\\"\"\\"\"\\\"\"\\"\"\\"\"\"</t>
  </si>
  <si>
    <t>3B</t>
  </si>
  <si>
    <t>Whenever another creature you control dies, put a +1/+1 counter on Gavony Unhallowed.</t>
  </si>
  <si>
    <t>\"\\"\"\\\"\"\\"\"\\\\"\"\\"\"\\\"\"\\"\"Zombies you control have menace. （They can't be blocked except by two or more creatures.）
{3}{B}, Exile a creature card from your graveyard: Put a 2/2 black Zombie creature token onto the battlefield.\\\\"\"\\"\"\\\"\"\\"\"\\\"\"\\"\"\\"\"\"</t>
  </si>
  <si>
    <t>At the beginning of combat on your turn, if you both own and control Graf Rats and a creature named Midnight Scavengers, exile them, then meld them into Chittering Host.</t>
  </si>
  <si>
    <t>\"\\"\"\\\"\"\\"\"\\\\"\"\\"\"\\\"\"\\"\"When Haunted Dead enters the battlefield, put a 1/1 white Spirit creature token with flying onto the battlefield.
{1}{B}, Discard two cards: Return Haunted Dead from your graveyard to the battlefield tapped.\\\\"\"\\"\"\\\"\"\\"\"\\\"\"\\"\"\\"\"\"</t>
  </si>
  <si>
    <t>1BB</t>
  </si>
  <si>
    <t>\"+1: Up to one target creature gets -2/-1 until your next turn.
-2: Put the top two cards of your library into your graveyard, then you may return a creature card from your graveyard to your hand.
-7: You get an emblem with \\"\"At the beginning of your end step, put X 2/2 black Zombie creature tokens onto the battlefield, where X is two plus the number of Zombies you control.\\"\"\"</t>
  </si>
  <si>
    <t>Liliana's Elite gets +1/+1 for each creature card in your graveyard.</t>
  </si>
  <si>
    <t>4B</t>
  </si>
  <si>
    <t>\"\\"\"\\\"\"\\"\"\\\\"\"\\"\"\\\"\"\\"\"Lifelink
Markov Crusader has haste as long as you control another Vampire.\\\\"\"\\"\"\\\"\"\\"\"\\\"\"\\"\"\\"\"\"</t>
  </si>
  <si>
    <t>\"\\"\"\\\"\"\\"\"\\\\"\"\\"\"\\\"\"\\"\"When Midnight Scavengers enters the battlefield, you may return target creature card with converted mana cost 3 or less from your graveyard to your hand.
（Melds with Graf Rats.）\\\\"\"\\"\"\\\"\"\\"\"\\\"\"\\"\"\\"\"\"</t>
  </si>
  <si>
    <t>Destroy target creature.</t>
  </si>
  <si>
    <t>4BB</t>
  </si>
  <si>
    <t>\"\\"\"\\\"\"\\"\"\\\\"\"\\"\"\\\"\"\\"\"Noosegraf Mob enters the battlefield with five +1/+1 counters on it.
Whenever a player casts a spell, remove a +1/+1 counter from Noosegraf Mob. If you do, put a 2/2 black Zombie creature token onto the battlefield.\\\\"\"\\"\"\\\"\"\\"\"\\\"\"\\"\"\\"\"\"</t>
  </si>
  <si>
    <t>\"\\"\"\\\"\"\\"\"\\\\"\"\\"\"\\\"\"\\"\"When Oath of Liliana enters the battlefield, each opponent sacrifices a creature.
At the beginning of each end step, if a planeswalker entered the battlefield under your control this turn, put a 2/2 black Zombie creature token onto the battlefield.\\\\"\"\\"\"\\\"\"\\"\"\\\"\"\\"\"\\"\"\"</t>
  </si>
  <si>
    <t>Discard a card: Olivia's Dragoon gains flying until end of turn.</t>
  </si>
  <si>
    <t>Target opponent loses 3 life and puts a card from his or her hand on top of his or her library.</t>
  </si>
  <si>
    <t>Put target creature card from a graveyard onto the battlefield under your control. That creature is a black Zombie in addition to its other colors and types.</t>
  </si>
  <si>
    <t>\"\\"\"\\\"\"\\"\"\\\\"\"\\"\"\\\"\"\\"\"As an additional cost to cast Ruthless Disposal, discard a card and sacrifice a creature.
Two target creatures each get -13/-13 until end of turn.\\\\"\"\\"\"\\\"\"\\"\"\\\"\"\\"\"\\"\"\"</t>
  </si>
  <si>
    <t>{B}, {T}, Discard a card: Each player loses 2 life.</t>
  </si>
  <si>
    <t>\"\\"\"\\\"\"\\"\"\\\\"\"\\"\"\\\"\"\\"\"Enchant creature
Enchanted creature gets +1/+1.
Delirium --- Enchanted creature gets an additional +2/+2 as long as there are four or more card types among cards in your graveyard.\\\\"\"\\"\"\\\"\"\\"\"\\\"\"\\"\"\\"\"\"</t>
  </si>
  <si>
    <t>BB</t>
  </si>
  <si>
    <t>Discard a card: Vampires you control get +1/+1 until end of turn. Activate this ability only once each turn.</t>
  </si>
  <si>
    <t>You draw two cards and you lose 2 life.</t>
  </si>
  <si>
    <t>Delirium --- Thraben Foulbloods gets +1/+1 and has menace as long as there are four or more card types among cards in your graveyard. （A creature with menace can't be blocked except by two or more creatures.）</t>
  </si>
  <si>
    <t>\"\\"\"\\\"\"\\"\"\\\\"\"\\"\"\\\"\"\\"\"Defender
{T}: Exchange target opponent's life total with Tree of Perdition's toughness.\\\\"\"\\"\"\\\"\"\\"\"\\\"\"\\"\"\\"\"\"</t>
  </si>
  <si>
    <t>\"\\"\"\\\"\"\\"\"\\\\"\"\\"\"\\\"\"\\"\"Skulk （This creature can't be blocked by creatures with greater power.）
Lifelink （Damage dealt by this creature also causes you to gain that much life.）\\\\"\"\\"\"\\\"\"\\"\"\\\"\"\\"\"\\"\"\"</t>
  </si>
  <si>
    <t>3BB</t>
  </si>
  <si>
    <t>\"\\"\"\\\"\"\\"\"\\\\"\"\\"\"\\\"\"\\"\"Flying
Sacrifice three other creatures: Transform Voldaren Pariah.
Madness {B}{B}{B} （If you discard this card, discard it into exile. When you do, cast it for its madness cost or put it into your graveyard.）\\\\"\"\\"\"\\\"\"\\"\"\\\"\"\\"\"\\"\"\"</t>
  </si>
  <si>
    <t>When Wailing Ghoul enters the battlefield, put the top two cards of your library into your graveyard.</t>
  </si>
  <si>
    <t>Madness {2}{B} （If you discard this card, discard it into exile. When you do, cast it for its madness cost or put it into your graveyard.）</t>
  </si>
  <si>
    <t>\"\\"\"\\\"\"\\"\"\\\\"\"\\"\"\\\"\"\\"\"Target opponent discards a card at random.
Delirium --- If there are four or more card types among cards in your graveyard, that player discards two cards at random instead.\\\\"\"\\"\"\\\"\"\\"\"\\\"\"\\"\"\\"\"\"</t>
  </si>
  <si>
    <t>2R</t>
  </si>
  <si>
    <t>red</t>
  </si>
  <si>
    <t>\"\\"\"\\\"\"\\"\"\\\\"\"\\"\"\\\"\"\\"\"Up to two target creatures each get +1/+0 and gain first strike until end of turn.
Madness {1}{R} （If you discard this card, discard it into exile. When you do, cast it for its madness cost or put it into your graveyard.）\\\\"\"\\"\"\\\"\"\\"\"\\\"\"\\"\"\\"\"\"</t>
  </si>
  <si>
    <t>4R</t>
  </si>
  <si>
    <t>\"\\"\"\\\"\"\\"\"\\\\"\"\\"\"\\\"\"\\"\"Alchemist's Greeting deals 4 damage to target creature.
Madness {1}{R} （If you discard this card, discard it into exile. When you do, cast it for its madness cost or put it into your graveyard.）\\\\"\"\\"\"\\\"\"\\"\"\\\"\"\\"\"\\"\"\"</t>
  </si>
  <si>
    <t>5R</t>
  </si>
  <si>
    <t>Whenever Assembled Alphas blocks or becomes blocked by a creature, Assembled Alphas deals 3 damage to that creature and 3 damage to that creature's controller.</t>
  </si>
  <si>
    <t>6RR</t>
  </si>
  <si>
    <t>\"\\"\"\\\"\"\\"\"\\\\"\"\\"\"\\\"\"\\"\"Bedlam Reveler costs {1} less to cast for each instant and sorcery card in your graveyard.
Prowess （Whenever you cast a noncreature spell, this creature gets +1/+1 until end of turn.）
When Bedlam Reveler enters the battlefield, discard your hand, then draw three cards.\\\\"\"\\"\"\\\"\"\\"\"\\\"\"\\"\"\\"\"\"</t>
  </si>
  <si>
    <t>3R</t>
  </si>
  <si>
    <t>At the beginning of combat on your turn, target creature you control gains double strike until end of turn.</t>
  </si>
  <si>
    <t>R</t>
  </si>
  <si>
    <t>{2}{R}: Bold Impaler gets +2/+0 until end of turn.</t>
  </si>
  <si>
    <t>\"\\"\"\\\"\"\\"\"\\\\"\"\\"\"\\\"\"\\"\"Escalate {3} （Pay this cost for each mode chosen beyond the first.）
Choose one or both ---
? Target creature gets +3/+0 until end of turn.
? Target creature gains first strike until end of turn.\\\\"\"\\"\"\\\"\"\\"\"\\\"\"\\"\"\\"\"\"</t>
  </si>
  <si>
    <t>Whenever Brazen Wolves attacks, it gets +2/+0 until end of turn.</t>
  </si>
  <si>
    <t>1RR</t>
  </si>
  <si>
    <t>\"\\"\"\\\"\"\\"\"\\\\"\"\\"\"\\\"\"\\"\"Escalate {1} （Pay this cost for each mode chosen beyond the first.）
Choose one or more ---
? Target player discards all the cards in his or her hand, then draws that many cards.
? Collective Defiance deals 4 damage to target creature.
? Collective Defiance deals 3 damage to target opponent.\\\\"\"\\"\"\\\"\"\\"\"\\\"\"\\"\"\\"\"\"</t>
  </si>
  <si>
    <t>\"\\"\"\\\"\"\\"\"\\\\"\"\\"\"\\\"\"\\"\"Whenever Conduit of Storms attacks, add {R} to your mana pool at the beginning of your next main phase this turn.
{3}{R}{R}: Transform Conduit of Storms.\\\\"\"\\"\"\\\"\"\\"\"\\\"\"\\"\"\\"\"\"</t>
  </si>
  <si>
    <t>1R</t>
  </si>
  <si>
    <t>Menace （This creature can't be blocked except by two or more creatures.）</t>
  </si>
  <si>
    <t>\"\\"\"\\\"\"\\"\"\\\\"\"\\"\"\\\"\"\\"\"Target creature gets +2/+2 and gains trample until end of turn.
Madness {R} （If you discard this card, discard it into exile. When you do, cast it for its madness cost or put it into your graveyard.）\\\\"\"\\"\"\\\"\"\\"\"\\\"\"\\"\"\\"\"\"</t>
  </si>
  <si>
    <t>\"\\"\"\\\"\"\\"\"Trample
At the beginning of combat on your turn, you may discard a card. If you do, Furyblade Vampire gets +3/+0 until end of turn.\\\"\"\\"\"\\"\"\"</t>
  </si>
  <si>
    <t>Galvanic Bombardment deals X damage to target creature, where X is 2 plus the number of cards named Galvanic Bombardment in your graveyard.</t>
  </si>
  <si>
    <t>\"\\"\"\\\"\"\\"\"Whenever Hanweir Garrison attacks, put two 1/1 red Human creature tokens onto the battlefield tapped and attacking.
（Melds with Hanweir Battlements.）\\\"\"\\"\"\\"\"\"</t>
  </si>
  <si>
    <t>Target opponent gains control of target permanent you control.</t>
  </si>
  <si>
    <t>2RR</t>
  </si>
  <si>
    <t>\"\\"\"\\\"\"\\"\"Trample, haste
When Impetuous Devils attacks, up to one target creature defending player controls blocks it this combat if able.
At the beginning of the end step, sacrifice Impetuous Devils.\\\"\"\\"\"\\"\"\"</t>
  </si>
  <si>
    <t>Incendiary Flow deals 3 damage to target creature or player. If a creature dealt damage this way would die this turn, exile it instead.</t>
  </si>
  <si>
    <t>\"\\"\"\\\"\"\\"\"Insatiable Gorgers attacks each combat if able.
Madness {3}{R} （If you discard this card, discard it into exile. When you do, cast it for its madness cost or put it into your graveyard.）\\\"\"\\"\"\\"\"\"</t>
  </si>
  <si>
    <t>Make Mischief deals 1 damage to target creature or player. Put a 1/1 red Devil creature token onto the battlefield. It has \"When this creature dies, it deals 1 damage to target creature or player.\"</t>
  </si>
  <si>
    <t>3RR</t>
  </si>
  <si>
    <t>\"\\"\"\\\"\"\\"\"Flying
Whenever a player casts an instant or sorcery spell that targets only Mirrorwing Dragon, that player copies that spell for each other creature he or she controls that the spell could target. Each copy targets a different one of those creatures.\\\"\"\\"\"\\"\"\"</t>
  </si>
  <si>
    <t>\"\\"\"\\\"\"\\"\"As an additional cost to cast Nahiri's Wrath, discard X cards.
Nahiri's Wrath deals damage equal to the total converted mana cost of the discarded cards to each of up to X target creatures and/or planeswalkers.\\\"\"\\"\"\\"\"\"</t>
  </si>
  <si>
    <t>Target creature gets +1/+0 until end of turn. When that creature dies this turn, put a 3/2 colorless Eldrazi Horror creature token onto the battlefield.</t>
  </si>
  <si>
    <t>\"\\"\"\\\"\"\\"\"Enchant creature
Enchanted creature has haste and \\\\"\"\\"\"\\\"\"\\"\"{T}, Discard a card: Draw a card.\\\\"\"\\"\"\\\"\"\\"\"\\\"\"\\"\"\\"\"\"</t>
  </si>
  <si>
    <t>\"\\"\"\\\"\"\\"\"Escalate {1} （Pay this cost for each mode chosen beyond the first.）
Choose one or more ---
? Creatures target player controls gain trample until end of turn.
? Savage Alliance deals 2 damage to target creature.
? Savage Alliance deals 1 damage to each creature target opponent controls.\\\"\"\\"\"\\"\"\"</t>
  </si>
  <si>
    <t>Return up to one target instant card and up to one target sorcery card from your graveyard to your hand, then discard a card. Exile Shreds of Sanity.</t>
  </si>
  <si>
    <t>\"\\"\"\\\"\"\\"\"When Smoldering Werewolf enters the battlefield, it deals 1 damage to each of up to two target creatures.
{4}{R}{R}: Transform Smoldering Werewolf.\\\"\"\\"\"\\"\"\"</t>
  </si>
  <si>
    <t>6R</t>
  </si>
  <si>
    <t>Spreading Flames deals 6 damage divided as you choose among any number of target creatures.</t>
  </si>
  <si>
    <t>\"\\"\"\\\"\"\\"\"Stensia Banquet deals damage to target opponent equal to the number of Vampires you control.
Draw a card.\\\"\"\\"\"\\"\"\"</t>
  </si>
  <si>
    <t>When Stensia Innkeeper enters the battlefield, tap target land an opponent controls. That land doesn't untap during its controller's next untap step.</t>
  </si>
  <si>
    <t>\"\\"\"\\\"\"\\"\"Trample
Whenever Stromkirk Occultist deals combat damage to a player, exile the top card of your library. Until end of turn, you may play that card.
Madness {1}{R} （If you discard this card, discard it into exile. When you do, cast it for its madness cost or put it into your graveyard.）\\\"\"\\"\"\\"\"\"</t>
  </si>
  <si>
    <t>\"\\"\"\\\"\"\\"\"Defender
{T}: Thermo-Alchemist deals 1 damage to each opponent.
Whenever you cast an instant or sorcery spell, untap Thermo-Alchemist.\\\"\"\\"\"\\"\"\"</t>
  </si>
  <si>
    <t>\"\\"\"\\\"\"\\"\"Trample
{R}: Vildin-Pack Outcast gets +1/-1 until end of turn.
{5}{R}{R}: Transform Vildin-Pack Outcast.\\\"\"\\"\"\\"\"\"</t>
  </si>
  <si>
    <t>\"\\"\"\\\"\"\\"\"Reach
Whenever you cast an instant or sorcery spell, Weaver of Lightning deals 1 damage to target creature an opponent controls.\\\"\"\\"\"\\"\"\"</t>
  </si>
  <si>
    <t>3G</t>
  </si>
  <si>
    <t>green</t>
  </si>
  <si>
    <t>Delirium --- Backwoods Survivalists gets +1/+1 and has trample as long as there are four or more card types among cards in your graveyard.</t>
  </si>
  <si>
    <t>2G</t>
  </si>
  <si>
    <t>Whenever you sacrifice another permanent, put a +1/+1 counter on Bloodbriar.</t>
  </si>
  <si>
    <t>Target creature you control gets +1/+1 until end of turn. It deals damage equal to its power to target creature you don't control.</t>
  </si>
  <si>
    <t>G</t>
  </si>
  <si>
    <t>\"\\"\"\\\"\"\\"\"At the beginning of your upkeep, you may put the top card of your library into your graveyard.
Delirium --- {2}{G}, Sacrifice Crop Sigil: Return up to one target creature card and up to one target land card from your graveyard to your hand. Activate this ability only if there are four or more card types among cards in your graveyard.\\\"\"\\"\"\\"\"\"</t>
  </si>
  <si>
    <t>{G}, {T}: Target attacking Human gets +1/+1 until end of turn.</t>
  </si>
  <si>
    <t>1GG</t>
  </si>
  <si>
    <t>\"\\"\"\\\"\"\\"\"As an additional cost to cast Eldritch Evolution, sacrifice a creature.
Search your library for a creature card with converted mana cost X or less, where X is 2 plus the sacrificed creature's converted mana cost. Put that card onto the battlefield, then shuffle your library. Exile Eldritch Evolution.\\\"\"\\"\"\\"\"\"</t>
  </si>
  <si>
    <t>{T}, Sacrifice Emrakul's Evangel and any number of other non-Eldrazi creatures: Put a 3/2 colorless Eldrazi Horror creature token onto the battlefield for each creature sacrificed this way.</t>
  </si>
  <si>
    <t>2GG</t>
  </si>
  <si>
    <t>Whenever you cast an Eldrazi creature spell with converted mana cost 7 or greater, draw two cards.</t>
  </si>
  <si>
    <t>\"\\"\"\\\"\"\\"\"When Foul Emissary enters the battlefield, look at the top four cards of your library. You may reveal a creature card from among them and put it into your hand. Put the rest on the bottom of your library in any order.
When you sacrifice Foul Emissary while casting a spell with emerge, put a 3/2 colorless Eldrazi Horror creature token onto the battlefield.\\\"\"\\"\"\\"\"\"</t>
  </si>
  <si>
    <t>\"\\"\"\\\"\"\\"\"Deathtouch
Delirium --- Gnarlwood Dryad gets +2/+2 as long as there are four or more card types among cards in your graveyard.\\\"\"\\"\"\\"\"\"</t>
  </si>
  <si>
    <t>1G</t>
  </si>
  <si>
    <t>Put the top three cards of your library into your graveyard, then you may return a creature or land card from your graveyard to your hand.</t>
  </si>
  <si>
    <t>Whenever Hamlet Captain attacks or blocks, other Humans you control get +1/+1 until end of turn.</t>
  </si>
  <si>
    <t>4G</t>
  </si>
  <si>
    <t>\"\\"\"\\\"\"\\"\"Reach
Delirium --- When Ishkanah, Grafwidow enters the battlefield, if there are four or more card types among cards in your graveyard, put three 1/2 green Spider creature tokens with reach onto the battlefield.
{6}{B}: Target opponent loses 1 life for each Spider you control.\\\"\"\\"\"\\"\"\"</t>
  </si>
  <si>
    <t>{4}{G}: Transform Kessig Prowler.</t>
  </si>
  <si>
    <t>\"\\"\"\\\"\"\\"\"Reach
Discard a card: Noose Constrictor gets +1/+1 until end of turn.\\\"\"\\"\"\\"\"\"</t>
  </si>
  <si>
    <t>Whenever Permeating Mass deals combat damage to a creature, that creature becomes a copy of Permeating Mass.</t>
  </si>
  <si>
    <t>Target creature you control fights target creature you don't control.</t>
  </si>
  <si>
    <t>When Primal Druid dies, you may search your library for a basic land card, put it onto the battlefield tapped, then shuffle your library.</t>
  </si>
  <si>
    <t>\"\\"\"\\\"\"\\"\"Creatures with power less than Shrill Howler's power can't block it.
{5}{G}: Transform Shrill Howler.\\\"\"\\"\"\\"\"\"</t>
  </si>
  <si>
    <t>3GG</t>
  </si>
  <si>
    <t>When Somberwald Stag enters the battlefield, you may have it fight target creature you don't control.</t>
  </si>
  <si>
    <t>\"\\"\"\\\"\"\\"\"Flash
When Spirit of the Hunt enters the battlefield, each other creature you control that's a Wolf or a Werewolf gets +0/+3 until end of turn.\\\"\"\\"\"\\"\"\"</t>
  </si>
  <si>
    <t>Return all land cards from your graveyard to the battlefield tapped.</t>
  </si>
  <si>
    <t>Destroy target artifact or enchantment. You gain 4 life.</t>
  </si>
  <si>
    <t>\"\\"\"\\\"\"\\"\"Flash （You may cast this spell any time you could cast an instant.）
Reach （This creature can block creatures with flying.）\\\"\"\\"\"\\"\"\"</t>
  </si>
  <si>
    <t>\"\\"\"\\\"\"\\"\"Tangleclaw Werewolf can block an additional creature each combat.
{6}{G}: Transform Tangleclaw Werewolf.\\\"\"\\"\"\\"\"\"</t>
  </si>
  <si>
    <t>\"\\"\"\\\"\"\\"\"Defender
{T}: Add {G} to your mana pool.
{5}{G}{G}: Transform Ulvenwald Captive.\\\"\"\\"\"\\"\"\"</t>
  </si>
  <si>
    <t>4GG</t>
  </si>
  <si>
    <t>Whenever a creature you control with toughness 4 or greater dies, draw a card.</t>
  </si>
  <si>
    <t>Transform up to one target Werewolf you control. Creatures you control gain trample until end of turn.</t>
  </si>
  <si>
    <t>\"\\"\"\\\"\"\\"\"Enchant creature
When Wolfkin Bond enters the battlefield, put a 2/2 green Wolf creature token onto the battlefield.
Enchanted creature gets +2/+2.\\\"\"\\"\"\\"\"\"</t>
  </si>
  <si>
    <t>Target creature you control gets +3/+3 and gains hexproof until end of turn. （It can't be the target of spells or abilities your opponents control.）</t>
  </si>
  <si>
    <t>Vigilance</t>
  </si>
  <si>
    <t>2BR</t>
  </si>
  <si>
    <t>\"\\"\"\\\"\"\\"\"Whenever Bloodhall Priest enters the battlefield or attacks, if you have no cards in hand, Bloodhall Priest deals 2 damage to target creature or player.
Madness {1}{B}{R} （If you discard this card, discard it into exile. When you do, cast it for its madness cost or put it into your graveyard.）\\\"\"\\"\"\\"\"\"</t>
  </si>
  <si>
    <t>3WB</t>
  </si>
  <si>
    <t>Whenever a creature you control attacks, defending player loses 1 life and you gain 1 life.</t>
  </si>
  <si>
    <t>2UB</t>
  </si>
  <si>
    <t>\"\\"\"\\\"\"\\"\"When Gisa and Geralf enters the battlefield, put the top four cards of your library into your graveyard.
During each of your turns, you may cast a Zombie creature card from your graveyard.\\\"\"\\"\"\\"\"\"</t>
  </si>
  <si>
    <t>BG</t>
  </si>
  <si>
    <t>\"\\"\"\\\"\"\\"\"Trample
Whenever Grim Flayer deals combat damage to a player, look at the top three cards of your library. Put any number of them into your graveyard and the rest back on top of your library in any order.
Delirium --- Grim Flayer gets +2/+2 as long as there are four or more card types among cards in your graveyard.\\\"\"\\"\"\\"\"\"</t>
  </si>
  <si>
    <t>2GW</t>
  </si>
  <si>
    <t>\"\\"\"\\\"\"\\"\"Flash
Lifelink
When Heron's Grace Champion enters the battlefield, other Humans you control get +1/+1 and gain lifelink until end of turn.\\\"\"\\"\"\\"\"\"</t>
  </si>
  <si>
    <t>2UR</t>
  </si>
  <si>
    <t>\"\\"\"\\\"\"\\"\"Flying
Whenever you cast an instant or sorcery spell, Mercurial Geists gets +3/+0 until end of turn.\\\"\"\\"\"\\"\"\"</t>
  </si>
  <si>
    <t>1BG</t>
  </si>
  <si>
    <t>\"\\"\"\\\"\"\\"\"Haste
Delirium --- When Mournwillow enters the battlefield, if there are four or more card types among cards in your graveyard, creatures with power 2 or less can't block this turn.\\\"\"\\"\"\\"\"\"</t>
  </si>
  <si>
    <t>RW</t>
  </si>
  <si>
    <t>Destroy target blocking creature. Creatures that were blocked by that creature this combat gain trample until end of turn.</t>
  </si>
  <si>
    <t>1WU</t>
  </si>
  <si>
    <t>\"\\"\"\\\"\"\\"\"Flash
Flying
When Spell Queller enters the battlefield, exile target spell with converted mana cost 4 or less.
When Spell Queller leaves the battlefield, the exiled card's owner may cast that card without paying its mana cost.\\\"\"\\"\"\\"\"\"</t>
  </si>
  <si>
    <t>1GWU</t>
  </si>
  <si>
    <t>\"+1: Choose up to two target creatures. Until your next turn, whenever either of those creatures deals combat damage, you draw a card.
-2: Tap up to two target nonland permanents. They don't untap during their controller's next untap step.
-7: Draw three cards. You get an emblem with \\"\"You may cast nonland cards from your hand without paying their mana costs.\\"\"\"</t>
  </si>
  <si>
    <t>3RG</t>
  </si>
  <si>
    <t>\"\\"\"\\\"\"\\"\"Whenever this creature enters the battlefield or transforms into Ulrich of the Krallenhorde, target creature gets +4/+4 until end of turn.
At the beginning of each upkeep, if no spells were cast last turn, transform Ulrich of the Krallenhorde.\\\"\"\\"\"\\"\"\"</t>
  </si>
  <si>
    <t>\"\\"\"\\\"\"\\"\"Equipped creature gets +0/+3 and has vigilance.
Equip {3} （{3}: Attach to target creature you control. Equip only as a sorcery.）\\\"\"\\"\"\\"\"\"</t>
  </si>
  <si>
    <t>\"\\"\"\\\"\"\\"\"Cryptolith Fragment enters the battlefield tapped.
{T}: Add one mana of any color to your mana pool. Each player loses 1 life.
At the beginning of your upkeep, if each player has 10 or less life, transform Cryptolith Fragment.\\\"\"\\"\"\\"\"\"</t>
  </si>
  <si>
    <t>\"\\"\"\\\"\"\\"\"Equipped creature gets +2/+2.
Equip {3} （{3}: Attach to target creature you control. Equip only as a sorcery.）\\\"\"\\"\"\\"\"\"</t>
  </si>
  <si>
    <t>Creature spells you cast cost {1} more to cast.</t>
  </si>
  <si>
    <t>Lupine Prototype can't attack or block unless a player has no cards in hand.</t>
  </si>
  <si>
    <t>\"\\"\"\\\"\"\\"\"Equipped creature gets +3/+1 and must be blocked by an Eldrazi if able.
Equip {4}\\\"\"\\"\"\\"\"\"</t>
  </si>
  <si>
    <t>{5}, {T}, Sacrifice Soul Separator: Exile target creature card from your graveyard. Put a token onto the battlefield that's a copy of that card except it's 1/1, it's a Spirit in addition to its other types, and it has flying. Put a black Zombie creature token onto the battlefield with power equal to that card's power and toughness equal to that card's toughness.</t>
  </si>
  <si>
    <t>\"\\"\"\\\"\"\\"\"Equipped creature gets +3/+3.
Whenever equipped creature attacks, it doesn't untap during its controller's next untap step.
Whenever Stitcher's Graft becomes unattached from a permanent, sacrifice that permanent.
Equip {2}\\\"\"\\"\"\\"\"\"</t>
  </si>
  <si>
    <t>\"\\"\"\\\"\"\\"\"Terrarion enters the battlefield tapped.
{2}, {T}, Sacrifice Terrarion: Add two mana in any combination of colors to your mana pool.
When Terrarion is put into a graveyard from the battlefield, draw a card.\\\"\"\\"\"\\"\"\"</t>
  </si>
  <si>
    <t>\"\\"\"\\\"\"\\"\"Equipped creature gets +4/+0.
At the beginning of your end step, if equipped creature didn't deal combat damage to a creature this turn, sacrifice it.
Equip {2}\\\"\"\\"\"\\"\"\"</t>
  </si>
  <si>
    <t>land</t>
  </si>
  <si>
    <t>\"\\"\"\\\"\"\\"\"{T}: Add {C} to your mana pool.
{2}, {T}: Each player draws a card, then discards a card.\\\"\"\\"\"\\"\"\"</t>
  </si>
  <si>
    <t>\"\\"\"\\\"\"\\"\"{T}: Add {C} to your mana pool.
{R}, {T}: Target creature gains haste until end of turn.
{3}{R}{R}, {T}: If you both own and control Hanweir Battlements and a creature named Hanweir Garrison, exile them, then meld them into Hanweir, the Writhing Township.\\\"\"\\"\"\\"\"\"</t>
  </si>
  <si>
    <t>\"If a spell or ability an opponent controls causes you to discard a card, you may reveal that card and put it on top of your library instead of putting it anywhere else.
{T}: Add {C} to your mana pool.\"</t>
  </si>
  <si>
    <t>0 SideboardCards 0 0 W0U0B0R0G0C0</t>
  </si>
  <si>
    <t>../../decks/cardlistlist_of_EMN.csv</t>
  </si>
  <si>
    <t>Channelfireball Comment</t>
  </si>
  <si>
    <t>oracle</t>
  </si>
  <si>
    <t>manacost</t>
  </si>
  <si>
    <t>Channelfireball</t>
  </si>
  <si>
    <t>color</t>
  </si>
  <si>
    <t>SMDS</t>
  </si>
  <si>
    <t>1</t>
  </si>
  <si>
    <t>エラー 2042</t>
  </si>
  <si>
    <t>2.5</t>
  </si>
  <si>
    <t>4.5</t>
  </si>
  <si>
    <t>3</t>
  </si>
  <si>
    <t>4</t>
  </si>
  <si>
    <t>2</t>
  </si>
  <si>
    <t>3.5</t>
  </si>
  <si>
    <t>0</t>
  </si>
  <si>
    <t>1.5</t>
  </si>
  <si>
    <t>0.5</t>
  </si>
  <si>
    <t>LimitedRatingg:2.0</t>
  </si>
  <si>
    <t>8</t>
  </si>
  <si>
    <t>1.9</t>
  </si>
  <si>
    <t>10</t>
  </si>
  <si>
    <t>9.5</t>
  </si>
  <si>
    <t>9</t>
  </si>
  <si>
    <t>1.7</t>
  </si>
  <si>
    <t>9.7</t>
  </si>
  <si>
    <t>13</t>
  </si>
  <si>
    <t>5.4</t>
  </si>
  <si>
    <t>1.1</t>
  </si>
  <si>
    <t>1.2</t>
  </si>
  <si>
    <t>7</t>
  </si>
  <si>
    <t>1.4</t>
  </si>
  <si>
    <t>8.8</t>
  </si>
  <si>
    <t>2.3</t>
  </si>
  <si>
    <t>0.6</t>
  </si>
  <si>
    <t>2.2</t>
  </si>
  <si>
    <t>2.8</t>
  </si>
  <si>
    <t>3.4</t>
  </si>
  <si>
    <t>0.7</t>
  </si>
  <si>
    <t>0.8</t>
  </si>
  <si>
    <t>0.9</t>
  </si>
  <si>
    <t>9.4</t>
  </si>
  <si>
    <t>9.1</t>
  </si>
  <si>
    <t>3.8</t>
  </si>
  <si>
    <t>2.7</t>
  </si>
  <si>
    <t>7.3</t>
  </si>
  <si>
    <t>1.6</t>
  </si>
  <si>
    <t>4.4</t>
  </si>
  <si>
    <t>5.5</t>
  </si>
  <si>
    <t>4.2</t>
  </si>
  <si>
    <t>9.9</t>
  </si>
  <si>
    <t>1.3</t>
  </si>
  <si>
    <t>7.6</t>
  </si>
  <si>
    <t>9.2</t>
  </si>
  <si>
    <t>2.1</t>
  </si>
  <si>
    <t>5</t>
  </si>
  <si>
    <t>3.3</t>
  </si>
  <si>
    <t>6.5</t>
  </si>
  <si>
    <t>7.8</t>
  </si>
  <si>
    <t>7.4</t>
  </si>
  <si>
    <t>6.1</t>
  </si>
  <si>
    <t>9.8</t>
  </si>
  <si>
    <t>2.6</t>
  </si>
  <si>
    <t>5.1</t>
  </si>
  <si>
    <t>6.8</t>
  </si>
  <si>
    <t>3.2</t>
  </si>
  <si>
    <t>6</t>
  </si>
  <si>
    <t>1.8</t>
  </si>
  <si>
    <t>8.4</t>
  </si>
  <si>
    <t>9.3</t>
  </si>
  <si>
    <t>8.6</t>
  </si>
  <si>
    <t>8.9</t>
  </si>
</sst>
</file>

<file path=xl/styles.xml><?xml version="1.0" encoding="utf-8"?>
<styleSheet xmlns="http://schemas.openxmlformats.org/spreadsheetml/2006/main">
  <fonts count="11">
    <font>
      <sz val="11"/>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6"/>
      <name val="ＭＳ Ｐゴシック"/>
      <family val="2"/>
      <charset val="128"/>
      <scheme val="minor"/>
    </font>
    <font>
      <sz val="11"/>
      <color rgb="FF000000"/>
      <name val="ＭＳ Ｐゴシック"/>
      <family val="3"/>
      <charset val="128"/>
      <scheme val="minor"/>
    </font>
    <font>
      <u/>
      <sz val="11"/>
      <color theme="10"/>
      <name val="ＭＳ Ｐゴシック"/>
      <family val="3"/>
      <charset val="128"/>
    </font>
    <font>
      <sz val="9"/>
      <color theme="1"/>
      <name val="ＭＳ Ｐゴシック"/>
      <family val="3"/>
      <charset val="128"/>
      <scheme val="minor"/>
    </font>
    <font>
      <u/>
      <sz val="9"/>
      <color theme="10"/>
      <name val="ＭＳ Ｐゴシック"/>
      <family val="2"/>
      <charset val="128"/>
    </font>
    <font>
      <u/>
      <sz val="9"/>
      <color theme="10"/>
      <name val="ＭＳ Ｐゴシック"/>
      <family val="3"/>
      <charset val="128"/>
    </font>
  </fonts>
  <fills count="3">
    <fill>
      <patternFill patternType="none"/>
    </fill>
    <fill>
      <patternFill patternType="gray125"/>
    </fill>
    <fill>
      <patternFill patternType="solid">
        <fgColor theme="1" tint="4.9989318521683403E-2"/>
        <bgColor indexed="64"/>
      </patternFill>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6">
    <xf numFmtId="0" fontId="0" fillId="0" borderId="0" xfId="0">
      <alignment vertical="center"/>
    </xf>
    <xf numFmtId="0" fontId="4" fillId="0" borderId="0" xfId="0" applyFont="1">
      <alignment vertical="center"/>
    </xf>
    <xf numFmtId="0" fontId="3" fillId="0" borderId="0" xfId="0" applyFont="1">
      <alignment vertical="center"/>
    </xf>
    <xf numFmtId="0" fontId="2" fillId="0" borderId="0" xfId="0" applyFont="1">
      <alignment vertical="center"/>
    </xf>
    <xf numFmtId="0" fontId="8" fillId="0" borderId="0" xfId="0" applyFont="1" applyAlignment="1">
      <alignment vertical="center" wrapText="1"/>
    </xf>
    <xf numFmtId="0" fontId="8" fillId="0" borderId="0" xfId="0" applyNumberFormat="1" applyFont="1" applyAlignment="1">
      <alignment vertical="center" wrapText="1"/>
    </xf>
    <xf numFmtId="0" fontId="8" fillId="0" borderId="0" xfId="0" applyNumberFormat="1" applyFont="1">
      <alignment vertical="center"/>
    </xf>
    <xf numFmtId="0" fontId="1" fillId="0" borderId="0" xfId="0" applyFont="1">
      <alignment vertical="center"/>
    </xf>
    <xf numFmtId="0" fontId="9" fillId="2" borderId="0" xfId="1" applyFont="1" applyFill="1" applyAlignment="1" applyProtection="1">
      <alignment horizontal="center" vertical="center"/>
    </xf>
    <xf numFmtId="0" fontId="8" fillId="0" borderId="0" xfId="0" applyFont="1">
      <alignment vertical="center"/>
    </xf>
    <xf numFmtId="0" fontId="8" fillId="2" borderId="0" xfId="0" applyFont="1" applyFill="1" applyAlignment="1">
      <alignment horizontal="center" vertical="center"/>
    </xf>
    <xf numFmtId="0" fontId="8" fillId="0" borderId="0" xfId="0" applyFont="1" applyAlignment="1">
      <alignment horizontal="left" vertical="top" wrapText="1"/>
    </xf>
    <xf numFmtId="0" fontId="8" fillId="0" borderId="0" xfId="0" applyFont="1" applyAlignment="1">
      <alignment horizontal="left" vertical="top"/>
    </xf>
    <xf numFmtId="0" fontId="10" fillId="0" borderId="0" xfId="1" applyFont="1" applyAlignment="1" applyProtection="1">
      <alignment horizontal="left" vertical="top"/>
    </xf>
    <xf numFmtId="0" fontId="8" fillId="0" borderId="0" xfId="0" applyFont="1" applyAlignment="1">
      <alignment vertical="top"/>
    </xf>
    <xf numFmtId="0" fontId="8" fillId="0" borderId="0" xfId="0" applyFont="1" applyAlignment="1">
      <alignment vertical="top" wrapText="1"/>
    </xf>
  </cellXfs>
  <cellStyles count="2">
    <cellStyle name="ハイパーリンク" xfId="1" builtinId="8"/>
    <cellStyle name="標準" xfId="0" builtinId="0"/>
  </cellStyles>
  <dxfs count="8">
    <dxf>
      <fill>
        <patternFill>
          <bgColor theme="2" tint="-0.499984740745262"/>
        </patternFill>
      </fill>
    </dxf>
    <dxf>
      <fill>
        <patternFill>
          <bgColor theme="9" tint="-0.499984740745262"/>
        </patternFill>
      </fill>
    </dxf>
    <dxf>
      <fill>
        <patternFill>
          <bgColor theme="1" tint="0.499984740745262"/>
        </patternFill>
      </fill>
    </dxf>
    <dxf>
      <fill>
        <patternFill>
          <bgColor rgb="FF00B050"/>
        </patternFill>
      </fill>
    </dxf>
    <dxf>
      <fill>
        <patternFill>
          <bgColor rgb="FFFF0000"/>
        </patternFill>
      </fill>
    </dxf>
    <dxf>
      <fill>
        <patternFill>
          <bgColor theme="1"/>
        </patternFill>
      </fill>
    </dxf>
    <dxf>
      <fill>
        <patternFill>
          <bgColor rgb="FF0070C0"/>
        </patternFill>
      </fill>
    </dxf>
    <dxf>
      <fill>
        <patternFill>
          <bgColor theme="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B2:I1786"/>
  <sheetViews>
    <sheetView tabSelected="1" zoomScaleNormal="100" workbookViewId="0">
      <selection activeCell="G11" sqref="G11"/>
    </sheetView>
  </sheetViews>
  <sheetFormatPr defaultRowHeight="11.25"/>
  <cols>
    <col min="1" max="1" width="9" style="9" customWidth="1"/>
    <col min="2" max="2" width="16" style="9" customWidth="1"/>
    <col min="3" max="3" width="19" style="9" customWidth="1"/>
    <col min="4" max="4" width="9.875" style="9" customWidth="1"/>
    <col min="5" max="5" width="13.125" style="9" customWidth="1"/>
    <col min="6" max="6" width="9" style="9"/>
    <col min="7" max="7" width="17.375" style="9" customWidth="1"/>
    <col min="8" max="8" width="16" style="9" customWidth="1"/>
    <col min="9" max="9" width="16.375" style="9" customWidth="1"/>
    <col min="10" max="16384" width="9" style="9"/>
  </cols>
  <sheetData>
    <row r="2" spans="2:9">
      <c r="B2" s="8" t="str">
        <f>HYPERLINK("F:\program\mtg\cards\img\EMN_t\Abandon+Reason.jpg")</f>
        <v>F:\program\mtg\cards\img\EMN_t\Abandon+Reason.jpg</v>
      </c>
      <c r="C2" s="7" t="s">
        <v>239</v>
      </c>
      <c r="D2" s="9" t="s">
        <v>730</v>
      </c>
      <c r="E2" s="9" t="s">
        <v>731</v>
      </c>
      <c r="F2" s="9" t="s">
        <v>732</v>
      </c>
      <c r="G2" s="7"/>
    </row>
    <row r="3" spans="2:9" ht="13.5" customHeight="1">
      <c r="B3" s="10"/>
      <c r="C3" s="9" t="s">
        <v>733</v>
      </c>
      <c r="D3" s="11" t="s">
        <v>416</v>
      </c>
      <c r="E3" s="11" t="s">
        <v>457</v>
      </c>
      <c r="F3" s="9" t="s">
        <v>748</v>
      </c>
      <c r="I3" s="4"/>
    </row>
    <row r="4" spans="2:9">
      <c r="B4" s="10"/>
      <c r="C4" s="9" t="s">
        <v>738</v>
      </c>
      <c r="D4" s="11"/>
      <c r="E4" s="12"/>
      <c r="F4" s="9" t="s">
        <v>734</v>
      </c>
    </row>
    <row r="5" spans="2:9">
      <c r="B5" s="10"/>
      <c r="C5" s="9" t="s">
        <v>735</v>
      </c>
      <c r="D5" s="11"/>
      <c r="E5" s="12"/>
      <c r="F5" s="9" t="s">
        <v>456</v>
      </c>
    </row>
    <row r="6" spans="2:9">
      <c r="B6" s="10"/>
      <c r="C6" s="9" t="s">
        <v>749</v>
      </c>
      <c r="D6" s="11"/>
      <c r="E6" s="12"/>
    </row>
    <row r="7" spans="2:9">
      <c r="B7" s="13"/>
      <c r="C7" s="9" t="s">
        <v>209</v>
      </c>
      <c r="D7" s="9" t="s">
        <v>730</v>
      </c>
      <c r="E7" s="9" t="s">
        <v>731</v>
      </c>
      <c r="F7" s="9" t="s">
        <v>732</v>
      </c>
      <c r="G7" s="7"/>
    </row>
    <row r="8" spans="2:9" ht="13.5" customHeight="1">
      <c r="B8" s="12"/>
      <c r="C8" s="9" t="s">
        <v>733</v>
      </c>
      <c r="D8" s="11" t="s">
        <v>387</v>
      </c>
      <c r="E8" s="11" t="s">
        <v>458</v>
      </c>
      <c r="F8" s="9" t="s">
        <v>750</v>
      </c>
      <c r="I8" s="4"/>
    </row>
    <row r="9" spans="2:9">
      <c r="B9" s="12"/>
      <c r="C9" s="9" t="s">
        <v>739</v>
      </c>
      <c r="D9" s="11"/>
      <c r="E9" s="12"/>
      <c r="F9" s="9" t="s">
        <v>734</v>
      </c>
    </row>
    <row r="10" spans="2:9">
      <c r="B10" s="12"/>
      <c r="C10" s="9" t="s">
        <v>735</v>
      </c>
      <c r="D10" s="11"/>
      <c r="E10" s="12"/>
      <c r="F10" s="9" t="s">
        <v>456</v>
      </c>
    </row>
    <row r="11" spans="2:9">
      <c r="B11" s="12"/>
      <c r="C11" s="9" t="s">
        <v>750</v>
      </c>
      <c r="D11" s="11"/>
      <c r="E11" s="12"/>
    </row>
    <row r="12" spans="2:9">
      <c r="B12" s="13"/>
      <c r="C12" s="9" t="s">
        <v>240</v>
      </c>
      <c r="D12" s="9" t="s">
        <v>730</v>
      </c>
      <c r="E12" s="9" t="s">
        <v>731</v>
      </c>
      <c r="F12" s="9" t="s">
        <v>732</v>
      </c>
      <c r="G12" s="7"/>
    </row>
    <row r="13" spans="2:9" ht="13.5" customHeight="1">
      <c r="B13" s="12"/>
      <c r="C13" s="9" t="s">
        <v>733</v>
      </c>
      <c r="D13" s="11" t="s">
        <v>417</v>
      </c>
      <c r="E13" s="11" t="s">
        <v>459</v>
      </c>
      <c r="F13" s="9" t="s">
        <v>748</v>
      </c>
      <c r="I13" s="4"/>
    </row>
    <row r="14" spans="2:9">
      <c r="B14" s="12"/>
      <c r="C14" s="9" t="s">
        <v>740</v>
      </c>
      <c r="D14" s="11"/>
      <c r="E14" s="12"/>
      <c r="F14" s="9" t="s">
        <v>734</v>
      </c>
    </row>
    <row r="15" spans="2:9">
      <c r="B15" s="12"/>
      <c r="C15" s="9" t="s">
        <v>735</v>
      </c>
      <c r="D15" s="11"/>
      <c r="E15" s="12"/>
      <c r="F15" s="9" t="s">
        <v>456</v>
      </c>
    </row>
    <row r="16" spans="2:9">
      <c r="B16" s="12"/>
      <c r="C16" s="9" t="s">
        <v>751</v>
      </c>
      <c r="D16" s="11"/>
      <c r="E16" s="12"/>
    </row>
    <row r="17" spans="2:9">
      <c r="B17" s="12"/>
      <c r="C17" s="9" t="s">
        <v>241</v>
      </c>
      <c r="D17" s="9" t="s">
        <v>730</v>
      </c>
      <c r="E17" s="9" t="s">
        <v>731</v>
      </c>
      <c r="F17" s="9" t="s">
        <v>732</v>
      </c>
      <c r="G17" s="7"/>
    </row>
    <row r="18" spans="2:9">
      <c r="B18" s="12"/>
      <c r="C18" s="9" t="s">
        <v>733</v>
      </c>
      <c r="D18" s="11" t="s">
        <v>418</v>
      </c>
      <c r="E18" s="11" t="s">
        <v>460</v>
      </c>
      <c r="F18" s="9" t="s">
        <v>752</v>
      </c>
      <c r="I18" s="4"/>
    </row>
    <row r="19" spans="2:9">
      <c r="B19" s="12"/>
      <c r="C19" s="9" t="s">
        <v>738</v>
      </c>
      <c r="D19" s="11"/>
      <c r="E19" s="12"/>
      <c r="F19" s="9" t="s">
        <v>734</v>
      </c>
    </row>
    <row r="20" spans="2:9">
      <c r="B20" s="12"/>
      <c r="C20" s="9" t="s">
        <v>735</v>
      </c>
      <c r="D20" s="11"/>
      <c r="E20" s="12"/>
      <c r="F20" s="9" t="s">
        <v>456</v>
      </c>
    </row>
    <row r="21" spans="2:9">
      <c r="B21" s="12"/>
      <c r="C21" s="9" t="s">
        <v>753</v>
      </c>
      <c r="D21" s="11"/>
      <c r="E21" s="12"/>
    </row>
    <row r="22" spans="2:9">
      <c r="B22" s="12"/>
      <c r="C22" s="9" t="s">
        <v>242</v>
      </c>
      <c r="D22" s="9" t="s">
        <v>730</v>
      </c>
      <c r="E22" s="14" t="s">
        <v>731</v>
      </c>
      <c r="F22" s="9" t="s">
        <v>732</v>
      </c>
      <c r="G22" s="7"/>
    </row>
    <row r="23" spans="2:9" ht="225">
      <c r="B23" s="12"/>
      <c r="C23" s="9" t="s">
        <v>733</v>
      </c>
      <c r="D23" s="11" t="s">
        <v>419</v>
      </c>
      <c r="E23" s="15" t="s">
        <v>461</v>
      </c>
      <c r="F23" s="9" t="s">
        <v>748</v>
      </c>
      <c r="I23" s="4"/>
    </row>
    <row r="24" spans="2:9">
      <c r="B24" s="12"/>
      <c r="C24" s="9" t="s">
        <v>741</v>
      </c>
      <c r="D24" s="11"/>
      <c r="E24" s="14"/>
      <c r="F24" s="9" t="s">
        <v>734</v>
      </c>
    </row>
    <row r="25" spans="2:9">
      <c r="B25" s="12"/>
      <c r="C25" s="9" t="s">
        <v>735</v>
      </c>
      <c r="D25" s="11"/>
      <c r="E25" s="14"/>
      <c r="F25" s="9" t="s">
        <v>456</v>
      </c>
    </row>
    <row r="26" spans="2:9">
      <c r="B26" s="12"/>
      <c r="C26" s="9" t="s">
        <v>754</v>
      </c>
      <c r="D26" s="11"/>
      <c r="E26" s="14"/>
    </row>
    <row r="27" spans="2:9">
      <c r="B27" s="12"/>
      <c r="C27" s="9" t="s">
        <v>243</v>
      </c>
      <c r="D27" s="9" t="s">
        <v>730</v>
      </c>
      <c r="E27" s="14" t="s">
        <v>731</v>
      </c>
      <c r="F27" s="9" t="s">
        <v>732</v>
      </c>
      <c r="G27" s="7"/>
    </row>
    <row r="28" spans="2:9" ht="236.25">
      <c r="B28" s="12"/>
      <c r="C28" s="9" t="s">
        <v>733</v>
      </c>
      <c r="D28" s="11" t="s">
        <v>420</v>
      </c>
      <c r="E28" s="15" t="s">
        <v>462</v>
      </c>
      <c r="F28" s="9" t="s">
        <v>755</v>
      </c>
      <c r="I28" s="4"/>
    </row>
    <row r="29" spans="2:9">
      <c r="B29" s="12"/>
      <c r="C29" s="9" t="s">
        <v>740</v>
      </c>
      <c r="D29" s="11"/>
      <c r="E29" s="14"/>
      <c r="F29" s="9" t="s">
        <v>734</v>
      </c>
    </row>
    <row r="30" spans="2:9">
      <c r="B30" s="12"/>
      <c r="C30" s="9" t="s">
        <v>735</v>
      </c>
      <c r="D30" s="11"/>
      <c r="E30" s="14"/>
      <c r="F30" s="9" t="s">
        <v>456</v>
      </c>
    </row>
    <row r="31" spans="2:9">
      <c r="B31" s="12"/>
      <c r="C31" s="9" t="s">
        <v>750</v>
      </c>
      <c r="D31" s="11"/>
      <c r="E31" s="14"/>
    </row>
    <row r="32" spans="2:9">
      <c r="B32" s="12"/>
      <c r="C32" s="9" t="s">
        <v>244</v>
      </c>
      <c r="D32" s="9" t="s">
        <v>730</v>
      </c>
      <c r="E32" s="14" t="s">
        <v>731</v>
      </c>
      <c r="F32" s="9" t="s">
        <v>732</v>
      </c>
      <c r="G32" s="7"/>
    </row>
    <row r="33" spans="2:9" ht="157.5">
      <c r="B33" s="12"/>
      <c r="C33" s="9" t="s">
        <v>733</v>
      </c>
      <c r="D33" s="11" t="s">
        <v>421</v>
      </c>
      <c r="E33" s="15" t="s">
        <v>463</v>
      </c>
      <c r="F33" s="9" t="s">
        <v>740</v>
      </c>
      <c r="I33" s="4"/>
    </row>
    <row r="34" spans="2:9">
      <c r="B34" s="12"/>
      <c r="C34" s="9" t="s">
        <v>742</v>
      </c>
      <c r="D34" s="11"/>
      <c r="E34" s="14"/>
      <c r="F34" s="9" t="s">
        <v>734</v>
      </c>
    </row>
    <row r="35" spans="2:9">
      <c r="B35" s="12"/>
      <c r="C35" s="9" t="s">
        <v>735</v>
      </c>
      <c r="D35" s="11"/>
      <c r="E35" s="14"/>
      <c r="F35" s="9" t="s">
        <v>456</v>
      </c>
    </row>
    <row r="36" spans="2:9">
      <c r="B36" s="12"/>
      <c r="C36" s="9" t="s">
        <v>756</v>
      </c>
      <c r="D36" s="11"/>
      <c r="E36" s="14"/>
    </row>
    <row r="37" spans="2:9">
      <c r="B37" s="12"/>
      <c r="C37" s="9" t="s">
        <v>219</v>
      </c>
      <c r="D37" s="9" t="s">
        <v>730</v>
      </c>
      <c r="E37" s="14" t="s">
        <v>731</v>
      </c>
      <c r="F37" s="9" t="s">
        <v>732</v>
      </c>
      <c r="G37" s="7"/>
    </row>
    <row r="38" spans="2:9" ht="236.25">
      <c r="B38" s="12"/>
      <c r="C38" s="9" t="s">
        <v>733</v>
      </c>
      <c r="D38" s="11" t="s">
        <v>396</v>
      </c>
      <c r="E38" s="15" t="s">
        <v>464</v>
      </c>
      <c r="F38" s="9" t="s">
        <v>748</v>
      </c>
      <c r="I38" s="4"/>
    </row>
    <row r="39" spans="2:9">
      <c r="B39" s="12"/>
      <c r="C39" s="9" t="s">
        <v>738</v>
      </c>
      <c r="D39" s="11"/>
      <c r="E39" s="14"/>
      <c r="F39" s="9" t="s">
        <v>734</v>
      </c>
    </row>
    <row r="40" spans="2:9">
      <c r="B40" s="12"/>
      <c r="C40" s="9" t="s">
        <v>735</v>
      </c>
      <c r="D40" s="11"/>
      <c r="E40" s="14"/>
      <c r="F40" s="9" t="s">
        <v>456</v>
      </c>
    </row>
    <row r="41" spans="2:9">
      <c r="B41" s="12"/>
      <c r="C41" s="9" t="s">
        <v>736</v>
      </c>
      <c r="D41" s="11"/>
      <c r="E41" s="14"/>
    </row>
    <row r="42" spans="2:9">
      <c r="B42" s="12"/>
      <c r="C42" s="9" t="s">
        <v>245</v>
      </c>
      <c r="D42" s="9" t="s">
        <v>730</v>
      </c>
      <c r="E42" s="14" t="s">
        <v>731</v>
      </c>
      <c r="F42" s="9" t="s">
        <v>732</v>
      </c>
      <c r="G42" s="7"/>
    </row>
    <row r="43" spans="2:9" ht="236.25">
      <c r="B43" s="12"/>
      <c r="C43" s="9" t="s">
        <v>733</v>
      </c>
      <c r="D43" s="11" t="s">
        <v>422</v>
      </c>
      <c r="E43" s="15" t="s">
        <v>465</v>
      </c>
      <c r="F43" s="9" t="s">
        <v>748</v>
      </c>
      <c r="I43" s="4"/>
    </row>
    <row r="44" spans="2:9">
      <c r="B44" s="12"/>
      <c r="C44" s="9" t="s">
        <v>740</v>
      </c>
      <c r="D44" s="11"/>
      <c r="E44" s="14"/>
      <c r="F44" s="9" t="s">
        <v>734</v>
      </c>
    </row>
    <row r="45" spans="2:9">
      <c r="B45" s="12"/>
      <c r="C45" s="9" t="s">
        <v>735</v>
      </c>
      <c r="D45" s="11"/>
      <c r="E45" s="14"/>
      <c r="F45" s="9" t="s">
        <v>456</v>
      </c>
    </row>
    <row r="46" spans="2:9">
      <c r="B46" s="12"/>
      <c r="C46" s="9" t="s">
        <v>757</v>
      </c>
      <c r="D46" s="11"/>
      <c r="E46" s="14"/>
    </row>
    <row r="47" spans="2:9">
      <c r="B47" s="12"/>
      <c r="C47" s="9" t="s">
        <v>221</v>
      </c>
      <c r="D47" s="9" t="s">
        <v>730</v>
      </c>
      <c r="E47" s="14" t="s">
        <v>731</v>
      </c>
      <c r="F47" s="9" t="s">
        <v>732</v>
      </c>
      <c r="G47" s="7"/>
    </row>
    <row r="48" spans="2:9" ht="225">
      <c r="B48" s="12"/>
      <c r="C48" s="9" t="s">
        <v>733</v>
      </c>
      <c r="D48" s="11" t="s">
        <v>398</v>
      </c>
      <c r="E48" s="15" t="s">
        <v>466</v>
      </c>
      <c r="F48" s="9" t="s">
        <v>752</v>
      </c>
      <c r="I48" s="4"/>
    </row>
    <row r="49" spans="2:9">
      <c r="B49" s="12"/>
      <c r="C49" s="9" t="s">
        <v>738</v>
      </c>
      <c r="D49" s="11"/>
      <c r="E49" s="14"/>
      <c r="F49" s="9" t="s">
        <v>734</v>
      </c>
    </row>
    <row r="50" spans="2:9">
      <c r="B50" s="12"/>
      <c r="C50" s="9" t="s">
        <v>735</v>
      </c>
      <c r="D50" s="11"/>
      <c r="E50" s="14"/>
      <c r="F50" s="9" t="s">
        <v>456</v>
      </c>
    </row>
    <row r="51" spans="2:9">
      <c r="B51" s="12"/>
      <c r="C51" s="9" t="s">
        <v>758</v>
      </c>
      <c r="D51" s="11"/>
      <c r="E51" s="14"/>
    </row>
    <row r="52" spans="2:9">
      <c r="B52" s="12"/>
      <c r="C52" s="9" t="s">
        <v>246</v>
      </c>
      <c r="D52" s="9" t="s">
        <v>730</v>
      </c>
      <c r="E52" s="14" t="s">
        <v>731</v>
      </c>
      <c r="F52" s="9" t="s">
        <v>732</v>
      </c>
      <c r="G52" s="7"/>
    </row>
    <row r="53" spans="2:9" ht="247.5">
      <c r="B53" s="12"/>
      <c r="C53" s="9" t="s">
        <v>733</v>
      </c>
      <c r="D53" s="11" t="s">
        <v>423</v>
      </c>
      <c r="E53" s="15" t="s">
        <v>467</v>
      </c>
      <c r="F53" s="9" t="s">
        <v>748</v>
      </c>
      <c r="I53" s="4"/>
    </row>
    <row r="54" spans="2:9">
      <c r="B54" s="12"/>
      <c r="C54" s="9" t="s">
        <v>743</v>
      </c>
      <c r="D54" s="11"/>
      <c r="E54" s="14"/>
      <c r="F54" s="9" t="s">
        <v>734</v>
      </c>
    </row>
    <row r="55" spans="2:9">
      <c r="B55" s="12"/>
      <c r="C55" s="9" t="s">
        <v>735</v>
      </c>
      <c r="D55" s="11"/>
      <c r="E55" s="14"/>
      <c r="F55" s="9" t="s">
        <v>456</v>
      </c>
    </row>
    <row r="56" spans="2:9">
      <c r="B56" s="12"/>
      <c r="C56" s="9" t="s">
        <v>753</v>
      </c>
      <c r="D56" s="11"/>
      <c r="E56" s="14"/>
    </row>
    <row r="57" spans="2:9">
      <c r="B57" s="12"/>
      <c r="C57" s="9" t="s">
        <v>247</v>
      </c>
      <c r="D57" s="9" t="s">
        <v>730</v>
      </c>
      <c r="E57" s="14" t="s">
        <v>731</v>
      </c>
      <c r="F57" s="9" t="s">
        <v>732</v>
      </c>
      <c r="G57" s="7"/>
    </row>
    <row r="58" spans="2:9" ht="202.5">
      <c r="B58" s="12"/>
      <c r="C58" s="9" t="s">
        <v>733</v>
      </c>
      <c r="D58" s="11" t="s">
        <v>424</v>
      </c>
      <c r="E58" s="15" t="s">
        <v>468</v>
      </c>
      <c r="F58" s="9" t="s">
        <v>759</v>
      </c>
      <c r="I58" s="4"/>
    </row>
    <row r="59" spans="2:9">
      <c r="B59" s="12"/>
      <c r="C59" s="9" t="s">
        <v>740</v>
      </c>
      <c r="D59" s="11"/>
      <c r="E59" s="14"/>
      <c r="F59" s="9" t="s">
        <v>734</v>
      </c>
    </row>
    <row r="60" spans="2:9">
      <c r="B60" s="12"/>
      <c r="C60" s="9" t="s">
        <v>735</v>
      </c>
      <c r="D60" s="11"/>
      <c r="E60" s="14"/>
      <c r="F60" s="9" t="s">
        <v>456</v>
      </c>
    </row>
    <row r="61" spans="2:9">
      <c r="B61" s="12"/>
      <c r="C61" s="9" t="s">
        <v>760</v>
      </c>
      <c r="D61" s="11"/>
      <c r="E61" s="14"/>
    </row>
    <row r="62" spans="2:9">
      <c r="B62" s="12"/>
      <c r="C62" s="9" t="s">
        <v>1</v>
      </c>
      <c r="D62" s="9" t="s">
        <v>730</v>
      </c>
      <c r="E62" s="14" t="s">
        <v>731</v>
      </c>
      <c r="F62" s="9" t="s">
        <v>732</v>
      </c>
      <c r="G62" s="7"/>
    </row>
    <row r="63" spans="2:9" ht="157.5">
      <c r="B63" s="12"/>
      <c r="C63" s="9" t="s">
        <v>733</v>
      </c>
      <c r="D63" s="11" t="s">
        <v>2</v>
      </c>
      <c r="E63" s="4" t="s">
        <v>471</v>
      </c>
      <c r="F63" s="9" t="s">
        <v>469</v>
      </c>
      <c r="I63" s="4"/>
    </row>
    <row r="64" spans="2:9">
      <c r="B64" s="12"/>
      <c r="C64" s="9" t="s">
        <v>738</v>
      </c>
      <c r="D64" s="11"/>
      <c r="F64" s="9" t="s">
        <v>734</v>
      </c>
    </row>
    <row r="65" spans="2:9">
      <c r="B65" s="12"/>
      <c r="C65" s="9" t="s">
        <v>735</v>
      </c>
      <c r="D65" s="11"/>
      <c r="F65" s="9" t="s">
        <v>470</v>
      </c>
    </row>
    <row r="66" spans="2:9">
      <c r="B66" s="12"/>
      <c r="C66" s="9" t="s">
        <v>738</v>
      </c>
      <c r="D66" s="11"/>
    </row>
    <row r="67" spans="2:9">
      <c r="B67" s="12"/>
      <c r="C67" s="9" t="s">
        <v>3</v>
      </c>
      <c r="D67" s="9" t="s">
        <v>730</v>
      </c>
      <c r="E67" s="9" t="s">
        <v>731</v>
      </c>
      <c r="F67" s="9" t="s">
        <v>732</v>
      </c>
      <c r="G67" s="7"/>
    </row>
    <row r="68" spans="2:9" ht="202.5">
      <c r="B68" s="12"/>
      <c r="C68" s="9" t="s">
        <v>733</v>
      </c>
      <c r="D68" s="11" t="s">
        <v>4</v>
      </c>
      <c r="E68" s="4" t="s">
        <v>473</v>
      </c>
      <c r="F68" s="9" t="s">
        <v>472</v>
      </c>
      <c r="I68" s="4"/>
    </row>
    <row r="69" spans="2:9">
      <c r="B69" s="12"/>
      <c r="C69" s="9" t="s">
        <v>742</v>
      </c>
      <c r="D69" s="11"/>
      <c r="F69" s="9" t="s">
        <v>734</v>
      </c>
    </row>
    <row r="70" spans="2:9">
      <c r="B70" s="12"/>
      <c r="C70" s="9" t="s">
        <v>735</v>
      </c>
      <c r="D70" s="11"/>
      <c r="F70" s="9" t="s">
        <v>470</v>
      </c>
    </row>
    <row r="71" spans="2:9">
      <c r="B71" s="12"/>
      <c r="C71" s="9" t="s">
        <v>736</v>
      </c>
      <c r="D71" s="11"/>
    </row>
    <row r="72" spans="2:9">
      <c r="B72" s="12"/>
      <c r="C72" s="9" t="s">
        <v>278</v>
      </c>
      <c r="D72" s="9" t="s">
        <v>730</v>
      </c>
      <c r="E72" s="9" t="s">
        <v>731</v>
      </c>
      <c r="F72" s="9" t="s">
        <v>732</v>
      </c>
      <c r="G72" s="7"/>
    </row>
    <row r="73" spans="2:9" ht="180">
      <c r="B73" s="12"/>
      <c r="C73" s="9" t="s">
        <v>733</v>
      </c>
      <c r="D73" s="11" t="s">
        <v>737</v>
      </c>
      <c r="E73" s="4" t="s">
        <v>475</v>
      </c>
      <c r="F73" s="9" t="s">
        <v>474</v>
      </c>
      <c r="I73" s="4"/>
    </row>
    <row r="74" spans="2:9">
      <c r="B74" s="12"/>
      <c r="C74" s="9" t="s">
        <v>737</v>
      </c>
      <c r="D74" s="11"/>
      <c r="F74" s="9" t="s">
        <v>734</v>
      </c>
    </row>
    <row r="75" spans="2:9">
      <c r="B75" s="12"/>
      <c r="C75" s="9" t="s">
        <v>735</v>
      </c>
      <c r="D75" s="11"/>
      <c r="F75" s="9" t="s">
        <v>470</v>
      </c>
    </row>
    <row r="76" spans="2:9">
      <c r="B76" s="12"/>
      <c r="C76" s="9" t="s">
        <v>761</v>
      </c>
      <c r="D76" s="11"/>
    </row>
    <row r="77" spans="2:9">
      <c r="B77" s="12"/>
      <c r="C77" s="9" t="s">
        <v>7</v>
      </c>
      <c r="D77" s="9" t="s">
        <v>730</v>
      </c>
      <c r="E77" s="9" t="s">
        <v>731</v>
      </c>
      <c r="F77" s="9" t="s">
        <v>732</v>
      </c>
      <c r="G77" s="7"/>
    </row>
    <row r="78" spans="2:9" ht="146.25">
      <c r="B78" s="12"/>
      <c r="C78" s="9" t="s">
        <v>733</v>
      </c>
      <c r="D78" s="11" t="s">
        <v>8</v>
      </c>
      <c r="E78" s="4" t="s">
        <v>476</v>
      </c>
      <c r="F78" s="9" t="s">
        <v>472</v>
      </c>
      <c r="I78" s="4"/>
    </row>
    <row r="79" spans="2:9">
      <c r="B79" s="12"/>
      <c r="C79" s="9" t="s">
        <v>743</v>
      </c>
      <c r="D79" s="11"/>
      <c r="F79" s="9" t="s">
        <v>734</v>
      </c>
    </row>
    <row r="80" spans="2:9">
      <c r="B80" s="12"/>
      <c r="C80" s="9" t="s">
        <v>735</v>
      </c>
      <c r="D80" s="11"/>
      <c r="F80" s="9" t="s">
        <v>470</v>
      </c>
    </row>
    <row r="81" spans="2:9">
      <c r="B81" s="12"/>
      <c r="C81" s="9" t="s">
        <v>749</v>
      </c>
      <c r="D81" s="11"/>
    </row>
    <row r="82" spans="2:9">
      <c r="B82" s="12"/>
      <c r="C82" s="9" t="s">
        <v>275</v>
      </c>
      <c r="D82" s="9" t="s">
        <v>730</v>
      </c>
      <c r="E82" s="9" t="s">
        <v>731</v>
      </c>
      <c r="F82" s="9" t="s">
        <v>732</v>
      </c>
      <c r="G82" s="7"/>
    </row>
    <row r="83" spans="2:9" ht="258.75">
      <c r="B83" s="12"/>
      <c r="C83" s="9" t="s">
        <v>733</v>
      </c>
      <c r="D83" s="11" t="s">
        <v>737</v>
      </c>
      <c r="E83" s="4" t="s">
        <v>478</v>
      </c>
      <c r="F83" s="9" t="s">
        <v>477</v>
      </c>
      <c r="I83" s="4"/>
    </row>
    <row r="84" spans="2:9">
      <c r="B84" s="12"/>
      <c r="C84" s="9" t="s">
        <v>737</v>
      </c>
      <c r="D84" s="11"/>
      <c r="F84" s="9" t="s">
        <v>734</v>
      </c>
    </row>
    <row r="85" spans="2:9">
      <c r="B85" s="12"/>
      <c r="C85" s="9" t="s">
        <v>735</v>
      </c>
      <c r="D85" s="11"/>
      <c r="F85" s="9" t="s">
        <v>470</v>
      </c>
    </row>
    <row r="86" spans="2:9">
      <c r="B86" s="12"/>
      <c r="C86" s="9" t="s">
        <v>754</v>
      </c>
      <c r="D86" s="11"/>
    </row>
    <row r="87" spans="2:9">
      <c r="B87" s="12"/>
      <c r="C87" s="9" t="s">
        <v>11</v>
      </c>
      <c r="D87" s="9" t="s">
        <v>730</v>
      </c>
      <c r="E87" s="9" t="s">
        <v>731</v>
      </c>
      <c r="F87" s="9" t="s">
        <v>732</v>
      </c>
      <c r="G87" s="7"/>
    </row>
    <row r="88" spans="2:9" ht="146.25">
      <c r="B88" s="12"/>
      <c r="C88" s="9" t="s">
        <v>733</v>
      </c>
      <c r="D88" s="11" t="s">
        <v>12</v>
      </c>
      <c r="E88" s="4" t="s">
        <v>480</v>
      </c>
      <c r="F88" s="9" t="s">
        <v>479</v>
      </c>
      <c r="I88" s="4"/>
    </row>
    <row r="89" spans="2:9">
      <c r="B89" s="12"/>
      <c r="C89" s="9" t="s">
        <v>738</v>
      </c>
      <c r="D89" s="11"/>
      <c r="F89" s="9" t="s">
        <v>734</v>
      </c>
    </row>
    <row r="90" spans="2:9">
      <c r="B90" s="12"/>
      <c r="C90" s="9" t="s">
        <v>735</v>
      </c>
      <c r="D90" s="11"/>
      <c r="F90" s="9" t="s">
        <v>470</v>
      </c>
    </row>
    <row r="91" spans="2:9">
      <c r="B91" s="12"/>
      <c r="C91" s="9" t="s">
        <v>762</v>
      </c>
      <c r="D91" s="11"/>
    </row>
    <row r="92" spans="2:9">
      <c r="B92" s="12"/>
      <c r="C92" s="9" t="s">
        <v>13</v>
      </c>
      <c r="D92" s="9" t="s">
        <v>730</v>
      </c>
      <c r="E92" s="9" t="s">
        <v>731</v>
      </c>
      <c r="F92" s="9" t="s">
        <v>732</v>
      </c>
      <c r="G92" s="7"/>
    </row>
    <row r="93" spans="2:9">
      <c r="B93" s="12"/>
      <c r="C93" s="9" t="s">
        <v>733</v>
      </c>
      <c r="D93" s="11" t="s">
        <v>14</v>
      </c>
      <c r="E93" s="4" t="s">
        <v>481</v>
      </c>
      <c r="F93" s="9" t="s">
        <v>472</v>
      </c>
    </row>
    <row r="94" spans="2:9">
      <c r="B94" s="12"/>
      <c r="C94" s="9" t="s">
        <v>742</v>
      </c>
      <c r="D94" s="11"/>
      <c r="F94" s="9" t="s">
        <v>734</v>
      </c>
    </row>
    <row r="95" spans="2:9">
      <c r="B95" s="12"/>
      <c r="C95" s="9" t="s">
        <v>735</v>
      </c>
      <c r="D95" s="11"/>
      <c r="F95" s="9" t="s">
        <v>470</v>
      </c>
    </row>
    <row r="96" spans="2:9">
      <c r="B96" s="12"/>
      <c r="C96" s="9" t="s">
        <v>758</v>
      </c>
      <c r="D96" s="11"/>
    </row>
    <row r="97" spans="2:9">
      <c r="B97" s="12"/>
      <c r="C97" s="9" t="s">
        <v>15</v>
      </c>
      <c r="D97" s="9" t="s">
        <v>730</v>
      </c>
      <c r="E97" s="9" t="s">
        <v>731</v>
      </c>
      <c r="F97" s="9" t="s">
        <v>732</v>
      </c>
      <c r="G97" s="7"/>
    </row>
    <row r="98" spans="2:9">
      <c r="B98" s="12"/>
      <c r="C98" s="9" t="s">
        <v>733</v>
      </c>
      <c r="D98" s="11" t="s">
        <v>16</v>
      </c>
      <c r="E98" s="9" t="s">
        <v>483</v>
      </c>
      <c r="F98" s="9" t="s">
        <v>482</v>
      </c>
    </row>
    <row r="99" spans="2:9">
      <c r="B99" s="12"/>
      <c r="C99" s="9" t="s">
        <v>744</v>
      </c>
      <c r="D99" s="11"/>
      <c r="F99" s="9" t="s">
        <v>734</v>
      </c>
    </row>
    <row r="100" spans="2:9">
      <c r="B100" s="12"/>
      <c r="C100" s="9" t="s">
        <v>735</v>
      </c>
      <c r="D100" s="11"/>
      <c r="F100" s="9" t="s">
        <v>470</v>
      </c>
    </row>
    <row r="101" spans="2:9">
      <c r="B101" s="12"/>
      <c r="C101" s="9" t="s">
        <v>763</v>
      </c>
      <c r="D101" s="11"/>
    </row>
    <row r="102" spans="2:9">
      <c r="B102" s="12"/>
      <c r="C102" s="9" t="s">
        <v>17</v>
      </c>
      <c r="D102" s="9" t="s">
        <v>730</v>
      </c>
      <c r="E102" s="9" t="s">
        <v>731</v>
      </c>
      <c r="F102" s="9" t="s">
        <v>732</v>
      </c>
      <c r="G102" s="7"/>
    </row>
    <row r="103" spans="2:9" ht="225">
      <c r="B103" s="12"/>
      <c r="C103" s="9" t="s">
        <v>733</v>
      </c>
      <c r="D103" s="11" t="s">
        <v>18</v>
      </c>
      <c r="E103" s="4" t="s">
        <v>484</v>
      </c>
      <c r="F103" s="9" t="s">
        <v>472</v>
      </c>
      <c r="I103" s="4"/>
    </row>
    <row r="104" spans="2:9">
      <c r="B104" s="12"/>
      <c r="C104" s="9" t="s">
        <v>742</v>
      </c>
      <c r="D104" s="11"/>
      <c r="F104" s="9" t="s">
        <v>734</v>
      </c>
    </row>
    <row r="105" spans="2:9">
      <c r="B105" s="12"/>
      <c r="C105" s="9" t="s">
        <v>735</v>
      </c>
      <c r="D105" s="11"/>
      <c r="F105" s="9" t="s">
        <v>470</v>
      </c>
    </row>
    <row r="106" spans="2:9">
      <c r="B106" s="12"/>
      <c r="C106" s="9" t="s">
        <v>760</v>
      </c>
      <c r="D106" s="11"/>
    </row>
    <row r="107" spans="2:9">
      <c r="B107" s="12"/>
      <c r="C107" s="9" t="s">
        <v>19</v>
      </c>
      <c r="D107" s="9" t="s">
        <v>730</v>
      </c>
      <c r="E107" s="9" t="s">
        <v>731</v>
      </c>
      <c r="F107" s="9" t="s">
        <v>732</v>
      </c>
      <c r="G107" s="7"/>
    </row>
    <row r="108" spans="2:9" ht="180">
      <c r="B108" s="12"/>
      <c r="C108" s="9" t="s">
        <v>733</v>
      </c>
      <c r="D108" s="11" t="s">
        <v>20</v>
      </c>
      <c r="E108" s="4" t="s">
        <v>485</v>
      </c>
      <c r="F108" s="9" t="s">
        <v>472</v>
      </c>
      <c r="I108" s="4"/>
    </row>
    <row r="109" spans="2:9">
      <c r="B109" s="12"/>
      <c r="C109" s="9" t="s">
        <v>742</v>
      </c>
      <c r="D109" s="11"/>
      <c r="F109" s="9" t="s">
        <v>734</v>
      </c>
    </row>
    <row r="110" spans="2:9">
      <c r="B110" s="12"/>
      <c r="C110" s="9" t="s">
        <v>735</v>
      </c>
      <c r="D110" s="11"/>
      <c r="F110" s="9" t="s">
        <v>470</v>
      </c>
    </row>
    <row r="111" spans="2:9">
      <c r="B111" s="12"/>
      <c r="C111" s="9" t="s">
        <v>764</v>
      </c>
      <c r="D111" s="11"/>
    </row>
    <row r="112" spans="2:9">
      <c r="B112" s="12"/>
      <c r="C112" s="9" t="s">
        <v>284</v>
      </c>
      <c r="D112" s="9" t="s">
        <v>730</v>
      </c>
      <c r="E112" s="9" t="s">
        <v>731</v>
      </c>
      <c r="F112" s="9" t="s">
        <v>732</v>
      </c>
      <c r="G112" s="7"/>
    </row>
    <row r="113" spans="2:9" ht="270">
      <c r="B113" s="12"/>
      <c r="C113" s="9" t="s">
        <v>733</v>
      </c>
      <c r="D113" s="11" t="s">
        <v>737</v>
      </c>
      <c r="E113" s="4" t="s">
        <v>486</v>
      </c>
      <c r="F113" s="9" t="s">
        <v>472</v>
      </c>
      <c r="I113" s="4"/>
    </row>
    <row r="114" spans="2:9">
      <c r="B114" s="12"/>
      <c r="C114" s="9" t="s">
        <v>737</v>
      </c>
      <c r="D114" s="11"/>
      <c r="F114" s="9" t="s">
        <v>734</v>
      </c>
    </row>
    <row r="115" spans="2:9">
      <c r="B115" s="12"/>
      <c r="C115" s="9" t="s">
        <v>735</v>
      </c>
      <c r="D115" s="11"/>
      <c r="F115" s="9" t="s">
        <v>470</v>
      </c>
    </row>
    <row r="116" spans="2:9">
      <c r="B116" s="12"/>
      <c r="C116" s="9" t="s">
        <v>765</v>
      </c>
      <c r="D116" s="11"/>
    </row>
    <row r="117" spans="2:9">
      <c r="B117" s="12"/>
      <c r="C117" s="9" t="s">
        <v>23</v>
      </c>
      <c r="D117" s="9" t="s">
        <v>730</v>
      </c>
      <c r="E117" s="9" t="s">
        <v>731</v>
      </c>
      <c r="F117" s="9" t="s">
        <v>732</v>
      </c>
      <c r="G117" s="7"/>
    </row>
    <row r="118" spans="2:9" ht="213.75">
      <c r="B118" s="12"/>
      <c r="C118" s="9" t="s">
        <v>733</v>
      </c>
      <c r="D118" s="11" t="s">
        <v>24</v>
      </c>
      <c r="E118" s="4" t="s">
        <v>487</v>
      </c>
      <c r="F118" s="9" t="s">
        <v>479</v>
      </c>
      <c r="I118" s="4"/>
    </row>
    <row r="119" spans="2:9">
      <c r="B119" s="12"/>
      <c r="C119" s="9" t="s">
        <v>738</v>
      </c>
      <c r="D119" s="11"/>
      <c r="F119" s="9" t="s">
        <v>734</v>
      </c>
    </row>
    <row r="120" spans="2:9">
      <c r="B120" s="12"/>
      <c r="C120" s="9" t="s">
        <v>735</v>
      </c>
      <c r="D120" s="11"/>
      <c r="F120" s="9" t="s">
        <v>470</v>
      </c>
    </row>
    <row r="121" spans="2:9">
      <c r="B121" s="12"/>
      <c r="C121" s="9" t="s">
        <v>766</v>
      </c>
      <c r="D121" s="11"/>
    </row>
    <row r="122" spans="2:9">
      <c r="B122" s="12"/>
      <c r="C122" s="9" t="s">
        <v>25</v>
      </c>
      <c r="D122" s="9" t="s">
        <v>730</v>
      </c>
      <c r="E122" s="9" t="s">
        <v>731</v>
      </c>
      <c r="F122" s="9" t="s">
        <v>732</v>
      </c>
      <c r="G122" s="7"/>
    </row>
    <row r="123" spans="2:9">
      <c r="B123" s="12"/>
      <c r="C123" s="9" t="s">
        <v>733</v>
      </c>
      <c r="D123" s="11" t="s">
        <v>26</v>
      </c>
      <c r="E123" s="9" t="s">
        <v>489</v>
      </c>
      <c r="F123" s="9" t="s">
        <v>488</v>
      </c>
      <c r="I123" s="4"/>
    </row>
    <row r="124" spans="2:9">
      <c r="B124" s="12"/>
      <c r="C124" s="9" t="s">
        <v>745</v>
      </c>
      <c r="D124" s="11"/>
      <c r="F124" s="9" t="s">
        <v>734</v>
      </c>
    </row>
    <row r="125" spans="2:9">
      <c r="B125" s="12"/>
      <c r="C125" s="9" t="s">
        <v>735</v>
      </c>
      <c r="D125" s="11"/>
      <c r="F125" s="9" t="s">
        <v>470</v>
      </c>
    </row>
    <row r="126" spans="2:9">
      <c r="B126" s="12"/>
      <c r="C126" s="9" t="s">
        <v>757</v>
      </c>
      <c r="D126" s="11"/>
    </row>
    <row r="127" spans="2:9">
      <c r="B127" s="12"/>
      <c r="C127" s="9" t="s">
        <v>27</v>
      </c>
      <c r="D127" s="9" t="s">
        <v>730</v>
      </c>
      <c r="E127" s="9" t="s">
        <v>731</v>
      </c>
      <c r="F127" s="9" t="s">
        <v>732</v>
      </c>
      <c r="G127" s="7"/>
    </row>
    <row r="128" spans="2:9">
      <c r="B128" s="12"/>
      <c r="C128" s="9" t="s">
        <v>733</v>
      </c>
      <c r="D128" s="11" t="s">
        <v>28</v>
      </c>
      <c r="E128" s="9" t="s">
        <v>490</v>
      </c>
      <c r="F128" s="9" t="s">
        <v>479</v>
      </c>
    </row>
    <row r="129" spans="2:9">
      <c r="B129" s="12"/>
      <c r="C129" s="9" t="s">
        <v>745</v>
      </c>
      <c r="D129" s="11"/>
      <c r="F129" s="9" t="s">
        <v>734</v>
      </c>
    </row>
    <row r="130" spans="2:9">
      <c r="B130" s="12"/>
      <c r="C130" s="9" t="s">
        <v>735</v>
      </c>
      <c r="D130" s="11"/>
      <c r="F130" s="9" t="s">
        <v>470</v>
      </c>
    </row>
    <row r="131" spans="2:9">
      <c r="B131" s="12"/>
      <c r="C131" s="9" t="s">
        <v>757</v>
      </c>
      <c r="D131" s="11"/>
    </row>
    <row r="132" spans="2:9">
      <c r="B132" s="12"/>
      <c r="C132" s="9" t="s">
        <v>29</v>
      </c>
      <c r="D132" s="9" t="s">
        <v>730</v>
      </c>
      <c r="E132" s="9" t="s">
        <v>731</v>
      </c>
      <c r="F132" s="9" t="s">
        <v>732</v>
      </c>
      <c r="G132" s="7"/>
    </row>
    <row r="133" spans="2:9" ht="191.25">
      <c r="B133" s="12"/>
      <c r="C133" s="9" t="s">
        <v>733</v>
      </c>
      <c r="D133" s="11" t="s">
        <v>30</v>
      </c>
      <c r="E133" s="4" t="s">
        <v>491</v>
      </c>
      <c r="F133" s="9" t="s">
        <v>469</v>
      </c>
      <c r="I133" s="4"/>
    </row>
    <row r="134" spans="2:9">
      <c r="B134" s="12"/>
      <c r="C134" s="9" t="s">
        <v>736</v>
      </c>
      <c r="D134" s="11"/>
      <c r="F134" s="9" t="s">
        <v>734</v>
      </c>
    </row>
    <row r="135" spans="2:9">
      <c r="B135" s="12"/>
      <c r="C135" s="9" t="s">
        <v>735</v>
      </c>
      <c r="D135" s="11"/>
      <c r="F135" s="9" t="s">
        <v>470</v>
      </c>
    </row>
    <row r="136" spans="2:9">
      <c r="B136" s="12"/>
      <c r="C136" s="9" t="s">
        <v>760</v>
      </c>
      <c r="D136" s="11"/>
    </row>
    <row r="137" spans="2:9">
      <c r="B137" s="12"/>
      <c r="C137" s="9" t="s">
        <v>273</v>
      </c>
      <c r="D137" s="9" t="s">
        <v>730</v>
      </c>
      <c r="E137" s="9" t="s">
        <v>731</v>
      </c>
      <c r="F137" s="9" t="s">
        <v>732</v>
      </c>
      <c r="G137" s="7"/>
    </row>
    <row r="138" spans="2:9" ht="213.75">
      <c r="B138" s="12"/>
      <c r="C138" s="9" t="s">
        <v>733</v>
      </c>
      <c r="D138" s="11" t="s">
        <v>737</v>
      </c>
      <c r="E138" s="4" t="s">
        <v>493</v>
      </c>
      <c r="F138" s="9" t="s">
        <v>492</v>
      </c>
      <c r="I138" s="4"/>
    </row>
    <row r="139" spans="2:9">
      <c r="B139" s="12"/>
      <c r="C139" s="9" t="s">
        <v>737</v>
      </c>
      <c r="D139" s="11"/>
      <c r="F139" s="9" t="s">
        <v>734</v>
      </c>
    </row>
    <row r="140" spans="2:9">
      <c r="B140" s="12"/>
      <c r="C140" s="9" t="s">
        <v>735</v>
      </c>
      <c r="D140" s="11"/>
      <c r="F140" s="9" t="s">
        <v>470</v>
      </c>
    </row>
    <row r="141" spans="2:9">
      <c r="B141" s="12"/>
      <c r="C141" s="9" t="s">
        <v>750</v>
      </c>
      <c r="D141" s="11"/>
    </row>
    <row r="142" spans="2:9">
      <c r="B142" s="12"/>
      <c r="C142" s="9" t="s">
        <v>33</v>
      </c>
      <c r="D142" s="9" t="s">
        <v>730</v>
      </c>
      <c r="E142" s="9" t="s">
        <v>731</v>
      </c>
      <c r="F142" s="9" t="s">
        <v>732</v>
      </c>
      <c r="G142" s="7"/>
    </row>
    <row r="143" spans="2:9" ht="67.5">
      <c r="B143" s="12"/>
      <c r="C143" s="9" t="s">
        <v>733</v>
      </c>
      <c r="D143" s="11" t="s">
        <v>34</v>
      </c>
      <c r="E143" s="4" t="s">
        <v>494</v>
      </c>
      <c r="F143" s="9" t="s">
        <v>479</v>
      </c>
      <c r="I143" s="4"/>
    </row>
    <row r="144" spans="2:9">
      <c r="B144" s="12"/>
      <c r="C144" s="9" t="s">
        <v>736</v>
      </c>
      <c r="D144" s="11"/>
      <c r="F144" s="9" t="s">
        <v>734</v>
      </c>
    </row>
    <row r="145" spans="2:7">
      <c r="B145" s="12"/>
      <c r="C145" s="9" t="s">
        <v>735</v>
      </c>
      <c r="D145" s="11"/>
      <c r="F145" s="9" t="s">
        <v>470</v>
      </c>
    </row>
    <row r="146" spans="2:7">
      <c r="B146" s="12"/>
      <c r="C146" s="9" t="s">
        <v>736</v>
      </c>
      <c r="D146" s="11"/>
    </row>
    <row r="147" spans="2:7">
      <c r="B147" s="12"/>
      <c r="C147" s="9" t="s">
        <v>35</v>
      </c>
      <c r="D147" s="9" t="s">
        <v>730</v>
      </c>
      <c r="E147" s="9" t="s">
        <v>731</v>
      </c>
      <c r="F147" s="9" t="s">
        <v>732</v>
      </c>
      <c r="G147" s="7"/>
    </row>
    <row r="148" spans="2:7" ht="67.5">
      <c r="B148" s="12"/>
      <c r="C148" s="9" t="s">
        <v>733</v>
      </c>
      <c r="D148" s="11" t="s">
        <v>36</v>
      </c>
      <c r="E148" s="4" t="s">
        <v>495</v>
      </c>
      <c r="F148" s="9" t="s">
        <v>469</v>
      </c>
    </row>
    <row r="149" spans="2:7">
      <c r="B149" s="12"/>
      <c r="C149" s="9" t="s">
        <v>738</v>
      </c>
      <c r="D149" s="11"/>
      <c r="F149" s="9" t="s">
        <v>734</v>
      </c>
    </row>
    <row r="150" spans="2:7">
      <c r="B150" s="12"/>
      <c r="C150" s="9" t="s">
        <v>735</v>
      </c>
      <c r="D150" s="11"/>
      <c r="F150" s="9" t="s">
        <v>470</v>
      </c>
    </row>
    <row r="151" spans="2:7">
      <c r="B151" s="12"/>
      <c r="C151" s="9" t="s">
        <v>757</v>
      </c>
      <c r="D151" s="11"/>
    </row>
    <row r="152" spans="2:7">
      <c r="B152" s="12"/>
      <c r="C152" s="9" t="s">
        <v>37</v>
      </c>
      <c r="D152" s="9" t="s">
        <v>730</v>
      </c>
      <c r="E152" s="9" t="s">
        <v>731</v>
      </c>
      <c r="F152" s="9" t="s">
        <v>732</v>
      </c>
      <c r="G152" s="7"/>
    </row>
    <row r="153" spans="2:7">
      <c r="B153" s="12"/>
      <c r="C153" s="9" t="s">
        <v>733</v>
      </c>
      <c r="D153" s="11" t="s">
        <v>38</v>
      </c>
      <c r="E153" s="9" t="s">
        <v>496</v>
      </c>
      <c r="F153" s="9" t="s">
        <v>472</v>
      </c>
    </row>
    <row r="154" spans="2:7">
      <c r="B154" s="12"/>
      <c r="C154" s="9" t="s">
        <v>742</v>
      </c>
      <c r="D154" s="11"/>
      <c r="F154" s="9" t="s">
        <v>734</v>
      </c>
    </row>
    <row r="155" spans="2:7">
      <c r="B155" s="12"/>
      <c r="C155" s="9" t="s">
        <v>735</v>
      </c>
      <c r="D155" s="11"/>
      <c r="F155" s="9" t="s">
        <v>470</v>
      </c>
    </row>
    <row r="156" spans="2:7">
      <c r="B156" s="12"/>
      <c r="C156" s="9" t="s">
        <v>757</v>
      </c>
      <c r="D156" s="11"/>
    </row>
    <row r="157" spans="2:7">
      <c r="B157" s="12"/>
      <c r="C157" s="9" t="s">
        <v>39</v>
      </c>
      <c r="D157" s="9" t="s">
        <v>730</v>
      </c>
      <c r="E157" s="9" t="s">
        <v>731</v>
      </c>
      <c r="F157" s="9" t="s">
        <v>732</v>
      </c>
      <c r="G157" s="7"/>
    </row>
    <row r="158" spans="2:7" ht="22.5">
      <c r="B158" s="12"/>
      <c r="C158" s="9" t="s">
        <v>733</v>
      </c>
      <c r="D158" s="11" t="s">
        <v>40</v>
      </c>
      <c r="E158" s="4" t="s">
        <v>497</v>
      </c>
      <c r="F158" s="9" t="s">
        <v>472</v>
      </c>
    </row>
    <row r="159" spans="2:7">
      <c r="B159" s="12"/>
      <c r="C159" s="9" t="s">
        <v>736</v>
      </c>
      <c r="D159" s="11"/>
      <c r="F159" s="9" t="s">
        <v>734</v>
      </c>
    </row>
    <row r="160" spans="2:7">
      <c r="B160" s="12"/>
      <c r="C160" s="9" t="s">
        <v>735</v>
      </c>
      <c r="D160" s="11"/>
      <c r="F160" s="9" t="s">
        <v>470</v>
      </c>
    </row>
    <row r="161" spans="2:9">
      <c r="B161" s="12"/>
      <c r="C161" s="9" t="s">
        <v>767</v>
      </c>
      <c r="D161" s="11"/>
    </row>
    <row r="162" spans="2:9">
      <c r="B162" s="12"/>
      <c r="C162" s="9" t="s">
        <v>283</v>
      </c>
      <c r="D162" s="9" t="s">
        <v>730</v>
      </c>
      <c r="E162" s="9" t="s">
        <v>731</v>
      </c>
      <c r="F162" s="9" t="s">
        <v>732</v>
      </c>
      <c r="G162" s="7"/>
    </row>
    <row r="163" spans="2:9" ht="135">
      <c r="B163" s="12"/>
      <c r="C163" s="9" t="s">
        <v>733</v>
      </c>
      <c r="D163" s="11" t="s">
        <v>737</v>
      </c>
      <c r="E163" s="4" t="s">
        <v>498</v>
      </c>
      <c r="F163" s="9" t="s">
        <v>469</v>
      </c>
      <c r="I163" s="4"/>
    </row>
    <row r="164" spans="2:9">
      <c r="B164" s="12"/>
      <c r="C164" s="9" t="s">
        <v>737</v>
      </c>
      <c r="D164" s="11"/>
      <c r="F164" s="9" t="s">
        <v>734</v>
      </c>
    </row>
    <row r="165" spans="2:9">
      <c r="B165" s="12"/>
      <c r="C165" s="9" t="s">
        <v>735</v>
      </c>
      <c r="D165" s="11"/>
      <c r="F165" s="9" t="s">
        <v>470</v>
      </c>
    </row>
    <row r="166" spans="2:9">
      <c r="B166" s="12"/>
      <c r="C166" s="9" t="s">
        <v>766</v>
      </c>
      <c r="D166" s="11"/>
    </row>
    <row r="167" spans="2:9">
      <c r="B167" s="12"/>
      <c r="C167" s="9" t="s">
        <v>43</v>
      </c>
      <c r="D167" s="9" t="s">
        <v>730</v>
      </c>
      <c r="E167" s="9" t="s">
        <v>731</v>
      </c>
      <c r="F167" s="9" t="s">
        <v>732</v>
      </c>
      <c r="G167" s="7"/>
    </row>
    <row r="168" spans="2:9" ht="112.5">
      <c r="B168" s="12"/>
      <c r="C168" s="9" t="s">
        <v>733</v>
      </c>
      <c r="D168" s="11" t="s">
        <v>44</v>
      </c>
      <c r="E168" s="4" t="s">
        <v>499</v>
      </c>
      <c r="F168" s="9" t="s">
        <v>469</v>
      </c>
      <c r="I168" s="4"/>
    </row>
    <row r="169" spans="2:9">
      <c r="B169" s="12"/>
      <c r="C169" s="9" t="s">
        <v>745</v>
      </c>
      <c r="D169" s="11"/>
      <c r="F169" s="9" t="s">
        <v>734</v>
      </c>
    </row>
    <row r="170" spans="2:9">
      <c r="B170" s="12"/>
      <c r="C170" s="9" t="s">
        <v>735</v>
      </c>
      <c r="D170" s="11"/>
      <c r="F170" s="9" t="s">
        <v>470</v>
      </c>
    </row>
    <row r="171" spans="2:9">
      <c r="B171" s="12"/>
      <c r="C171" s="9" t="s">
        <v>736</v>
      </c>
      <c r="D171" s="11"/>
    </row>
    <row r="172" spans="2:9">
      <c r="B172" s="12"/>
      <c r="C172" s="9" t="s">
        <v>45</v>
      </c>
      <c r="D172" s="9" t="s">
        <v>730</v>
      </c>
      <c r="E172" s="9" t="s">
        <v>731</v>
      </c>
      <c r="F172" s="9" t="s">
        <v>732</v>
      </c>
      <c r="G172" s="7"/>
    </row>
    <row r="173" spans="2:9" ht="213.75">
      <c r="B173" s="12"/>
      <c r="C173" s="9" t="s">
        <v>733</v>
      </c>
      <c r="D173" s="11" t="s">
        <v>46</v>
      </c>
      <c r="E173" s="4" t="s">
        <v>500</v>
      </c>
      <c r="F173" s="9" t="s">
        <v>469</v>
      </c>
      <c r="I173" s="4"/>
    </row>
    <row r="174" spans="2:9">
      <c r="B174" s="12"/>
      <c r="C174" s="9" t="s">
        <v>736</v>
      </c>
      <c r="D174" s="11"/>
      <c r="F174" s="9" t="s">
        <v>734</v>
      </c>
    </row>
    <row r="175" spans="2:9">
      <c r="B175" s="12"/>
      <c r="C175" s="9" t="s">
        <v>735</v>
      </c>
      <c r="D175" s="11"/>
      <c r="F175" s="9" t="s">
        <v>470</v>
      </c>
    </row>
    <row r="176" spans="2:9">
      <c r="B176" s="12"/>
      <c r="C176" s="9" t="s">
        <v>736</v>
      </c>
      <c r="D176" s="11"/>
    </row>
    <row r="177" spans="2:9">
      <c r="B177" s="12"/>
      <c r="C177" s="9" t="s">
        <v>47</v>
      </c>
      <c r="D177" s="9" t="s">
        <v>730</v>
      </c>
      <c r="E177" s="9" t="s">
        <v>731</v>
      </c>
      <c r="F177" s="9" t="s">
        <v>732</v>
      </c>
      <c r="G177" s="7"/>
    </row>
    <row r="178" spans="2:9" ht="22.5">
      <c r="B178" s="12"/>
      <c r="C178" s="9" t="s">
        <v>733</v>
      </c>
      <c r="D178" s="11" t="s">
        <v>48</v>
      </c>
      <c r="E178" s="4" t="s">
        <v>501</v>
      </c>
      <c r="F178" s="9" t="s">
        <v>469</v>
      </c>
      <c r="I178" s="4"/>
    </row>
    <row r="179" spans="2:9">
      <c r="B179" s="12"/>
      <c r="C179" s="9" t="s">
        <v>736</v>
      </c>
      <c r="D179" s="11"/>
      <c r="F179" s="9" t="s">
        <v>734</v>
      </c>
    </row>
    <row r="180" spans="2:9">
      <c r="B180" s="12"/>
      <c r="C180" s="9" t="s">
        <v>735</v>
      </c>
      <c r="D180" s="11"/>
      <c r="F180" s="9" t="s">
        <v>470</v>
      </c>
    </row>
    <row r="181" spans="2:9">
      <c r="B181" s="12"/>
      <c r="C181" s="9" t="s">
        <v>768</v>
      </c>
      <c r="D181" s="11"/>
    </row>
    <row r="182" spans="2:9">
      <c r="B182" s="12"/>
      <c r="C182" s="9" t="s">
        <v>49</v>
      </c>
      <c r="D182" s="9" t="s">
        <v>730</v>
      </c>
      <c r="E182" s="9" t="s">
        <v>731</v>
      </c>
      <c r="F182" s="9" t="s">
        <v>732</v>
      </c>
      <c r="G182" s="7"/>
    </row>
    <row r="183" spans="2:9" ht="168.75">
      <c r="B183" s="12"/>
      <c r="C183" s="9" t="s">
        <v>733</v>
      </c>
      <c r="D183" s="11" t="s">
        <v>50</v>
      </c>
      <c r="E183" s="4" t="s">
        <v>502</v>
      </c>
      <c r="F183" s="9" t="s">
        <v>474</v>
      </c>
      <c r="I183" s="4"/>
    </row>
    <row r="184" spans="2:9">
      <c r="B184" s="12"/>
      <c r="C184" s="9" t="s">
        <v>736</v>
      </c>
      <c r="D184" s="11"/>
      <c r="F184" s="9" t="s">
        <v>734</v>
      </c>
    </row>
    <row r="185" spans="2:9">
      <c r="B185" s="12"/>
      <c r="C185" s="9" t="s">
        <v>735</v>
      </c>
      <c r="D185" s="11"/>
      <c r="F185" s="9" t="s">
        <v>470</v>
      </c>
    </row>
    <row r="186" spans="2:9">
      <c r="B186" s="12"/>
      <c r="C186" s="9" t="s">
        <v>769</v>
      </c>
      <c r="D186" s="11"/>
    </row>
    <row r="187" spans="2:9">
      <c r="B187" s="12"/>
      <c r="C187" s="9" t="s">
        <v>305</v>
      </c>
      <c r="D187" s="9" t="s">
        <v>730</v>
      </c>
      <c r="E187" s="9" t="s">
        <v>731</v>
      </c>
      <c r="F187" s="9" t="s">
        <v>732</v>
      </c>
      <c r="G187" s="7"/>
    </row>
    <row r="188" spans="2:9" ht="45">
      <c r="B188" s="12"/>
      <c r="C188" s="9" t="s">
        <v>733</v>
      </c>
      <c r="D188" s="11" t="s">
        <v>737</v>
      </c>
      <c r="E188" s="4" t="s">
        <v>503</v>
      </c>
      <c r="F188" s="9" t="s">
        <v>469</v>
      </c>
      <c r="I188" s="4"/>
    </row>
    <row r="189" spans="2:9">
      <c r="B189" s="12"/>
      <c r="C189" s="9" t="s">
        <v>737</v>
      </c>
      <c r="D189" s="11"/>
      <c r="F189" s="9" t="s">
        <v>734</v>
      </c>
    </row>
    <row r="190" spans="2:9">
      <c r="B190" s="12"/>
      <c r="C190" s="9" t="s">
        <v>735</v>
      </c>
      <c r="D190" s="11"/>
      <c r="F190" s="9" t="s">
        <v>470</v>
      </c>
    </row>
    <row r="191" spans="2:9">
      <c r="B191" s="12"/>
      <c r="C191" s="9" t="s">
        <v>736</v>
      </c>
      <c r="D191" s="11"/>
    </row>
    <row r="192" spans="2:9">
      <c r="B192" s="12"/>
      <c r="C192" s="9" t="s">
        <v>51</v>
      </c>
      <c r="D192" s="9" t="s">
        <v>730</v>
      </c>
      <c r="E192" s="9" t="s">
        <v>731</v>
      </c>
      <c r="F192" s="9" t="s">
        <v>732</v>
      </c>
      <c r="G192" s="7"/>
    </row>
    <row r="193" spans="2:9" ht="225">
      <c r="B193" s="12"/>
      <c r="C193" s="9" t="s">
        <v>733</v>
      </c>
      <c r="D193" s="11" t="s">
        <v>52</v>
      </c>
      <c r="E193" s="4" t="s">
        <v>504</v>
      </c>
      <c r="F193" s="9" t="s">
        <v>479</v>
      </c>
      <c r="I193" s="4"/>
    </row>
    <row r="194" spans="2:9">
      <c r="B194" s="12"/>
      <c r="C194" s="9" t="s">
        <v>740</v>
      </c>
      <c r="D194" s="11"/>
      <c r="F194" s="9" t="s">
        <v>734</v>
      </c>
    </row>
    <row r="195" spans="2:9">
      <c r="B195" s="12"/>
      <c r="C195" s="9" t="s">
        <v>735</v>
      </c>
      <c r="D195" s="11"/>
      <c r="F195" s="9" t="s">
        <v>470</v>
      </c>
    </row>
    <row r="196" spans="2:9">
      <c r="B196" s="12"/>
      <c r="C196" s="9" t="s">
        <v>770</v>
      </c>
      <c r="D196" s="11"/>
    </row>
    <row r="197" spans="2:9">
      <c r="B197" s="12"/>
      <c r="C197" s="9" t="s">
        <v>53</v>
      </c>
      <c r="D197" s="9" t="s">
        <v>730</v>
      </c>
      <c r="E197" s="9" t="s">
        <v>731</v>
      </c>
      <c r="F197" s="9" t="s">
        <v>732</v>
      </c>
      <c r="G197" s="7"/>
    </row>
    <row r="198" spans="2:9" ht="123.75">
      <c r="B198" s="12"/>
      <c r="C198" s="9" t="s">
        <v>733</v>
      </c>
      <c r="D198" s="11" t="s">
        <v>54</v>
      </c>
      <c r="E198" s="4" t="s">
        <v>505</v>
      </c>
      <c r="F198" s="9" t="s">
        <v>469</v>
      </c>
      <c r="I198" s="4"/>
    </row>
    <row r="199" spans="2:9">
      <c r="B199" s="12"/>
      <c r="C199" s="9" t="s">
        <v>740</v>
      </c>
      <c r="D199" s="11"/>
      <c r="F199" s="9" t="s">
        <v>734</v>
      </c>
    </row>
    <row r="200" spans="2:9">
      <c r="B200" s="12"/>
      <c r="C200" s="9" t="s">
        <v>735</v>
      </c>
      <c r="D200" s="11"/>
      <c r="F200" s="9" t="s">
        <v>470</v>
      </c>
    </row>
    <row r="201" spans="2:9">
      <c r="B201" s="12"/>
      <c r="C201" s="9" t="s">
        <v>771</v>
      </c>
      <c r="D201" s="11"/>
    </row>
    <row r="202" spans="2:9">
      <c r="B202" s="12"/>
      <c r="C202" s="9" t="s">
        <v>55</v>
      </c>
      <c r="D202" s="9" t="s">
        <v>730</v>
      </c>
      <c r="E202" s="9" t="s">
        <v>731</v>
      </c>
      <c r="F202" s="9" t="s">
        <v>732</v>
      </c>
      <c r="G202" s="7"/>
    </row>
    <row r="203" spans="2:9" ht="191.25">
      <c r="B203" s="12"/>
      <c r="C203" s="9" t="s">
        <v>733</v>
      </c>
      <c r="D203" s="11" t="s">
        <v>56</v>
      </c>
      <c r="E203" s="4" t="s">
        <v>507</v>
      </c>
      <c r="F203" s="9" t="s">
        <v>506</v>
      </c>
      <c r="I203" s="4"/>
    </row>
    <row r="204" spans="2:9">
      <c r="B204" s="12"/>
      <c r="C204" s="9" t="s">
        <v>744</v>
      </c>
      <c r="D204" s="11"/>
      <c r="F204" s="9" t="s">
        <v>734</v>
      </c>
    </row>
    <row r="205" spans="2:9">
      <c r="B205" s="12"/>
      <c r="C205" s="9" t="s">
        <v>735</v>
      </c>
      <c r="D205" s="11"/>
      <c r="F205" s="9" t="s">
        <v>470</v>
      </c>
    </row>
    <row r="206" spans="2:9">
      <c r="B206" s="12"/>
      <c r="C206" s="9" t="s">
        <v>769</v>
      </c>
      <c r="D206" s="11"/>
    </row>
    <row r="207" spans="2:9">
      <c r="B207" s="12"/>
      <c r="C207" s="9" t="s">
        <v>57</v>
      </c>
      <c r="D207" s="9" t="s">
        <v>730</v>
      </c>
      <c r="E207" s="9" t="s">
        <v>731</v>
      </c>
      <c r="F207" s="9" t="s">
        <v>732</v>
      </c>
      <c r="G207" s="7"/>
    </row>
    <row r="208" spans="2:9" ht="33.75">
      <c r="B208" s="12"/>
      <c r="C208" s="9" t="s">
        <v>733</v>
      </c>
      <c r="D208" s="11" t="s">
        <v>58</v>
      </c>
      <c r="E208" s="4" t="s">
        <v>508</v>
      </c>
      <c r="F208" s="9" t="s">
        <v>469</v>
      </c>
      <c r="I208" s="4"/>
    </row>
    <row r="209" spans="2:9">
      <c r="B209" s="12"/>
      <c r="C209" s="9" t="s">
        <v>740</v>
      </c>
      <c r="D209" s="11"/>
      <c r="F209" s="9" t="s">
        <v>734</v>
      </c>
    </row>
    <row r="210" spans="2:9">
      <c r="B210" s="12"/>
      <c r="C210" s="9" t="s">
        <v>735</v>
      </c>
      <c r="D210" s="11"/>
      <c r="F210" s="9" t="s">
        <v>470</v>
      </c>
    </row>
    <row r="211" spans="2:9">
      <c r="B211" s="12"/>
      <c r="C211" s="9" t="s">
        <v>753</v>
      </c>
      <c r="D211" s="11"/>
    </row>
    <row r="212" spans="2:9">
      <c r="B212" s="12"/>
      <c r="C212" s="9" t="s">
        <v>59</v>
      </c>
      <c r="D212" s="9" t="s">
        <v>730</v>
      </c>
      <c r="E212" s="9" t="s">
        <v>731</v>
      </c>
      <c r="F212" s="9" t="s">
        <v>732</v>
      </c>
      <c r="G212" s="7"/>
    </row>
    <row r="213" spans="2:9" ht="56.25">
      <c r="B213" s="12"/>
      <c r="C213" s="9" t="s">
        <v>733</v>
      </c>
      <c r="D213" s="11" t="s">
        <v>60</v>
      </c>
      <c r="E213" s="4" t="s">
        <v>509</v>
      </c>
      <c r="F213" s="9" t="s">
        <v>479</v>
      </c>
    </row>
    <row r="214" spans="2:9">
      <c r="B214" s="12"/>
      <c r="C214" s="9" t="s">
        <v>742</v>
      </c>
      <c r="D214" s="11"/>
      <c r="F214" s="9" t="s">
        <v>734</v>
      </c>
    </row>
    <row r="215" spans="2:9">
      <c r="B215" s="12"/>
      <c r="C215" s="9" t="s">
        <v>735</v>
      </c>
      <c r="D215" s="11"/>
      <c r="F215" s="9" t="s">
        <v>470</v>
      </c>
    </row>
    <row r="216" spans="2:9">
      <c r="B216" s="12"/>
      <c r="C216" s="9" t="s">
        <v>736</v>
      </c>
      <c r="D216" s="11"/>
    </row>
    <row r="217" spans="2:9">
      <c r="B217" s="12"/>
      <c r="C217" s="9" t="s">
        <v>61</v>
      </c>
      <c r="D217" s="9" t="s">
        <v>730</v>
      </c>
      <c r="E217" s="9" t="s">
        <v>731</v>
      </c>
      <c r="F217" s="9" t="s">
        <v>732</v>
      </c>
      <c r="G217" s="7"/>
    </row>
    <row r="218" spans="2:9" ht="56.25">
      <c r="B218" s="12"/>
      <c r="C218" s="9" t="s">
        <v>733</v>
      </c>
      <c r="D218" s="11" t="s">
        <v>62</v>
      </c>
      <c r="E218" s="4" t="s">
        <v>510</v>
      </c>
      <c r="F218" s="9" t="s">
        <v>469</v>
      </c>
    </row>
    <row r="219" spans="2:9">
      <c r="B219" s="12"/>
      <c r="C219" s="9" t="s">
        <v>742</v>
      </c>
      <c r="D219" s="11"/>
      <c r="F219" s="9" t="s">
        <v>734</v>
      </c>
    </row>
    <row r="220" spans="2:9">
      <c r="B220" s="12"/>
      <c r="C220" s="9" t="s">
        <v>735</v>
      </c>
      <c r="D220" s="11"/>
      <c r="F220" s="9" t="s">
        <v>470</v>
      </c>
    </row>
    <row r="221" spans="2:9">
      <c r="B221" s="12"/>
      <c r="C221" s="9" t="s">
        <v>757</v>
      </c>
      <c r="D221" s="11"/>
    </row>
    <row r="222" spans="2:9">
      <c r="B222" s="12"/>
      <c r="C222" s="9" t="s">
        <v>63</v>
      </c>
      <c r="D222" s="9" t="s">
        <v>730</v>
      </c>
      <c r="E222" s="9" t="s">
        <v>731</v>
      </c>
      <c r="F222" s="9" t="s">
        <v>732</v>
      </c>
      <c r="G222" s="7"/>
    </row>
    <row r="223" spans="2:9" ht="123.75">
      <c r="B223" s="12"/>
      <c r="C223" s="9" t="s">
        <v>733</v>
      </c>
      <c r="D223" s="11" t="s">
        <v>64</v>
      </c>
      <c r="E223" s="4" t="s">
        <v>511</v>
      </c>
      <c r="F223" s="9" t="s">
        <v>482</v>
      </c>
      <c r="I223" s="4"/>
    </row>
    <row r="224" spans="2:9">
      <c r="B224" s="12"/>
      <c r="C224" s="9" t="s">
        <v>738</v>
      </c>
      <c r="D224" s="11"/>
      <c r="F224" s="9" t="s">
        <v>734</v>
      </c>
    </row>
    <row r="225" spans="2:9">
      <c r="B225" s="12"/>
      <c r="C225" s="9" t="s">
        <v>735</v>
      </c>
      <c r="D225" s="11"/>
      <c r="F225" s="9" t="s">
        <v>470</v>
      </c>
    </row>
    <row r="226" spans="2:9">
      <c r="B226" s="12"/>
      <c r="C226" s="9" t="s">
        <v>772</v>
      </c>
      <c r="D226" s="11"/>
    </row>
    <row r="227" spans="2:9">
      <c r="B227" s="12"/>
      <c r="C227" s="9" t="s">
        <v>65</v>
      </c>
      <c r="D227" s="9" t="s">
        <v>730</v>
      </c>
      <c r="E227" s="9" t="s">
        <v>731</v>
      </c>
      <c r="F227" s="9" t="s">
        <v>732</v>
      </c>
      <c r="G227" s="7"/>
    </row>
    <row r="228" spans="2:9" ht="135">
      <c r="B228" s="12"/>
      <c r="C228" s="9" t="s">
        <v>733</v>
      </c>
      <c r="D228" s="11" t="s">
        <v>66</v>
      </c>
      <c r="E228" s="4" t="s">
        <v>512</v>
      </c>
      <c r="F228" s="9" t="s">
        <v>472</v>
      </c>
      <c r="I228" s="4"/>
    </row>
    <row r="229" spans="2:9">
      <c r="B229" s="12"/>
      <c r="C229" s="9" t="s">
        <v>740</v>
      </c>
      <c r="D229" s="11"/>
      <c r="F229" s="9" t="s">
        <v>734</v>
      </c>
    </row>
    <row r="230" spans="2:9">
      <c r="B230" s="12"/>
      <c r="C230" s="9" t="s">
        <v>735</v>
      </c>
      <c r="D230" s="11"/>
      <c r="F230" s="9" t="s">
        <v>470</v>
      </c>
    </row>
    <row r="231" spans="2:9">
      <c r="B231" s="12"/>
      <c r="C231" s="9" t="s">
        <v>750</v>
      </c>
      <c r="D231" s="11"/>
    </row>
    <row r="232" spans="2:9">
      <c r="B232" s="12"/>
      <c r="C232" s="9" t="s">
        <v>277</v>
      </c>
      <c r="D232" s="9" t="s">
        <v>730</v>
      </c>
      <c r="E232" s="9" t="s">
        <v>731</v>
      </c>
      <c r="F232" s="9" t="s">
        <v>732</v>
      </c>
      <c r="G232" s="7"/>
    </row>
    <row r="233" spans="2:9" ht="168.75">
      <c r="B233" s="12"/>
      <c r="C233" s="9" t="s">
        <v>733</v>
      </c>
      <c r="D233" s="11" t="s">
        <v>737</v>
      </c>
      <c r="E233" s="4" t="s">
        <v>514</v>
      </c>
      <c r="F233" s="9" t="s">
        <v>513</v>
      </c>
      <c r="I233" s="4"/>
    </row>
    <row r="234" spans="2:9">
      <c r="B234" s="12"/>
      <c r="C234" s="9" t="s">
        <v>737</v>
      </c>
      <c r="D234" s="11"/>
      <c r="F234" s="9" t="s">
        <v>734</v>
      </c>
    </row>
    <row r="235" spans="2:9">
      <c r="B235" s="12"/>
      <c r="C235" s="9" t="s">
        <v>735</v>
      </c>
      <c r="D235" s="11"/>
      <c r="F235" s="9" t="s">
        <v>470</v>
      </c>
    </row>
    <row r="236" spans="2:9">
      <c r="B236" s="12"/>
      <c r="C236" s="9" t="s">
        <v>761</v>
      </c>
      <c r="D236" s="11"/>
    </row>
    <row r="237" spans="2:9">
      <c r="B237" s="12"/>
      <c r="C237" s="9" t="s">
        <v>70</v>
      </c>
      <c r="D237" s="9" t="s">
        <v>730</v>
      </c>
      <c r="E237" s="9" t="s">
        <v>731</v>
      </c>
      <c r="F237" s="9" t="s">
        <v>732</v>
      </c>
      <c r="G237" s="7"/>
    </row>
    <row r="238" spans="2:9" ht="67.5">
      <c r="B238" s="12"/>
      <c r="C238" s="9" t="s">
        <v>733</v>
      </c>
      <c r="D238" s="11" t="s">
        <v>71</v>
      </c>
      <c r="E238" s="4" t="s">
        <v>515</v>
      </c>
      <c r="F238" s="9" t="s">
        <v>506</v>
      </c>
      <c r="I238" s="4"/>
    </row>
    <row r="239" spans="2:9">
      <c r="B239" s="12"/>
      <c r="C239" s="9" t="s">
        <v>736</v>
      </c>
      <c r="D239" s="11"/>
      <c r="F239" s="9" t="s">
        <v>734</v>
      </c>
    </row>
    <row r="240" spans="2:9">
      <c r="B240" s="12"/>
      <c r="C240" s="9" t="s">
        <v>735</v>
      </c>
      <c r="D240" s="11"/>
      <c r="F240" s="9" t="s">
        <v>470</v>
      </c>
    </row>
    <row r="241" spans="2:9">
      <c r="B241" s="12"/>
      <c r="C241" s="9" t="s">
        <v>736</v>
      </c>
      <c r="D241" s="11"/>
    </row>
    <row r="242" spans="2:9">
      <c r="B242" s="12"/>
      <c r="C242" s="9" t="s">
        <v>72</v>
      </c>
      <c r="D242" s="9" t="s">
        <v>730</v>
      </c>
      <c r="E242" s="9" t="s">
        <v>731</v>
      </c>
      <c r="F242" s="9" t="s">
        <v>732</v>
      </c>
      <c r="G242" s="7"/>
    </row>
    <row r="243" spans="2:9" ht="135">
      <c r="B243" s="12"/>
      <c r="C243" s="9" t="s">
        <v>733</v>
      </c>
      <c r="D243" s="11" t="s">
        <v>73</v>
      </c>
      <c r="E243" s="4" t="s">
        <v>518</v>
      </c>
      <c r="F243" s="9" t="s">
        <v>516</v>
      </c>
      <c r="I243" s="4"/>
    </row>
    <row r="244" spans="2:9">
      <c r="B244" s="12"/>
      <c r="C244" s="9" t="s">
        <v>740</v>
      </c>
      <c r="D244" s="11"/>
      <c r="F244" s="9" t="s">
        <v>734</v>
      </c>
    </row>
    <row r="245" spans="2:9">
      <c r="B245" s="12"/>
      <c r="C245" s="9" t="s">
        <v>735</v>
      </c>
      <c r="D245" s="11"/>
      <c r="F245" s="9" t="s">
        <v>517</v>
      </c>
    </row>
    <row r="246" spans="2:9">
      <c r="B246" s="12"/>
      <c r="C246" s="9" t="s">
        <v>773</v>
      </c>
      <c r="D246" s="11"/>
    </row>
    <row r="247" spans="2:9">
      <c r="B247" s="12"/>
      <c r="C247" s="9" t="s">
        <v>74</v>
      </c>
      <c r="D247" s="9" t="s">
        <v>730</v>
      </c>
      <c r="E247" s="9" t="s">
        <v>731</v>
      </c>
      <c r="F247" s="9" t="s">
        <v>732</v>
      </c>
      <c r="G247" s="7"/>
    </row>
    <row r="248" spans="2:9" ht="225">
      <c r="B248" s="12"/>
      <c r="C248" s="9" t="s">
        <v>733</v>
      </c>
      <c r="D248" s="11" t="s">
        <v>75</v>
      </c>
      <c r="E248" s="4" t="s">
        <v>520</v>
      </c>
      <c r="F248" s="9" t="s">
        <v>519</v>
      </c>
      <c r="I248" s="4"/>
    </row>
    <row r="249" spans="2:9">
      <c r="B249" s="12"/>
      <c r="C249" s="9" t="s">
        <v>738</v>
      </c>
      <c r="D249" s="11"/>
      <c r="F249" s="9" t="s">
        <v>734</v>
      </c>
    </row>
    <row r="250" spans="2:9">
      <c r="B250" s="12"/>
      <c r="C250" s="9" t="s">
        <v>735</v>
      </c>
      <c r="D250" s="11"/>
      <c r="F250" s="9" t="s">
        <v>517</v>
      </c>
    </row>
    <row r="251" spans="2:9">
      <c r="B251" s="12"/>
      <c r="C251" s="9" t="s">
        <v>760</v>
      </c>
      <c r="D251" s="11"/>
    </row>
    <row r="252" spans="2:9">
      <c r="B252" s="12"/>
      <c r="C252" s="9" t="s">
        <v>76</v>
      </c>
      <c r="D252" s="9" t="s">
        <v>730</v>
      </c>
      <c r="E252" s="9" t="s">
        <v>731</v>
      </c>
      <c r="F252" s="9" t="s">
        <v>732</v>
      </c>
      <c r="G252" s="7"/>
    </row>
    <row r="253" spans="2:9" ht="78.75">
      <c r="B253" s="12"/>
      <c r="C253" s="9" t="s">
        <v>733</v>
      </c>
      <c r="D253" s="11" t="s">
        <v>77</v>
      </c>
      <c r="E253" s="4" t="s">
        <v>521</v>
      </c>
      <c r="F253" s="9" t="s">
        <v>519</v>
      </c>
      <c r="I253" s="4"/>
    </row>
    <row r="254" spans="2:9">
      <c r="B254" s="12"/>
      <c r="C254" s="9" t="s">
        <v>746</v>
      </c>
      <c r="D254" s="11"/>
      <c r="F254" s="9" t="s">
        <v>734</v>
      </c>
    </row>
    <row r="255" spans="2:9">
      <c r="B255" s="12"/>
      <c r="C255" s="9" t="s">
        <v>735</v>
      </c>
      <c r="D255" s="11"/>
      <c r="F255" s="9" t="s">
        <v>517</v>
      </c>
    </row>
    <row r="256" spans="2:9">
      <c r="B256" s="12"/>
      <c r="C256" s="9" t="s">
        <v>767</v>
      </c>
      <c r="D256" s="11"/>
    </row>
    <row r="257" spans="2:9">
      <c r="B257" s="12"/>
      <c r="C257" s="9" t="s">
        <v>78</v>
      </c>
      <c r="D257" s="9" t="s">
        <v>730</v>
      </c>
      <c r="E257" s="9" t="s">
        <v>731</v>
      </c>
      <c r="F257" s="9" t="s">
        <v>732</v>
      </c>
      <c r="G257" s="7"/>
    </row>
    <row r="258" spans="2:9" ht="90">
      <c r="B258" s="12"/>
      <c r="C258" s="9" t="s">
        <v>733</v>
      </c>
      <c r="D258" s="11" t="s">
        <v>79</v>
      </c>
      <c r="E258" s="4" t="s">
        <v>523</v>
      </c>
      <c r="F258" s="9" t="s">
        <v>522</v>
      </c>
    </row>
    <row r="259" spans="2:9">
      <c r="B259" s="12"/>
      <c r="C259" s="9" t="s">
        <v>746</v>
      </c>
      <c r="D259" s="11"/>
      <c r="F259" s="9" t="s">
        <v>734</v>
      </c>
    </row>
    <row r="260" spans="2:9">
      <c r="B260" s="12"/>
      <c r="C260" s="9" t="s">
        <v>735</v>
      </c>
      <c r="D260" s="11"/>
      <c r="F260" s="9" t="s">
        <v>517</v>
      </c>
    </row>
    <row r="261" spans="2:9">
      <c r="B261" s="12"/>
      <c r="C261" s="9" t="s">
        <v>767</v>
      </c>
      <c r="D261" s="11"/>
    </row>
    <row r="262" spans="2:9">
      <c r="B262" s="12"/>
      <c r="C262" s="9" t="s">
        <v>80</v>
      </c>
      <c r="D262" s="9" t="s">
        <v>730</v>
      </c>
      <c r="E262" s="9" t="s">
        <v>731</v>
      </c>
      <c r="F262" s="9" t="s">
        <v>732</v>
      </c>
      <c r="G262" s="7"/>
    </row>
    <row r="263" spans="2:9" ht="33.75">
      <c r="B263" s="12"/>
      <c r="C263" s="9" t="s">
        <v>733</v>
      </c>
      <c r="D263" s="11" t="s">
        <v>81</v>
      </c>
      <c r="E263" s="4" t="s">
        <v>524</v>
      </c>
      <c r="F263" s="9" t="s">
        <v>519</v>
      </c>
    </row>
    <row r="264" spans="2:9">
      <c r="B264" s="12"/>
      <c r="C264" s="9" t="s">
        <v>745</v>
      </c>
      <c r="D264" s="11"/>
      <c r="F264" s="9" t="s">
        <v>734</v>
      </c>
    </row>
    <row r="265" spans="2:9">
      <c r="B265" s="12"/>
      <c r="C265" s="9" t="s">
        <v>735</v>
      </c>
      <c r="D265" s="11"/>
      <c r="F265" s="9" t="s">
        <v>517</v>
      </c>
    </row>
    <row r="266" spans="2:9">
      <c r="B266" s="12"/>
      <c r="C266" s="9" t="s">
        <v>769</v>
      </c>
      <c r="D266" s="11"/>
    </row>
    <row r="267" spans="2:9">
      <c r="B267" s="12"/>
      <c r="C267" s="9" t="s">
        <v>298</v>
      </c>
      <c r="D267" s="9" t="s">
        <v>730</v>
      </c>
      <c r="E267" s="9" t="s">
        <v>731</v>
      </c>
      <c r="F267" s="9" t="s">
        <v>732</v>
      </c>
      <c r="G267" s="7"/>
    </row>
    <row r="268" spans="2:9" ht="225">
      <c r="B268" s="12"/>
      <c r="C268" s="9" t="s">
        <v>733</v>
      </c>
      <c r="D268" s="11" t="s">
        <v>737</v>
      </c>
      <c r="E268" s="4" t="s">
        <v>525</v>
      </c>
      <c r="F268" s="9" t="s">
        <v>522</v>
      </c>
      <c r="I268" s="4"/>
    </row>
    <row r="269" spans="2:9">
      <c r="B269" s="12"/>
      <c r="C269" s="9" t="s">
        <v>737</v>
      </c>
      <c r="D269" s="11"/>
      <c r="F269" s="9" t="s">
        <v>734</v>
      </c>
    </row>
    <row r="270" spans="2:9">
      <c r="B270" s="12"/>
      <c r="C270" s="9" t="s">
        <v>735</v>
      </c>
      <c r="D270" s="11"/>
      <c r="F270" s="9" t="s">
        <v>517</v>
      </c>
    </row>
    <row r="271" spans="2:9">
      <c r="B271" s="12"/>
      <c r="C271" s="9" t="s">
        <v>745</v>
      </c>
      <c r="D271" s="11"/>
    </row>
    <row r="272" spans="2:9">
      <c r="B272" s="12"/>
      <c r="C272" s="9" t="s">
        <v>84</v>
      </c>
      <c r="D272" s="9" t="s">
        <v>730</v>
      </c>
      <c r="E272" s="9" t="s">
        <v>731</v>
      </c>
      <c r="F272" s="9" t="s">
        <v>732</v>
      </c>
      <c r="G272" s="7"/>
    </row>
    <row r="273" spans="2:9" ht="78.75">
      <c r="B273" s="12"/>
      <c r="C273" s="9" t="s">
        <v>733</v>
      </c>
      <c r="D273" s="11" t="s">
        <v>85</v>
      </c>
      <c r="E273" s="4" t="s">
        <v>526</v>
      </c>
      <c r="F273" s="9" t="s">
        <v>519</v>
      </c>
      <c r="I273" s="4"/>
    </row>
    <row r="274" spans="2:9">
      <c r="B274" s="12"/>
      <c r="C274" s="9" t="s">
        <v>746</v>
      </c>
      <c r="D274" s="11"/>
      <c r="F274" s="9" t="s">
        <v>734</v>
      </c>
    </row>
    <row r="275" spans="2:9">
      <c r="B275" s="12"/>
      <c r="C275" s="9" t="s">
        <v>735</v>
      </c>
      <c r="D275" s="11"/>
      <c r="F275" s="9" t="s">
        <v>517</v>
      </c>
    </row>
    <row r="276" spans="2:9">
      <c r="B276" s="12"/>
      <c r="C276" s="9" t="s">
        <v>768</v>
      </c>
      <c r="D276" s="11"/>
    </row>
    <row r="277" spans="2:9">
      <c r="B277" s="12"/>
      <c r="C277" s="9" t="s">
        <v>281</v>
      </c>
      <c r="D277" s="9" t="s">
        <v>730</v>
      </c>
      <c r="E277" s="9" t="s">
        <v>731</v>
      </c>
      <c r="F277" s="9" t="s">
        <v>732</v>
      </c>
      <c r="G277" s="7"/>
    </row>
    <row r="278" spans="2:9" ht="202.5">
      <c r="B278" s="12"/>
      <c r="C278" s="9" t="s">
        <v>733</v>
      </c>
      <c r="D278" s="11" t="s">
        <v>737</v>
      </c>
      <c r="E278" s="4" t="s">
        <v>527</v>
      </c>
      <c r="F278" s="9" t="s">
        <v>516</v>
      </c>
      <c r="I278" s="4"/>
    </row>
    <row r="279" spans="2:9">
      <c r="B279" s="12"/>
      <c r="C279" s="9" t="s">
        <v>737</v>
      </c>
      <c r="D279" s="11"/>
      <c r="F279" s="9" t="s">
        <v>734</v>
      </c>
    </row>
    <row r="280" spans="2:9">
      <c r="B280" s="12"/>
      <c r="C280" s="9" t="s">
        <v>735</v>
      </c>
      <c r="D280" s="11"/>
      <c r="F280" s="9" t="s">
        <v>517</v>
      </c>
    </row>
    <row r="281" spans="2:9">
      <c r="B281" s="12"/>
      <c r="C281" s="9" t="s">
        <v>774</v>
      </c>
      <c r="D281" s="11"/>
    </row>
    <row r="282" spans="2:9">
      <c r="B282" s="12"/>
      <c r="C282" s="9" t="s">
        <v>88</v>
      </c>
      <c r="D282" s="9" t="s">
        <v>730</v>
      </c>
      <c r="E282" s="9" t="s">
        <v>731</v>
      </c>
      <c r="F282" s="9" t="s">
        <v>732</v>
      </c>
      <c r="G282" s="7"/>
    </row>
    <row r="283" spans="2:9" ht="101.25">
      <c r="B283" s="12"/>
      <c r="C283" s="9" t="s">
        <v>733</v>
      </c>
      <c r="D283" s="11" t="s">
        <v>89</v>
      </c>
      <c r="E283" s="4" t="s">
        <v>528</v>
      </c>
      <c r="F283" s="9" t="s">
        <v>519</v>
      </c>
      <c r="I283" s="4"/>
    </row>
    <row r="284" spans="2:9">
      <c r="B284" s="12"/>
      <c r="C284" s="9" t="s">
        <v>745</v>
      </c>
      <c r="D284" s="11"/>
      <c r="F284" s="9" t="s">
        <v>734</v>
      </c>
    </row>
    <row r="285" spans="2:9">
      <c r="B285" s="12"/>
      <c r="C285" s="9" t="s">
        <v>735</v>
      </c>
      <c r="D285" s="11"/>
      <c r="F285" s="9" t="s">
        <v>517</v>
      </c>
    </row>
    <row r="286" spans="2:9">
      <c r="B286" s="12"/>
      <c r="C286" s="9" t="s">
        <v>736</v>
      </c>
      <c r="D286" s="11"/>
    </row>
    <row r="287" spans="2:9">
      <c r="B287" s="12"/>
      <c r="C287" s="9" t="s">
        <v>90</v>
      </c>
      <c r="D287" s="9" t="s">
        <v>730</v>
      </c>
      <c r="E287" s="9" t="s">
        <v>731</v>
      </c>
      <c r="F287" s="9" t="s">
        <v>732</v>
      </c>
      <c r="G287" s="7"/>
    </row>
    <row r="288" spans="2:9" ht="78.75">
      <c r="B288" s="12"/>
      <c r="C288" s="9" t="s">
        <v>733</v>
      </c>
      <c r="D288" s="11" t="s">
        <v>91</v>
      </c>
      <c r="E288" s="4" t="s">
        <v>530</v>
      </c>
      <c r="F288" s="9" t="s">
        <v>529</v>
      </c>
      <c r="I288" s="4"/>
    </row>
    <row r="289" spans="2:9">
      <c r="B289" s="12"/>
      <c r="C289" s="9" t="s">
        <v>745</v>
      </c>
      <c r="D289" s="11"/>
      <c r="F289" s="9" t="s">
        <v>734</v>
      </c>
    </row>
    <row r="290" spans="2:9">
      <c r="B290" s="12"/>
      <c r="C290" s="9" t="s">
        <v>735</v>
      </c>
      <c r="D290" s="11"/>
      <c r="F290" s="9" t="s">
        <v>517</v>
      </c>
    </row>
    <row r="291" spans="2:9">
      <c r="B291" s="12"/>
      <c r="C291" s="9" t="s">
        <v>736</v>
      </c>
      <c r="D291" s="11"/>
    </row>
    <row r="292" spans="2:9">
      <c r="B292" s="12"/>
      <c r="C292" s="9" t="s">
        <v>92</v>
      </c>
      <c r="D292" s="9" t="s">
        <v>730</v>
      </c>
      <c r="E292" s="9" t="s">
        <v>731</v>
      </c>
      <c r="F292" s="9" t="s">
        <v>732</v>
      </c>
      <c r="G292" s="7"/>
    </row>
    <row r="293" spans="2:9">
      <c r="B293" s="12"/>
      <c r="C293" s="9" t="s">
        <v>733</v>
      </c>
      <c r="D293" s="11" t="s">
        <v>93</v>
      </c>
      <c r="E293" s="9" t="s">
        <v>531</v>
      </c>
      <c r="F293" s="9" t="s">
        <v>519</v>
      </c>
    </row>
    <row r="294" spans="2:9">
      <c r="B294" s="12"/>
      <c r="C294" s="9" t="s">
        <v>742</v>
      </c>
      <c r="D294" s="11"/>
      <c r="F294" s="9" t="s">
        <v>734</v>
      </c>
    </row>
    <row r="295" spans="2:9">
      <c r="B295" s="12"/>
      <c r="C295" s="9" t="s">
        <v>735</v>
      </c>
      <c r="D295" s="11"/>
      <c r="F295" s="9" t="s">
        <v>517</v>
      </c>
    </row>
    <row r="296" spans="2:9">
      <c r="B296" s="12"/>
      <c r="C296" s="9" t="s">
        <v>736</v>
      </c>
      <c r="D296" s="11"/>
    </row>
    <row r="297" spans="2:9">
      <c r="B297" s="12"/>
      <c r="C297" s="9" t="s">
        <v>94</v>
      </c>
      <c r="D297" s="9" t="s">
        <v>730</v>
      </c>
      <c r="E297" s="9" t="s">
        <v>731</v>
      </c>
      <c r="F297" s="9" t="s">
        <v>732</v>
      </c>
      <c r="G297" s="7"/>
    </row>
    <row r="298" spans="2:9" ht="213.75">
      <c r="B298" s="12"/>
      <c r="C298" s="9" t="s">
        <v>733</v>
      </c>
      <c r="D298" s="11" t="s">
        <v>95</v>
      </c>
      <c r="E298" s="4" t="s">
        <v>532</v>
      </c>
      <c r="F298" s="9" t="s">
        <v>522</v>
      </c>
      <c r="I298" s="4"/>
    </row>
    <row r="299" spans="2:9">
      <c r="B299" s="12"/>
      <c r="C299" s="9" t="s">
        <v>742</v>
      </c>
      <c r="D299" s="11"/>
      <c r="F299" s="9" t="s">
        <v>734</v>
      </c>
    </row>
    <row r="300" spans="2:9">
      <c r="B300" s="12"/>
      <c r="C300" s="9" t="s">
        <v>735</v>
      </c>
      <c r="D300" s="11"/>
      <c r="F300" s="9" t="s">
        <v>517</v>
      </c>
    </row>
    <row r="301" spans="2:9">
      <c r="B301" s="12"/>
      <c r="C301" s="9" t="s">
        <v>736</v>
      </c>
      <c r="D301" s="11"/>
    </row>
    <row r="302" spans="2:9">
      <c r="B302" s="12"/>
      <c r="C302" s="9" t="s">
        <v>304</v>
      </c>
      <c r="D302" s="9" t="s">
        <v>730</v>
      </c>
      <c r="E302" s="9" t="s">
        <v>731</v>
      </c>
      <c r="F302" s="9" t="s">
        <v>732</v>
      </c>
      <c r="G302" s="7"/>
    </row>
    <row r="303" spans="2:9">
      <c r="B303" s="12"/>
      <c r="C303" s="9" t="s">
        <v>733</v>
      </c>
      <c r="D303" s="11" t="s">
        <v>737</v>
      </c>
      <c r="E303" s="9" t="s">
        <v>533</v>
      </c>
      <c r="F303" s="9" t="s">
        <v>529</v>
      </c>
      <c r="I303" s="4"/>
    </row>
    <row r="304" spans="2:9">
      <c r="B304" s="12"/>
      <c r="C304" s="9" t="s">
        <v>737</v>
      </c>
      <c r="D304" s="11"/>
      <c r="F304" s="9" t="s">
        <v>734</v>
      </c>
    </row>
    <row r="305" spans="2:9">
      <c r="B305" s="12"/>
      <c r="C305" s="9" t="s">
        <v>735</v>
      </c>
      <c r="D305" s="11"/>
      <c r="F305" s="9" t="s">
        <v>517</v>
      </c>
    </row>
    <row r="306" spans="2:9">
      <c r="B306" s="12"/>
      <c r="C306" s="9" t="s">
        <v>736</v>
      </c>
      <c r="D306" s="11"/>
    </row>
    <row r="307" spans="2:9">
      <c r="B307" s="12"/>
      <c r="C307" s="9" t="s">
        <v>98</v>
      </c>
      <c r="D307" s="9" t="s">
        <v>730</v>
      </c>
      <c r="E307" s="9" t="s">
        <v>731</v>
      </c>
      <c r="F307" s="9" t="s">
        <v>732</v>
      </c>
      <c r="G307" s="7"/>
    </row>
    <row r="308" spans="2:9" ht="146.25">
      <c r="B308" s="12"/>
      <c r="C308" s="9" t="s">
        <v>733</v>
      </c>
      <c r="D308" s="11" t="s">
        <v>99</v>
      </c>
      <c r="E308" s="4" t="s">
        <v>534</v>
      </c>
      <c r="F308" s="9" t="s">
        <v>519</v>
      </c>
      <c r="I308" s="4"/>
    </row>
    <row r="309" spans="2:9">
      <c r="B309" s="12"/>
      <c r="C309" s="9" t="s">
        <v>742</v>
      </c>
      <c r="D309" s="11"/>
      <c r="F309" s="9" t="s">
        <v>734</v>
      </c>
    </row>
    <row r="310" spans="2:9">
      <c r="B310" s="12"/>
      <c r="C310" s="9" t="s">
        <v>735</v>
      </c>
      <c r="D310" s="11"/>
      <c r="F310" s="9" t="s">
        <v>517</v>
      </c>
    </row>
    <row r="311" spans="2:9">
      <c r="B311" s="12"/>
      <c r="C311" s="9" t="s">
        <v>753</v>
      </c>
      <c r="D311" s="11"/>
    </row>
    <row r="312" spans="2:9">
      <c r="B312" s="12"/>
      <c r="C312" s="9" t="s">
        <v>297</v>
      </c>
      <c r="D312" s="9" t="s">
        <v>730</v>
      </c>
      <c r="E312" s="9" t="s">
        <v>731</v>
      </c>
      <c r="F312" s="9" t="s">
        <v>732</v>
      </c>
      <c r="G312" s="7"/>
    </row>
    <row r="313" spans="2:9" ht="101.25">
      <c r="B313" s="12"/>
      <c r="C313" s="9" t="s">
        <v>733</v>
      </c>
      <c r="D313" s="11" t="s">
        <v>737</v>
      </c>
      <c r="E313" s="4" t="s">
        <v>535</v>
      </c>
      <c r="F313" s="9" t="s">
        <v>519</v>
      </c>
      <c r="I313" s="4"/>
    </row>
    <row r="314" spans="2:9">
      <c r="B314" s="12"/>
      <c r="C314" s="9" t="s">
        <v>737</v>
      </c>
      <c r="D314" s="11"/>
      <c r="F314" s="9" t="s">
        <v>734</v>
      </c>
    </row>
    <row r="315" spans="2:9">
      <c r="B315" s="12"/>
      <c r="C315" s="9" t="s">
        <v>735</v>
      </c>
      <c r="D315" s="11"/>
      <c r="F315" s="9" t="s">
        <v>517</v>
      </c>
    </row>
    <row r="316" spans="2:9">
      <c r="B316" s="12"/>
      <c r="C316" s="9" t="s">
        <v>775</v>
      </c>
      <c r="D316" s="11"/>
    </row>
    <row r="317" spans="2:9">
      <c r="B317" s="12"/>
      <c r="C317" s="9" t="s">
        <v>102</v>
      </c>
      <c r="D317" s="9" t="s">
        <v>730</v>
      </c>
      <c r="E317" s="9" t="s">
        <v>731</v>
      </c>
      <c r="F317" s="9" t="s">
        <v>732</v>
      </c>
      <c r="G317" s="7"/>
    </row>
    <row r="318" spans="2:9" ht="168.75">
      <c r="B318" s="12"/>
      <c r="C318" s="9" t="s">
        <v>733</v>
      </c>
      <c r="D318" s="11" t="s">
        <v>103</v>
      </c>
      <c r="E318" s="4" t="s">
        <v>537</v>
      </c>
      <c r="F318" s="9" t="s">
        <v>536</v>
      </c>
    </row>
    <row r="319" spans="2:9">
      <c r="B319" s="12"/>
      <c r="C319" s="9" t="s">
        <v>738</v>
      </c>
      <c r="D319" s="11"/>
      <c r="F319" s="9" t="s">
        <v>734</v>
      </c>
    </row>
    <row r="320" spans="2:9">
      <c r="B320" s="12"/>
      <c r="C320" s="9" t="s">
        <v>735</v>
      </c>
      <c r="D320" s="11"/>
      <c r="F320" s="9" t="s">
        <v>517</v>
      </c>
    </row>
    <row r="321" spans="2:9">
      <c r="B321" s="12"/>
      <c r="C321" s="9" t="s">
        <v>776</v>
      </c>
      <c r="D321" s="11"/>
    </row>
    <row r="322" spans="2:9">
      <c r="B322" s="12"/>
      <c r="C322" s="9" t="s">
        <v>104</v>
      </c>
      <c r="D322" s="9" t="s">
        <v>730</v>
      </c>
      <c r="E322" s="9" t="s">
        <v>731</v>
      </c>
      <c r="F322" s="9" t="s">
        <v>732</v>
      </c>
      <c r="G322" s="7"/>
    </row>
    <row r="323" spans="2:9" ht="247.5">
      <c r="B323" s="12"/>
      <c r="C323" s="9" t="s">
        <v>733</v>
      </c>
      <c r="D323" s="11" t="s">
        <v>105</v>
      </c>
      <c r="E323" s="4" t="s">
        <v>538</v>
      </c>
      <c r="F323" s="9" t="s">
        <v>519</v>
      </c>
      <c r="I323" s="4"/>
    </row>
    <row r="324" spans="2:9">
      <c r="B324" s="12"/>
      <c r="C324" s="9" t="s">
        <v>742</v>
      </c>
      <c r="D324" s="11"/>
      <c r="F324" s="9" t="s">
        <v>734</v>
      </c>
    </row>
    <row r="325" spans="2:9">
      <c r="B325" s="12"/>
      <c r="C325" s="9" t="s">
        <v>735</v>
      </c>
      <c r="D325" s="11"/>
      <c r="F325" s="9" t="s">
        <v>517</v>
      </c>
    </row>
    <row r="326" spans="2:9">
      <c r="B326" s="12"/>
      <c r="C326" s="9" t="s">
        <v>777</v>
      </c>
      <c r="D326" s="11"/>
    </row>
    <row r="327" spans="2:9">
      <c r="B327" s="12"/>
      <c r="C327" s="9" t="s">
        <v>106</v>
      </c>
      <c r="D327" s="9" t="s">
        <v>730</v>
      </c>
      <c r="E327" s="9" t="s">
        <v>731</v>
      </c>
      <c r="F327" s="9" t="s">
        <v>732</v>
      </c>
      <c r="G327" s="7"/>
    </row>
    <row r="328" spans="2:9" ht="157.5">
      <c r="B328" s="12"/>
      <c r="C328" s="9" t="s">
        <v>733</v>
      </c>
      <c r="D328" s="11" t="s">
        <v>107</v>
      </c>
      <c r="E328" s="4" t="s">
        <v>539</v>
      </c>
      <c r="F328" s="9" t="s">
        <v>519</v>
      </c>
      <c r="I328" s="4"/>
    </row>
    <row r="329" spans="2:9">
      <c r="B329" s="12"/>
      <c r="C329" s="9" t="s">
        <v>738</v>
      </c>
      <c r="D329" s="11"/>
      <c r="F329" s="9" t="s">
        <v>734</v>
      </c>
    </row>
    <row r="330" spans="2:9">
      <c r="B330" s="12"/>
      <c r="C330" s="9" t="s">
        <v>735</v>
      </c>
      <c r="D330" s="11"/>
      <c r="F330" s="9" t="s">
        <v>517</v>
      </c>
    </row>
    <row r="331" spans="2:9">
      <c r="B331" s="12"/>
      <c r="C331" s="9" t="s">
        <v>758</v>
      </c>
      <c r="D331" s="11"/>
    </row>
    <row r="332" spans="2:9">
      <c r="B332" s="12"/>
      <c r="C332" s="9" t="s">
        <v>108</v>
      </c>
      <c r="D332" s="9" t="s">
        <v>730</v>
      </c>
      <c r="E332" s="9" t="s">
        <v>731</v>
      </c>
      <c r="F332" s="9" t="s">
        <v>732</v>
      </c>
      <c r="G332" s="7"/>
    </row>
    <row r="333" spans="2:9" ht="67.5">
      <c r="B333" s="12"/>
      <c r="C333" s="9" t="s">
        <v>733</v>
      </c>
      <c r="D333" s="11" t="s">
        <v>109</v>
      </c>
      <c r="E333" s="4" t="s">
        <v>540</v>
      </c>
      <c r="F333" s="9" t="s">
        <v>529</v>
      </c>
      <c r="I333" s="4"/>
    </row>
    <row r="334" spans="2:9">
      <c r="B334" s="12"/>
      <c r="C334" s="9" t="s">
        <v>745</v>
      </c>
      <c r="D334" s="11"/>
      <c r="F334" s="9" t="s">
        <v>734</v>
      </c>
    </row>
    <row r="335" spans="2:9">
      <c r="B335" s="12"/>
      <c r="C335" s="9" t="s">
        <v>735</v>
      </c>
      <c r="D335" s="11"/>
      <c r="F335" s="9" t="s">
        <v>517</v>
      </c>
    </row>
    <row r="336" spans="2:9">
      <c r="B336" s="12"/>
      <c r="C336" s="9" t="s">
        <v>769</v>
      </c>
      <c r="D336" s="11"/>
    </row>
    <row r="337" spans="2:9">
      <c r="B337" s="12"/>
      <c r="C337" s="9" t="s">
        <v>110</v>
      </c>
      <c r="D337" s="9" t="s">
        <v>730</v>
      </c>
      <c r="E337" s="9" t="s">
        <v>731</v>
      </c>
      <c r="F337" s="9" t="s">
        <v>732</v>
      </c>
      <c r="G337" s="7"/>
    </row>
    <row r="338" spans="2:9" ht="56.25">
      <c r="B338" s="12"/>
      <c r="C338" s="9" t="s">
        <v>733</v>
      </c>
      <c r="D338" s="11" t="s">
        <v>111</v>
      </c>
      <c r="E338" s="4" t="s">
        <v>541</v>
      </c>
      <c r="F338" s="9" t="s">
        <v>519</v>
      </c>
    </row>
    <row r="339" spans="2:9">
      <c r="B339" s="12"/>
      <c r="C339" s="9" t="s">
        <v>746</v>
      </c>
      <c r="D339" s="11"/>
      <c r="F339" s="9" t="s">
        <v>734</v>
      </c>
    </row>
    <row r="340" spans="2:9">
      <c r="B340" s="12"/>
      <c r="C340" s="9" t="s">
        <v>735</v>
      </c>
      <c r="D340" s="11"/>
      <c r="F340" s="9" t="s">
        <v>517</v>
      </c>
    </row>
    <row r="341" spans="2:9">
      <c r="B341" s="12"/>
      <c r="C341" s="9" t="s">
        <v>769</v>
      </c>
      <c r="D341" s="11"/>
    </row>
    <row r="342" spans="2:9">
      <c r="B342" s="12"/>
      <c r="C342" s="9" t="s">
        <v>112</v>
      </c>
      <c r="D342" s="9" t="s">
        <v>730</v>
      </c>
      <c r="E342" s="9" t="s">
        <v>731</v>
      </c>
      <c r="F342" s="9" t="s">
        <v>732</v>
      </c>
      <c r="G342" s="7"/>
    </row>
    <row r="343" spans="2:9" ht="270">
      <c r="B343" s="12"/>
      <c r="C343" s="9" t="s">
        <v>733</v>
      </c>
      <c r="D343" s="11" t="s">
        <v>113</v>
      </c>
      <c r="E343" s="4" t="s">
        <v>543</v>
      </c>
      <c r="F343" s="9" t="s">
        <v>542</v>
      </c>
      <c r="I343" s="4"/>
    </row>
    <row r="344" spans="2:9">
      <c r="B344" s="12"/>
      <c r="C344" s="9" t="s">
        <v>742</v>
      </c>
      <c r="D344" s="11"/>
      <c r="F344" s="9" t="s">
        <v>734</v>
      </c>
    </row>
    <row r="345" spans="2:9">
      <c r="B345" s="12"/>
      <c r="C345" s="9" t="s">
        <v>735</v>
      </c>
      <c r="D345" s="11"/>
      <c r="F345" s="9" t="s">
        <v>517</v>
      </c>
    </row>
    <row r="346" spans="2:9">
      <c r="B346" s="12"/>
      <c r="C346" s="9" t="s">
        <v>778</v>
      </c>
      <c r="D346" s="11"/>
    </row>
    <row r="347" spans="2:9">
      <c r="B347" s="12"/>
      <c r="C347" s="9" t="s">
        <v>310</v>
      </c>
      <c r="D347" s="9" t="s">
        <v>730</v>
      </c>
      <c r="E347" s="9" t="s">
        <v>731</v>
      </c>
      <c r="F347" s="9" t="s">
        <v>732</v>
      </c>
      <c r="G347" s="7"/>
    </row>
    <row r="348" spans="2:9" ht="123.75">
      <c r="B348" s="12"/>
      <c r="C348" s="9" t="s">
        <v>733</v>
      </c>
      <c r="D348" s="11" t="s">
        <v>737</v>
      </c>
      <c r="E348" s="4" t="s">
        <v>545</v>
      </c>
      <c r="F348" s="9" t="s">
        <v>544</v>
      </c>
      <c r="I348" s="4"/>
    </row>
    <row r="349" spans="2:9">
      <c r="B349" s="12"/>
      <c r="C349" s="9" t="s">
        <v>737</v>
      </c>
      <c r="D349" s="11"/>
      <c r="F349" s="9" t="s">
        <v>734</v>
      </c>
    </row>
    <row r="350" spans="2:9">
      <c r="B350" s="12"/>
      <c r="C350" s="9" t="s">
        <v>735</v>
      </c>
      <c r="D350" s="11"/>
      <c r="F350" s="9" t="s">
        <v>517</v>
      </c>
    </row>
    <row r="351" spans="2:9">
      <c r="B351" s="12"/>
      <c r="C351" s="9" t="s">
        <v>769</v>
      </c>
      <c r="D351" s="11"/>
    </row>
    <row r="352" spans="2:9">
      <c r="B352" s="12"/>
      <c r="C352" s="9" t="s">
        <v>116</v>
      </c>
      <c r="D352" s="9" t="s">
        <v>730</v>
      </c>
      <c r="E352" s="9" t="s">
        <v>731</v>
      </c>
      <c r="F352" s="9" t="s">
        <v>732</v>
      </c>
      <c r="G352" s="7"/>
    </row>
    <row r="353" spans="2:9" ht="213.75">
      <c r="B353" s="12"/>
      <c r="C353" s="9" t="s">
        <v>733</v>
      </c>
      <c r="D353" s="11" t="s">
        <v>117</v>
      </c>
      <c r="E353" s="4" t="s">
        <v>546</v>
      </c>
      <c r="F353" s="9" t="s">
        <v>519</v>
      </c>
      <c r="I353" s="4"/>
    </row>
    <row r="354" spans="2:9">
      <c r="B354" s="12"/>
      <c r="C354" s="9" t="s">
        <v>740</v>
      </c>
      <c r="D354" s="11"/>
      <c r="F354" s="9" t="s">
        <v>734</v>
      </c>
    </row>
    <row r="355" spans="2:9">
      <c r="B355" s="12"/>
      <c r="C355" s="9" t="s">
        <v>735</v>
      </c>
      <c r="D355" s="11"/>
      <c r="F355" s="9" t="s">
        <v>517</v>
      </c>
    </row>
    <row r="356" spans="2:9">
      <c r="B356" s="12"/>
      <c r="C356" s="9" t="s">
        <v>773</v>
      </c>
      <c r="D356" s="11"/>
    </row>
    <row r="357" spans="2:9">
      <c r="B357" s="12"/>
      <c r="C357" s="9" t="s">
        <v>118</v>
      </c>
      <c r="D357" s="9" t="s">
        <v>730</v>
      </c>
      <c r="E357" s="9" t="s">
        <v>731</v>
      </c>
      <c r="F357" s="9" t="s">
        <v>732</v>
      </c>
      <c r="G357" s="7"/>
    </row>
    <row r="358" spans="2:9" ht="247.5">
      <c r="B358" s="12"/>
      <c r="C358" s="9" t="s">
        <v>733</v>
      </c>
      <c r="D358" s="11" t="s">
        <v>119</v>
      </c>
      <c r="E358" s="4" t="s">
        <v>547</v>
      </c>
      <c r="F358" s="9" t="s">
        <v>536</v>
      </c>
      <c r="I358" s="4"/>
    </row>
    <row r="359" spans="2:9">
      <c r="B359" s="12"/>
      <c r="C359" s="9" t="s">
        <v>739</v>
      </c>
      <c r="D359" s="11"/>
      <c r="F359" s="9" t="s">
        <v>734</v>
      </c>
    </row>
    <row r="360" spans="2:9">
      <c r="B360" s="12"/>
      <c r="C360" s="9" t="s">
        <v>735</v>
      </c>
      <c r="D360" s="11"/>
      <c r="F360" s="9" t="s">
        <v>517</v>
      </c>
    </row>
    <row r="361" spans="2:9">
      <c r="B361" s="12"/>
      <c r="C361" s="9" t="s">
        <v>779</v>
      </c>
      <c r="D361" s="11"/>
    </row>
    <row r="362" spans="2:9">
      <c r="B362" s="12"/>
      <c r="C362" s="9" t="s">
        <v>120</v>
      </c>
      <c r="D362" s="9" t="s">
        <v>730</v>
      </c>
      <c r="E362" s="9" t="s">
        <v>731</v>
      </c>
      <c r="F362" s="9" t="s">
        <v>732</v>
      </c>
      <c r="G362" s="7"/>
    </row>
    <row r="363" spans="2:9" ht="157.5">
      <c r="B363" s="12"/>
      <c r="C363" s="9" t="s">
        <v>733</v>
      </c>
      <c r="D363" s="11" t="s">
        <v>121</v>
      </c>
      <c r="E363" s="4" t="s">
        <v>549</v>
      </c>
      <c r="F363" s="9" t="s">
        <v>548</v>
      </c>
      <c r="I363" s="4"/>
    </row>
    <row r="364" spans="2:9">
      <c r="B364" s="12"/>
      <c r="C364" s="9" t="s">
        <v>738</v>
      </c>
      <c r="D364" s="11"/>
      <c r="F364" s="9" t="s">
        <v>734</v>
      </c>
    </row>
    <row r="365" spans="2:9">
      <c r="B365" s="12"/>
      <c r="C365" s="9" t="s">
        <v>735</v>
      </c>
      <c r="D365" s="11"/>
      <c r="F365" s="9" t="s">
        <v>517</v>
      </c>
    </row>
    <row r="366" spans="2:9">
      <c r="B366" s="12"/>
      <c r="C366" s="9" t="s">
        <v>736</v>
      </c>
      <c r="D366" s="11"/>
    </row>
    <row r="367" spans="2:9">
      <c r="B367" s="12"/>
      <c r="C367" s="9" t="s">
        <v>122</v>
      </c>
      <c r="D367" s="9" t="s">
        <v>730</v>
      </c>
      <c r="E367" s="9" t="s">
        <v>731</v>
      </c>
      <c r="F367" s="9" t="s">
        <v>732</v>
      </c>
      <c r="G367" s="7"/>
    </row>
    <row r="368" spans="2:9" ht="180">
      <c r="B368" s="12"/>
      <c r="C368" s="9" t="s">
        <v>733</v>
      </c>
      <c r="D368" s="11" t="s">
        <v>123</v>
      </c>
      <c r="E368" s="4" t="s">
        <v>550</v>
      </c>
      <c r="F368" s="9" t="s">
        <v>542</v>
      </c>
      <c r="I368" s="4"/>
    </row>
    <row r="369" spans="2:9">
      <c r="B369" s="12"/>
      <c r="C369" s="9" t="s">
        <v>745</v>
      </c>
      <c r="D369" s="11"/>
      <c r="F369" s="9" t="s">
        <v>734</v>
      </c>
    </row>
    <row r="370" spans="2:9">
      <c r="B370" s="12"/>
      <c r="C370" s="9" t="s">
        <v>735</v>
      </c>
      <c r="D370" s="11"/>
      <c r="F370" s="9" t="s">
        <v>517</v>
      </c>
    </row>
    <row r="371" spans="2:9">
      <c r="B371" s="12"/>
      <c r="C371" s="9" t="s">
        <v>769</v>
      </c>
      <c r="D371" s="11"/>
    </row>
    <row r="372" spans="2:9">
      <c r="B372" s="12"/>
      <c r="C372" s="9" t="s">
        <v>124</v>
      </c>
      <c r="D372" s="9" t="s">
        <v>730</v>
      </c>
      <c r="E372" s="9" t="s">
        <v>731</v>
      </c>
      <c r="F372" s="9" t="s">
        <v>732</v>
      </c>
      <c r="G372" s="7"/>
    </row>
    <row r="373" spans="2:9" ht="33.75">
      <c r="B373" s="12"/>
      <c r="C373" s="9" t="s">
        <v>733</v>
      </c>
      <c r="D373" s="11" t="s">
        <v>125</v>
      </c>
      <c r="E373" s="4" t="s">
        <v>551</v>
      </c>
      <c r="F373" s="9" t="s">
        <v>536</v>
      </c>
      <c r="I373" s="4"/>
    </row>
    <row r="374" spans="2:9">
      <c r="B374" s="12"/>
      <c r="C374" s="9" t="s">
        <v>736</v>
      </c>
      <c r="D374" s="11"/>
      <c r="F374" s="9" t="s">
        <v>734</v>
      </c>
    </row>
    <row r="375" spans="2:9">
      <c r="B375" s="12"/>
      <c r="C375" s="9" t="s">
        <v>735</v>
      </c>
      <c r="D375" s="11"/>
      <c r="F375" s="9" t="s">
        <v>517</v>
      </c>
    </row>
    <row r="376" spans="2:9">
      <c r="B376" s="12"/>
      <c r="C376" s="9" t="s">
        <v>769</v>
      </c>
      <c r="D376" s="11"/>
    </row>
    <row r="377" spans="2:9">
      <c r="B377" s="12"/>
      <c r="C377" s="9" t="s">
        <v>126</v>
      </c>
      <c r="D377" s="9" t="s">
        <v>730</v>
      </c>
      <c r="E377" s="9" t="s">
        <v>731</v>
      </c>
      <c r="F377" s="9" t="s">
        <v>732</v>
      </c>
      <c r="G377" s="7"/>
    </row>
    <row r="378" spans="2:9">
      <c r="B378" s="12"/>
      <c r="C378" s="9" t="s">
        <v>733</v>
      </c>
      <c r="D378" s="11" t="s">
        <v>127</v>
      </c>
      <c r="E378" s="9" t="s">
        <v>552</v>
      </c>
      <c r="F378" s="9" t="s">
        <v>522</v>
      </c>
    </row>
    <row r="379" spans="2:9">
      <c r="B379" s="12"/>
      <c r="C379" s="9" t="s">
        <v>745</v>
      </c>
      <c r="D379" s="11"/>
      <c r="F379" s="9" t="s">
        <v>734</v>
      </c>
    </row>
    <row r="380" spans="2:9">
      <c r="B380" s="12"/>
      <c r="C380" s="9" t="s">
        <v>735</v>
      </c>
      <c r="D380" s="11"/>
      <c r="F380" s="9" t="s">
        <v>517</v>
      </c>
    </row>
    <row r="381" spans="2:9">
      <c r="B381" s="12"/>
      <c r="C381" s="9" t="s">
        <v>736</v>
      </c>
      <c r="D381" s="11"/>
    </row>
    <row r="382" spans="2:9">
      <c r="B382" s="12"/>
      <c r="C382" s="9" t="s">
        <v>128</v>
      </c>
      <c r="D382" s="9" t="s">
        <v>730</v>
      </c>
      <c r="E382" s="9" t="s">
        <v>731</v>
      </c>
      <c r="F382" s="9" t="s">
        <v>732</v>
      </c>
      <c r="G382" s="7"/>
    </row>
    <row r="383" spans="2:9" ht="101.25">
      <c r="B383" s="12"/>
      <c r="C383" s="9" t="s">
        <v>733</v>
      </c>
      <c r="D383" s="11" t="s">
        <v>129</v>
      </c>
      <c r="E383" s="4" t="s">
        <v>553</v>
      </c>
      <c r="F383" s="9" t="s">
        <v>522</v>
      </c>
      <c r="I383" s="4"/>
    </row>
    <row r="384" spans="2:9">
      <c r="B384" s="12"/>
      <c r="C384" s="9" t="s">
        <v>738</v>
      </c>
      <c r="D384" s="11"/>
      <c r="F384" s="9" t="s">
        <v>734</v>
      </c>
    </row>
    <row r="385" spans="2:9">
      <c r="B385" s="12"/>
      <c r="C385" s="9" t="s">
        <v>735</v>
      </c>
      <c r="D385" s="11"/>
      <c r="F385" s="9" t="s">
        <v>517</v>
      </c>
    </row>
    <row r="386" spans="2:9">
      <c r="B386" s="12"/>
      <c r="C386" s="9" t="s">
        <v>780</v>
      </c>
      <c r="D386" s="11"/>
    </row>
    <row r="387" spans="2:9">
      <c r="B387" s="12"/>
      <c r="C387" s="9" t="s">
        <v>130</v>
      </c>
      <c r="D387" s="9" t="s">
        <v>730</v>
      </c>
      <c r="E387" s="9" t="s">
        <v>731</v>
      </c>
      <c r="F387" s="9" t="s">
        <v>732</v>
      </c>
      <c r="G387" s="7"/>
    </row>
    <row r="388" spans="2:9">
      <c r="B388" s="12"/>
      <c r="C388" s="9" t="s">
        <v>733</v>
      </c>
      <c r="D388" s="11" t="s">
        <v>131</v>
      </c>
      <c r="E388" s="9" t="s">
        <v>554</v>
      </c>
      <c r="F388" s="9" t="s">
        <v>542</v>
      </c>
      <c r="I388" s="4"/>
    </row>
    <row r="389" spans="2:9">
      <c r="B389" s="12"/>
      <c r="C389" s="9" t="s">
        <v>736</v>
      </c>
      <c r="D389" s="11"/>
      <c r="F389" s="9" t="s">
        <v>734</v>
      </c>
    </row>
    <row r="390" spans="2:9">
      <c r="B390" s="12"/>
      <c r="C390" s="9" t="s">
        <v>735</v>
      </c>
      <c r="D390" s="11"/>
      <c r="F390" s="9" t="s">
        <v>517</v>
      </c>
    </row>
    <row r="391" spans="2:9">
      <c r="B391" s="12"/>
      <c r="C391" s="9" t="s">
        <v>768</v>
      </c>
      <c r="D391" s="11"/>
    </row>
    <row r="392" spans="2:9">
      <c r="B392" s="12"/>
      <c r="C392" s="9" t="s">
        <v>132</v>
      </c>
      <c r="D392" s="9" t="s">
        <v>730</v>
      </c>
      <c r="E392" s="9" t="s">
        <v>731</v>
      </c>
      <c r="F392" s="9" t="s">
        <v>732</v>
      </c>
      <c r="G392" s="7"/>
    </row>
    <row r="393" spans="2:9" ht="33.75">
      <c r="B393" s="12"/>
      <c r="C393" s="9" t="s">
        <v>733</v>
      </c>
      <c r="D393" s="11" t="s">
        <v>133</v>
      </c>
      <c r="E393" s="4" t="s">
        <v>555</v>
      </c>
      <c r="F393" s="9" t="s">
        <v>522</v>
      </c>
    </row>
    <row r="394" spans="2:9">
      <c r="B394" s="12"/>
      <c r="C394" s="9" t="s">
        <v>738</v>
      </c>
      <c r="D394" s="11"/>
      <c r="F394" s="9" t="s">
        <v>734</v>
      </c>
    </row>
    <row r="395" spans="2:9">
      <c r="B395" s="12"/>
      <c r="C395" s="9" t="s">
        <v>735</v>
      </c>
      <c r="D395" s="11"/>
      <c r="F395" s="9" t="s">
        <v>517</v>
      </c>
    </row>
    <row r="396" spans="2:9">
      <c r="B396" s="12"/>
      <c r="C396" s="9" t="s">
        <v>780</v>
      </c>
      <c r="D396" s="11"/>
    </row>
    <row r="397" spans="2:9">
      <c r="B397" s="12"/>
      <c r="C397" s="9" t="s">
        <v>134</v>
      </c>
      <c r="D397" s="9" t="s">
        <v>730</v>
      </c>
      <c r="E397" s="9" t="s">
        <v>731</v>
      </c>
      <c r="F397" s="9" t="s">
        <v>732</v>
      </c>
      <c r="G397" s="7"/>
    </row>
    <row r="398" spans="2:9" ht="281.25">
      <c r="B398" s="12"/>
      <c r="C398" s="9" t="s">
        <v>733</v>
      </c>
      <c r="D398" s="11" t="s">
        <v>135</v>
      </c>
      <c r="E398" s="4" t="s">
        <v>556</v>
      </c>
      <c r="F398" s="9" t="s">
        <v>522</v>
      </c>
      <c r="I398" s="4"/>
    </row>
    <row r="399" spans="2:9">
      <c r="B399" s="12"/>
      <c r="C399" s="9" t="s">
        <v>740</v>
      </c>
      <c r="D399" s="11"/>
      <c r="F399" s="9" t="s">
        <v>734</v>
      </c>
    </row>
    <row r="400" spans="2:9">
      <c r="B400" s="12"/>
      <c r="C400" s="9" t="s">
        <v>735</v>
      </c>
      <c r="D400" s="11"/>
      <c r="F400" s="9" t="s">
        <v>517</v>
      </c>
    </row>
    <row r="401" spans="2:9">
      <c r="B401" s="12"/>
      <c r="C401" s="9" t="s">
        <v>781</v>
      </c>
      <c r="D401" s="11"/>
    </row>
    <row r="402" spans="2:9">
      <c r="B402" s="12"/>
      <c r="C402" s="9" t="s">
        <v>136</v>
      </c>
      <c r="D402" s="9" t="s">
        <v>730</v>
      </c>
      <c r="E402" s="9" t="s">
        <v>731</v>
      </c>
      <c r="F402" s="9" t="s">
        <v>732</v>
      </c>
      <c r="G402" s="7"/>
    </row>
    <row r="403" spans="2:9" ht="101.25">
      <c r="B403" s="12"/>
      <c r="C403" s="9" t="s">
        <v>733</v>
      </c>
      <c r="D403" s="11" t="s">
        <v>312</v>
      </c>
      <c r="E403" s="4" t="s">
        <v>559</v>
      </c>
      <c r="F403" s="9" t="s">
        <v>557</v>
      </c>
      <c r="I403" s="4"/>
    </row>
    <row r="404" spans="2:9">
      <c r="B404" s="12"/>
      <c r="C404" s="9" t="s">
        <v>738</v>
      </c>
      <c r="D404" s="11"/>
      <c r="F404" s="9" t="s">
        <v>734</v>
      </c>
    </row>
    <row r="405" spans="2:9">
      <c r="B405" s="12"/>
      <c r="C405" s="9" t="s">
        <v>735</v>
      </c>
      <c r="D405" s="11"/>
      <c r="F405" s="9" t="s">
        <v>558</v>
      </c>
    </row>
    <row r="406" spans="2:9">
      <c r="B406" s="12"/>
      <c r="C406" s="9" t="s">
        <v>775</v>
      </c>
      <c r="D406" s="11"/>
    </row>
    <row r="407" spans="2:9">
      <c r="B407" s="12"/>
      <c r="C407" s="9" t="s">
        <v>137</v>
      </c>
      <c r="D407" s="9" t="s">
        <v>730</v>
      </c>
      <c r="E407" s="9" t="s">
        <v>731</v>
      </c>
      <c r="F407" s="9" t="s">
        <v>732</v>
      </c>
      <c r="G407" s="7"/>
    </row>
    <row r="408" spans="2:9" ht="202.5">
      <c r="B408" s="12"/>
      <c r="C408" s="9" t="s">
        <v>733</v>
      </c>
      <c r="D408" s="11" t="s">
        <v>313</v>
      </c>
      <c r="E408" s="4" t="s">
        <v>561</v>
      </c>
      <c r="F408" s="9" t="s">
        <v>560</v>
      </c>
      <c r="I408" s="4"/>
    </row>
    <row r="409" spans="2:9">
      <c r="B409" s="12"/>
      <c r="C409" s="9" t="s">
        <v>745</v>
      </c>
      <c r="D409" s="11"/>
      <c r="F409" s="9" t="s">
        <v>734</v>
      </c>
    </row>
    <row r="410" spans="2:9">
      <c r="B410" s="12"/>
      <c r="C410" s="9" t="s">
        <v>735</v>
      </c>
      <c r="D410" s="11"/>
      <c r="F410" s="9" t="s">
        <v>558</v>
      </c>
    </row>
    <row r="411" spans="2:9">
      <c r="B411" s="12"/>
      <c r="C411" s="9" t="s">
        <v>736</v>
      </c>
      <c r="D411" s="11"/>
    </row>
    <row r="412" spans="2:9">
      <c r="B412" s="12"/>
      <c r="C412" s="9" t="s">
        <v>138</v>
      </c>
      <c r="D412" s="9" t="s">
        <v>730</v>
      </c>
      <c r="E412" s="9" t="s">
        <v>731</v>
      </c>
      <c r="F412" s="9" t="s">
        <v>732</v>
      </c>
      <c r="G412" s="7"/>
    </row>
    <row r="413" spans="2:9">
      <c r="B413" s="12"/>
      <c r="C413" s="9" t="s">
        <v>733</v>
      </c>
      <c r="D413" s="11" t="s">
        <v>314</v>
      </c>
      <c r="E413" s="9" t="s">
        <v>563</v>
      </c>
      <c r="F413" s="9" t="s">
        <v>562</v>
      </c>
      <c r="I413" s="4"/>
    </row>
    <row r="414" spans="2:9">
      <c r="B414" s="12"/>
      <c r="C414" s="9" t="s">
        <v>745</v>
      </c>
      <c r="D414" s="11"/>
      <c r="F414" s="9" t="s">
        <v>734</v>
      </c>
    </row>
    <row r="415" spans="2:9">
      <c r="B415" s="12"/>
      <c r="C415" s="9" t="s">
        <v>735</v>
      </c>
      <c r="D415" s="11"/>
      <c r="F415" s="9" t="s">
        <v>558</v>
      </c>
    </row>
    <row r="416" spans="2:9">
      <c r="B416" s="12"/>
      <c r="C416" s="9" t="s">
        <v>769</v>
      </c>
      <c r="D416" s="11"/>
    </row>
    <row r="417" spans="2:9">
      <c r="B417" s="12"/>
      <c r="C417" s="9" t="s">
        <v>139</v>
      </c>
      <c r="D417" s="9" t="s">
        <v>730</v>
      </c>
      <c r="E417" s="9" t="s">
        <v>731</v>
      </c>
      <c r="F417" s="9" t="s">
        <v>732</v>
      </c>
      <c r="G417" s="7"/>
    </row>
    <row r="418" spans="2:9" ht="56.25">
      <c r="B418" s="12"/>
      <c r="C418" s="9" t="s">
        <v>733</v>
      </c>
      <c r="D418" s="11" t="s">
        <v>315</v>
      </c>
      <c r="E418" s="4" t="s">
        <v>565</v>
      </c>
      <c r="F418" s="9" t="s">
        <v>564</v>
      </c>
    </row>
    <row r="419" spans="2:9">
      <c r="B419" s="12"/>
      <c r="C419" s="9" t="s">
        <v>738</v>
      </c>
      <c r="D419" s="11"/>
      <c r="F419" s="9" t="s">
        <v>734</v>
      </c>
    </row>
    <row r="420" spans="2:9">
      <c r="B420" s="12"/>
      <c r="C420" s="9" t="s">
        <v>735</v>
      </c>
      <c r="D420" s="11"/>
      <c r="F420" s="9" t="s">
        <v>558</v>
      </c>
    </row>
    <row r="421" spans="2:9">
      <c r="B421" s="12"/>
      <c r="C421" s="9" t="s">
        <v>736</v>
      </c>
      <c r="D421" s="11"/>
    </row>
    <row r="422" spans="2:9">
      <c r="B422" s="12"/>
      <c r="C422" s="9" t="s">
        <v>140</v>
      </c>
      <c r="D422" s="9" t="s">
        <v>730</v>
      </c>
      <c r="E422" s="9" t="s">
        <v>731</v>
      </c>
      <c r="F422" s="9" t="s">
        <v>732</v>
      </c>
      <c r="G422" s="7"/>
    </row>
    <row r="423" spans="2:9" ht="281.25">
      <c r="B423" s="12"/>
      <c r="C423" s="9" t="s">
        <v>733</v>
      </c>
      <c r="D423" s="11" t="s">
        <v>316</v>
      </c>
      <c r="E423" s="4" t="s">
        <v>566</v>
      </c>
      <c r="F423" s="9" t="s">
        <v>562</v>
      </c>
      <c r="I423" s="4"/>
    </row>
    <row r="424" spans="2:9">
      <c r="B424" s="12"/>
      <c r="C424" s="9" t="s">
        <v>738</v>
      </c>
      <c r="D424" s="11"/>
      <c r="F424" s="9" t="s">
        <v>734</v>
      </c>
    </row>
    <row r="425" spans="2:9">
      <c r="B425" s="12"/>
      <c r="C425" s="9" t="s">
        <v>735</v>
      </c>
      <c r="D425" s="11"/>
      <c r="F425" s="9" t="s">
        <v>558</v>
      </c>
    </row>
    <row r="426" spans="2:9">
      <c r="B426" s="12"/>
      <c r="C426" s="9" t="s">
        <v>759</v>
      </c>
      <c r="D426" s="11"/>
    </row>
    <row r="427" spans="2:9">
      <c r="B427" s="12"/>
      <c r="C427" s="9" t="s">
        <v>141</v>
      </c>
      <c r="D427" s="9" t="s">
        <v>730</v>
      </c>
      <c r="E427" s="9" t="s">
        <v>731</v>
      </c>
      <c r="F427" s="9" t="s">
        <v>732</v>
      </c>
      <c r="G427" s="7"/>
    </row>
    <row r="428" spans="2:9" ht="180">
      <c r="B428" s="12"/>
      <c r="C428" s="9" t="s">
        <v>733</v>
      </c>
      <c r="D428" s="11" t="s">
        <v>317</v>
      </c>
      <c r="E428" s="4" t="s">
        <v>567</v>
      </c>
      <c r="F428" s="9" t="s">
        <v>560</v>
      </c>
      <c r="I428" s="4"/>
    </row>
    <row r="429" spans="2:9">
      <c r="B429" s="12"/>
      <c r="C429" s="9" t="s">
        <v>743</v>
      </c>
      <c r="D429" s="11"/>
      <c r="F429" s="9" t="s">
        <v>734</v>
      </c>
    </row>
    <row r="430" spans="2:9">
      <c r="B430" s="12"/>
      <c r="C430" s="9" t="s">
        <v>735</v>
      </c>
      <c r="D430" s="11"/>
      <c r="F430" s="9" t="s">
        <v>558</v>
      </c>
    </row>
    <row r="431" spans="2:9">
      <c r="B431" s="12"/>
      <c r="C431" s="9" t="s">
        <v>782</v>
      </c>
      <c r="D431" s="11"/>
    </row>
    <row r="432" spans="2:9">
      <c r="B432" s="12"/>
      <c r="C432" s="9" t="s">
        <v>142</v>
      </c>
      <c r="D432" s="9" t="s">
        <v>730</v>
      </c>
      <c r="E432" s="9" t="s">
        <v>731</v>
      </c>
      <c r="F432" s="9" t="s">
        <v>732</v>
      </c>
      <c r="G432" s="7"/>
    </row>
    <row r="433" spans="2:9" ht="123.75">
      <c r="B433" s="12"/>
      <c r="C433" s="9" t="s">
        <v>733</v>
      </c>
      <c r="D433" s="11" t="s">
        <v>318</v>
      </c>
      <c r="E433" s="4" t="s">
        <v>570</v>
      </c>
      <c r="F433" s="9" t="s">
        <v>568</v>
      </c>
      <c r="I433" s="4"/>
    </row>
    <row r="434" spans="2:9">
      <c r="B434" s="12"/>
      <c r="C434" s="9" t="s">
        <v>741</v>
      </c>
      <c r="D434" s="11"/>
      <c r="F434" s="9" t="s">
        <v>734</v>
      </c>
    </row>
    <row r="435" spans="2:9">
      <c r="B435" s="12"/>
      <c r="C435" s="9" t="s">
        <v>735</v>
      </c>
      <c r="D435" s="11"/>
      <c r="F435" s="9" t="s">
        <v>569</v>
      </c>
    </row>
    <row r="436" spans="2:9">
      <c r="B436" s="12"/>
      <c r="C436" s="9" t="s">
        <v>761</v>
      </c>
      <c r="D436" s="11"/>
    </row>
    <row r="437" spans="2:9">
      <c r="B437" s="12"/>
      <c r="C437" s="9" t="s">
        <v>143</v>
      </c>
      <c r="D437" s="9" t="s">
        <v>730</v>
      </c>
      <c r="E437" s="9" t="s">
        <v>731</v>
      </c>
      <c r="F437" s="9" t="s">
        <v>732</v>
      </c>
      <c r="G437" s="7"/>
    </row>
    <row r="438" spans="2:9" ht="135">
      <c r="B438" s="12"/>
      <c r="C438" s="9" t="s">
        <v>733</v>
      </c>
      <c r="D438" s="11" t="s">
        <v>319</v>
      </c>
      <c r="E438" s="4" t="s">
        <v>572</v>
      </c>
      <c r="F438" s="9" t="s">
        <v>571</v>
      </c>
      <c r="I438" s="4"/>
    </row>
    <row r="439" spans="2:9">
      <c r="B439" s="12"/>
      <c r="C439" s="9" t="s">
        <v>738</v>
      </c>
      <c r="D439" s="11"/>
      <c r="F439" s="9" t="s">
        <v>734</v>
      </c>
    </row>
    <row r="440" spans="2:9">
      <c r="B440" s="12"/>
      <c r="C440" s="9" t="s">
        <v>735</v>
      </c>
      <c r="D440" s="11"/>
      <c r="F440" s="9" t="s">
        <v>558</v>
      </c>
    </row>
    <row r="441" spans="2:9">
      <c r="B441" s="12"/>
      <c r="C441" s="9" t="s">
        <v>775</v>
      </c>
      <c r="D441" s="11"/>
    </row>
    <row r="442" spans="2:9">
      <c r="B442" s="12"/>
      <c r="C442" s="9" t="s">
        <v>144</v>
      </c>
      <c r="D442" s="9" t="s">
        <v>730</v>
      </c>
      <c r="E442" s="9" t="s">
        <v>731</v>
      </c>
      <c r="F442" s="9" t="s">
        <v>732</v>
      </c>
      <c r="G442" s="7"/>
    </row>
    <row r="443" spans="2:9">
      <c r="B443" s="12"/>
      <c r="C443" s="9" t="s">
        <v>733</v>
      </c>
      <c r="D443" s="11" t="s">
        <v>320</v>
      </c>
      <c r="E443" s="9" t="s">
        <v>574</v>
      </c>
      <c r="F443" s="9" t="s">
        <v>573</v>
      </c>
      <c r="I443" s="4"/>
    </row>
    <row r="444" spans="2:9">
      <c r="B444" s="12"/>
      <c r="C444" s="9" t="s">
        <v>738</v>
      </c>
      <c r="D444" s="11"/>
      <c r="F444" s="9" t="s">
        <v>734</v>
      </c>
    </row>
    <row r="445" spans="2:9">
      <c r="B445" s="12"/>
      <c r="C445" s="9" t="s">
        <v>735</v>
      </c>
      <c r="D445" s="11"/>
      <c r="F445" s="9" t="s">
        <v>558</v>
      </c>
    </row>
    <row r="446" spans="2:9">
      <c r="B446" s="12"/>
      <c r="C446" s="9" t="s">
        <v>736</v>
      </c>
      <c r="D446" s="11"/>
    </row>
    <row r="447" spans="2:9">
      <c r="B447" s="12"/>
      <c r="C447" s="9" t="s">
        <v>145</v>
      </c>
      <c r="D447" s="9" t="s">
        <v>730</v>
      </c>
      <c r="E447" s="9" t="s">
        <v>731</v>
      </c>
      <c r="F447" s="9" t="s">
        <v>732</v>
      </c>
      <c r="G447" s="7"/>
    </row>
    <row r="448" spans="2:9" ht="202.5">
      <c r="B448" s="12"/>
      <c r="C448" s="9" t="s">
        <v>733</v>
      </c>
      <c r="D448" s="11" t="s">
        <v>321</v>
      </c>
      <c r="E448" s="4" t="s">
        <v>575</v>
      </c>
      <c r="F448" s="9" t="s">
        <v>560</v>
      </c>
      <c r="I448" s="4"/>
    </row>
    <row r="449" spans="2:9">
      <c r="B449" s="12"/>
      <c r="C449" s="9" t="s">
        <v>745</v>
      </c>
      <c r="D449" s="11"/>
      <c r="F449" s="9" t="s">
        <v>734</v>
      </c>
    </row>
    <row r="450" spans="2:9">
      <c r="B450" s="12"/>
      <c r="C450" s="9" t="s">
        <v>735</v>
      </c>
      <c r="D450" s="11"/>
      <c r="F450" s="9" t="s">
        <v>558</v>
      </c>
    </row>
    <row r="451" spans="2:9">
      <c r="B451" s="12"/>
      <c r="C451" s="9" t="s">
        <v>757</v>
      </c>
      <c r="D451" s="11"/>
    </row>
    <row r="452" spans="2:9">
      <c r="B452" s="12"/>
      <c r="C452" s="9" t="s">
        <v>301</v>
      </c>
      <c r="D452" s="9" t="s">
        <v>730</v>
      </c>
      <c r="E452" s="9" t="s">
        <v>731</v>
      </c>
      <c r="F452" s="9" t="s">
        <v>732</v>
      </c>
      <c r="G452" s="7"/>
    </row>
    <row r="453" spans="2:9" ht="123.75">
      <c r="B453" s="12"/>
      <c r="C453" s="9" t="s">
        <v>733</v>
      </c>
      <c r="D453" s="11" t="s">
        <v>737</v>
      </c>
      <c r="E453" s="4" t="s">
        <v>576</v>
      </c>
      <c r="F453" s="9" t="s">
        <v>562</v>
      </c>
      <c r="I453" s="4"/>
    </row>
    <row r="454" spans="2:9">
      <c r="B454" s="12"/>
      <c r="C454" s="9" t="s">
        <v>737</v>
      </c>
      <c r="D454" s="11"/>
      <c r="F454" s="9" t="s">
        <v>734</v>
      </c>
    </row>
    <row r="455" spans="2:9">
      <c r="B455" s="12"/>
      <c r="C455" s="9" t="s">
        <v>735</v>
      </c>
      <c r="D455" s="11"/>
      <c r="F455" s="9" t="s">
        <v>558</v>
      </c>
    </row>
    <row r="456" spans="2:9">
      <c r="B456" s="12"/>
      <c r="C456" s="9" t="s">
        <v>780</v>
      </c>
      <c r="D456" s="11"/>
    </row>
    <row r="457" spans="2:9">
      <c r="B457" s="12"/>
      <c r="C457" s="9" t="s">
        <v>147</v>
      </c>
      <c r="D457" s="9" t="s">
        <v>730</v>
      </c>
      <c r="E457" s="9" t="s">
        <v>731</v>
      </c>
      <c r="F457" s="9" t="s">
        <v>732</v>
      </c>
      <c r="G457" s="7"/>
    </row>
    <row r="458" spans="2:9" ht="202.5">
      <c r="B458" s="12"/>
      <c r="C458" s="9" t="s">
        <v>733</v>
      </c>
      <c r="D458" s="11" t="s">
        <v>323</v>
      </c>
      <c r="E458" s="4" t="s">
        <v>577</v>
      </c>
      <c r="F458" s="9" t="s">
        <v>573</v>
      </c>
      <c r="I458" s="4"/>
    </row>
    <row r="459" spans="2:9">
      <c r="B459" s="12"/>
      <c r="C459" s="9" t="s">
        <v>738</v>
      </c>
      <c r="D459" s="11"/>
      <c r="F459" s="9" t="s">
        <v>734</v>
      </c>
    </row>
    <row r="460" spans="2:9">
      <c r="B460" s="12"/>
      <c r="C460" s="9" t="s">
        <v>735</v>
      </c>
      <c r="D460" s="11"/>
      <c r="F460" s="9" t="s">
        <v>558</v>
      </c>
    </row>
    <row r="461" spans="2:9">
      <c r="B461" s="12"/>
      <c r="C461" s="9" t="s">
        <v>738</v>
      </c>
      <c r="D461" s="11"/>
    </row>
    <row r="462" spans="2:9">
      <c r="B462" s="12"/>
      <c r="C462" s="9" t="s">
        <v>0</v>
      </c>
      <c r="D462" s="9" t="s">
        <v>730</v>
      </c>
      <c r="E462" s="9" t="s">
        <v>731</v>
      </c>
      <c r="F462" s="9" t="s">
        <v>732</v>
      </c>
      <c r="G462" s="7"/>
    </row>
    <row r="463" spans="2:9" ht="270">
      <c r="B463" s="12"/>
      <c r="C463" s="9" t="s">
        <v>733</v>
      </c>
      <c r="D463" s="11" t="s">
        <v>324</v>
      </c>
      <c r="E463" s="4" t="s">
        <v>579</v>
      </c>
      <c r="F463" s="9" t="s">
        <v>578</v>
      </c>
      <c r="I463" s="4"/>
    </row>
    <row r="464" spans="2:9">
      <c r="B464" s="12"/>
      <c r="C464" s="9" t="s">
        <v>741</v>
      </c>
      <c r="D464" s="11"/>
      <c r="F464" s="9" t="s">
        <v>734</v>
      </c>
    </row>
    <row r="465" spans="2:9">
      <c r="B465" s="12"/>
      <c r="C465" s="9" t="s">
        <v>735</v>
      </c>
      <c r="D465" s="11"/>
      <c r="F465" s="9" t="s">
        <v>558</v>
      </c>
    </row>
    <row r="466" spans="2:9">
      <c r="B466" s="12"/>
      <c r="C466" s="9" t="s">
        <v>750</v>
      </c>
      <c r="D466" s="11"/>
    </row>
    <row r="467" spans="2:9">
      <c r="B467" s="12"/>
      <c r="C467" s="9" t="s">
        <v>295</v>
      </c>
      <c r="D467" s="9" t="s">
        <v>730</v>
      </c>
      <c r="E467" s="9" t="s">
        <v>731</v>
      </c>
      <c r="F467" s="9" t="s">
        <v>732</v>
      </c>
      <c r="G467" s="7"/>
    </row>
    <row r="468" spans="2:9" ht="45">
      <c r="B468" s="12"/>
      <c r="C468" s="9" t="s">
        <v>733</v>
      </c>
      <c r="D468" s="11" t="s">
        <v>737</v>
      </c>
      <c r="E468" s="4" t="s">
        <v>580</v>
      </c>
      <c r="F468" s="9" t="s">
        <v>557</v>
      </c>
      <c r="I468" s="4"/>
    </row>
    <row r="469" spans="2:9">
      <c r="B469" s="12"/>
      <c r="C469" s="9" t="s">
        <v>737</v>
      </c>
      <c r="D469" s="11"/>
      <c r="F469" s="9" t="s">
        <v>734</v>
      </c>
    </row>
    <row r="470" spans="2:9">
      <c r="B470" s="12"/>
      <c r="C470" s="9" t="s">
        <v>735</v>
      </c>
      <c r="D470" s="11"/>
      <c r="F470" s="9" t="s">
        <v>558</v>
      </c>
    </row>
    <row r="471" spans="2:9">
      <c r="B471" s="12"/>
      <c r="C471" s="9" t="s">
        <v>753</v>
      </c>
      <c r="D471" s="11"/>
    </row>
    <row r="472" spans="2:9">
      <c r="B472" s="12"/>
      <c r="C472" s="9" t="s">
        <v>149</v>
      </c>
      <c r="D472" s="9" t="s">
        <v>730</v>
      </c>
      <c r="E472" s="9" t="s">
        <v>731</v>
      </c>
      <c r="F472" s="9" t="s">
        <v>732</v>
      </c>
      <c r="G472" s="7"/>
    </row>
    <row r="473" spans="2:9" ht="112.5">
      <c r="B473" s="12"/>
      <c r="C473" s="9" t="s">
        <v>733</v>
      </c>
      <c r="D473" s="11" t="s">
        <v>326</v>
      </c>
      <c r="E473" s="4" t="s">
        <v>582</v>
      </c>
      <c r="F473" s="9" t="s">
        <v>581</v>
      </c>
      <c r="I473" s="4"/>
    </row>
    <row r="474" spans="2:9">
      <c r="B474" s="12"/>
      <c r="C474" s="9" t="s">
        <v>738</v>
      </c>
      <c r="D474" s="11"/>
      <c r="F474" s="9" t="s">
        <v>734</v>
      </c>
    </row>
    <row r="475" spans="2:9">
      <c r="B475" s="12"/>
      <c r="C475" s="9" t="s">
        <v>735</v>
      </c>
      <c r="D475" s="11"/>
      <c r="F475" s="9" t="s">
        <v>558</v>
      </c>
    </row>
    <row r="476" spans="2:9">
      <c r="B476" s="12"/>
      <c r="C476" s="9" t="s">
        <v>783</v>
      </c>
      <c r="D476" s="11"/>
    </row>
    <row r="477" spans="2:9">
      <c r="B477" s="12"/>
      <c r="C477" s="9" t="s">
        <v>294</v>
      </c>
      <c r="D477" s="9" t="s">
        <v>730</v>
      </c>
      <c r="E477" s="9" t="s">
        <v>731</v>
      </c>
      <c r="F477" s="9" t="s">
        <v>732</v>
      </c>
      <c r="G477" s="7"/>
    </row>
    <row r="478" spans="2:9" ht="191.25">
      <c r="B478" s="12"/>
      <c r="C478" s="9" t="s">
        <v>733</v>
      </c>
      <c r="D478" s="11" t="s">
        <v>737</v>
      </c>
      <c r="E478" s="4" t="s">
        <v>583</v>
      </c>
      <c r="F478" s="9" t="s">
        <v>581</v>
      </c>
      <c r="I478" s="4"/>
    </row>
    <row r="479" spans="2:9">
      <c r="B479" s="12"/>
      <c r="C479" s="9" t="s">
        <v>737</v>
      </c>
      <c r="D479" s="11"/>
      <c r="F479" s="9" t="s">
        <v>734</v>
      </c>
    </row>
    <row r="480" spans="2:9">
      <c r="B480" s="12"/>
      <c r="C480" s="9" t="s">
        <v>735</v>
      </c>
      <c r="D480" s="11"/>
      <c r="F480" s="9" t="s">
        <v>558</v>
      </c>
    </row>
    <row r="481" spans="2:9">
      <c r="B481" s="12"/>
      <c r="C481" s="9" t="s">
        <v>753</v>
      </c>
      <c r="D481" s="11"/>
    </row>
    <row r="482" spans="2:9">
      <c r="B482" s="12"/>
      <c r="C482" s="9" t="s">
        <v>151</v>
      </c>
      <c r="D482" s="9" t="s">
        <v>730</v>
      </c>
      <c r="E482" s="9" t="s">
        <v>731</v>
      </c>
      <c r="F482" s="9" t="s">
        <v>732</v>
      </c>
      <c r="G482" s="7"/>
    </row>
    <row r="483" spans="2:9">
      <c r="B483" s="12"/>
      <c r="C483" s="9" t="s">
        <v>733</v>
      </c>
      <c r="D483" s="11" t="s">
        <v>328</v>
      </c>
      <c r="E483" s="9" t="s">
        <v>584</v>
      </c>
      <c r="F483" s="9" t="s">
        <v>578</v>
      </c>
      <c r="I483" s="4"/>
    </row>
    <row r="484" spans="2:9">
      <c r="B484" s="12"/>
      <c r="C484" s="9" t="s">
        <v>743</v>
      </c>
      <c r="D484" s="11"/>
      <c r="F484" s="9" t="s">
        <v>734</v>
      </c>
    </row>
    <row r="485" spans="2:9">
      <c r="B485" s="12"/>
      <c r="C485" s="9" t="s">
        <v>735</v>
      </c>
      <c r="D485" s="11"/>
      <c r="F485" s="9" t="s">
        <v>558</v>
      </c>
    </row>
    <row r="486" spans="2:9">
      <c r="B486" s="12"/>
      <c r="C486" s="9" t="s">
        <v>784</v>
      </c>
      <c r="D486" s="11"/>
    </row>
    <row r="487" spans="2:9">
      <c r="B487" s="12"/>
      <c r="C487" s="9" t="s">
        <v>152</v>
      </c>
      <c r="D487" s="9" t="s">
        <v>730</v>
      </c>
      <c r="E487" s="9" t="s">
        <v>731</v>
      </c>
      <c r="F487" s="9" t="s">
        <v>732</v>
      </c>
      <c r="G487" s="7"/>
    </row>
    <row r="488" spans="2:9" ht="225">
      <c r="B488" s="12"/>
      <c r="C488" s="9" t="s">
        <v>733</v>
      </c>
      <c r="D488" s="11" t="s">
        <v>329</v>
      </c>
      <c r="E488" s="4" t="s">
        <v>586</v>
      </c>
      <c r="F488" s="9" t="s">
        <v>585</v>
      </c>
      <c r="I488" s="4"/>
    </row>
    <row r="489" spans="2:9">
      <c r="B489" s="12"/>
      <c r="C489" s="9" t="s">
        <v>741</v>
      </c>
      <c r="D489" s="11"/>
      <c r="F489" s="9" t="s">
        <v>734</v>
      </c>
    </row>
    <row r="490" spans="2:9">
      <c r="B490" s="12"/>
      <c r="C490" s="9" t="s">
        <v>735</v>
      </c>
      <c r="D490" s="11"/>
      <c r="F490" s="9" t="s">
        <v>558</v>
      </c>
    </row>
    <row r="491" spans="2:9">
      <c r="B491" s="12"/>
      <c r="C491" s="9" t="s">
        <v>748</v>
      </c>
      <c r="D491" s="11"/>
    </row>
    <row r="492" spans="2:9">
      <c r="B492" s="12"/>
      <c r="C492" s="9" t="s">
        <v>153</v>
      </c>
      <c r="D492" s="9" t="s">
        <v>730</v>
      </c>
      <c r="E492" s="9" t="s">
        <v>731</v>
      </c>
      <c r="F492" s="9" t="s">
        <v>732</v>
      </c>
      <c r="G492" s="7"/>
    </row>
    <row r="493" spans="2:9" ht="247.5">
      <c r="B493" s="12"/>
      <c r="C493" s="9" t="s">
        <v>733</v>
      </c>
      <c r="D493" s="11" t="s">
        <v>330</v>
      </c>
      <c r="E493" s="4" t="s">
        <v>587</v>
      </c>
      <c r="F493" s="9" t="s">
        <v>557</v>
      </c>
      <c r="I493" s="4"/>
    </row>
    <row r="494" spans="2:9">
      <c r="B494" s="12"/>
      <c r="C494" s="9" t="s">
        <v>736</v>
      </c>
      <c r="D494" s="11"/>
      <c r="F494" s="9" t="s">
        <v>734</v>
      </c>
    </row>
    <row r="495" spans="2:9">
      <c r="B495" s="12"/>
      <c r="C495" s="9" t="s">
        <v>735</v>
      </c>
      <c r="D495" s="11"/>
      <c r="F495" s="9" t="s">
        <v>558</v>
      </c>
    </row>
    <row r="496" spans="2:9">
      <c r="B496" s="12"/>
      <c r="C496" s="9" t="s">
        <v>785</v>
      </c>
      <c r="D496" s="11"/>
    </row>
    <row r="497" spans="2:9">
      <c r="B497" s="12"/>
      <c r="C497" s="9" t="s">
        <v>300</v>
      </c>
      <c r="D497" s="9" t="s">
        <v>730</v>
      </c>
      <c r="E497" s="9" t="s">
        <v>731</v>
      </c>
      <c r="F497" s="9" t="s">
        <v>732</v>
      </c>
      <c r="G497" s="7"/>
    </row>
    <row r="498" spans="2:9">
      <c r="B498" s="12"/>
      <c r="C498" s="9" t="s">
        <v>733</v>
      </c>
      <c r="D498" s="11" t="s">
        <v>737</v>
      </c>
      <c r="E498" s="9" t="s">
        <v>588</v>
      </c>
      <c r="F498" s="9" t="s">
        <v>562</v>
      </c>
      <c r="I498" s="4"/>
    </row>
    <row r="499" spans="2:9">
      <c r="B499" s="12"/>
      <c r="C499" s="9" t="s">
        <v>737</v>
      </c>
      <c r="D499" s="11"/>
      <c r="F499" s="9" t="s">
        <v>734</v>
      </c>
    </row>
    <row r="500" spans="2:9">
      <c r="B500" s="12"/>
      <c r="C500" s="9" t="s">
        <v>735</v>
      </c>
      <c r="D500" s="11"/>
      <c r="F500" s="9" t="s">
        <v>558</v>
      </c>
    </row>
    <row r="501" spans="2:9">
      <c r="B501" s="12"/>
      <c r="C501" s="9" t="s">
        <v>745</v>
      </c>
      <c r="D501" s="11"/>
    </row>
    <row r="502" spans="2:9">
      <c r="B502" s="12"/>
      <c r="C502" s="9" t="s">
        <v>155</v>
      </c>
      <c r="D502" s="9" t="s">
        <v>730</v>
      </c>
      <c r="E502" s="9" t="s">
        <v>731</v>
      </c>
      <c r="F502" s="9" t="s">
        <v>732</v>
      </c>
      <c r="G502" s="7"/>
    </row>
    <row r="503" spans="2:9" ht="67.5">
      <c r="B503" s="12"/>
      <c r="C503" s="9" t="s">
        <v>733</v>
      </c>
      <c r="D503" s="11" t="s">
        <v>332</v>
      </c>
      <c r="E503" s="4" t="s">
        <v>589</v>
      </c>
      <c r="F503" s="9" t="s">
        <v>557</v>
      </c>
    </row>
    <row r="504" spans="2:9">
      <c r="B504" s="12"/>
      <c r="C504" s="9" t="s">
        <v>736</v>
      </c>
      <c r="D504" s="11"/>
      <c r="F504" s="9" t="s">
        <v>734</v>
      </c>
    </row>
    <row r="505" spans="2:9">
      <c r="B505" s="12"/>
      <c r="C505" s="9" t="s">
        <v>735</v>
      </c>
      <c r="D505" s="11"/>
      <c r="F505" s="9" t="s">
        <v>558</v>
      </c>
    </row>
    <row r="506" spans="2:9">
      <c r="B506" s="12"/>
      <c r="C506" s="9" t="s">
        <v>768</v>
      </c>
      <c r="D506" s="11"/>
    </row>
    <row r="507" spans="2:9">
      <c r="B507" s="12"/>
      <c r="C507" s="9" t="s">
        <v>156</v>
      </c>
      <c r="D507" s="9" t="s">
        <v>730</v>
      </c>
      <c r="E507" s="9" t="s">
        <v>731</v>
      </c>
      <c r="F507" s="9" t="s">
        <v>732</v>
      </c>
      <c r="G507" s="7"/>
    </row>
    <row r="508" spans="2:9" ht="101.25">
      <c r="B508" s="12"/>
      <c r="C508" s="9" t="s">
        <v>733</v>
      </c>
      <c r="D508" s="11" t="s">
        <v>333</v>
      </c>
      <c r="E508" s="4" t="s">
        <v>590</v>
      </c>
      <c r="F508" s="9" t="s">
        <v>581</v>
      </c>
    </row>
    <row r="509" spans="2:9">
      <c r="B509" s="12"/>
      <c r="C509" s="9" t="s">
        <v>738</v>
      </c>
      <c r="D509" s="11"/>
      <c r="F509" s="9" t="s">
        <v>734</v>
      </c>
    </row>
    <row r="510" spans="2:9">
      <c r="B510" s="12"/>
      <c r="C510" s="9" t="s">
        <v>735</v>
      </c>
      <c r="D510" s="11"/>
      <c r="F510" s="9" t="s">
        <v>558</v>
      </c>
    </row>
    <row r="511" spans="2:9">
      <c r="B511" s="12"/>
      <c r="C511" s="9" t="s">
        <v>757</v>
      </c>
      <c r="D511" s="11"/>
    </row>
    <row r="512" spans="2:9">
      <c r="B512" s="12"/>
      <c r="C512" s="9" t="s">
        <v>157</v>
      </c>
      <c r="D512" s="9" t="s">
        <v>730</v>
      </c>
      <c r="E512" s="9" t="s">
        <v>731</v>
      </c>
      <c r="F512" s="9" t="s">
        <v>732</v>
      </c>
      <c r="G512" s="7"/>
    </row>
    <row r="513" spans="2:9" ht="168.75">
      <c r="B513" s="12"/>
      <c r="C513" s="9" t="s">
        <v>733</v>
      </c>
      <c r="D513" s="11" t="s">
        <v>334</v>
      </c>
      <c r="E513" s="4" t="s">
        <v>591</v>
      </c>
      <c r="F513" s="9" t="s">
        <v>581</v>
      </c>
      <c r="I513" s="4"/>
    </row>
    <row r="514" spans="2:9">
      <c r="B514" s="12"/>
      <c r="C514" s="9" t="s">
        <v>741</v>
      </c>
      <c r="D514" s="11"/>
      <c r="F514" s="9" t="s">
        <v>734</v>
      </c>
    </row>
    <row r="515" spans="2:9">
      <c r="B515" s="12"/>
      <c r="C515" s="9" t="s">
        <v>735</v>
      </c>
      <c r="D515" s="11"/>
      <c r="F515" s="9" t="s">
        <v>558</v>
      </c>
    </row>
    <row r="516" spans="2:9">
      <c r="B516" s="12"/>
      <c r="C516" s="9" t="s">
        <v>762</v>
      </c>
      <c r="D516" s="11"/>
    </row>
    <row r="517" spans="2:9">
      <c r="B517" s="12"/>
      <c r="C517" s="9" t="s">
        <v>158</v>
      </c>
      <c r="D517" s="9" t="s">
        <v>730</v>
      </c>
      <c r="E517" s="9" t="s">
        <v>731</v>
      </c>
      <c r="F517" s="9" t="s">
        <v>732</v>
      </c>
      <c r="G517" s="7"/>
    </row>
    <row r="518" spans="2:9">
      <c r="B518" s="12"/>
      <c r="C518" s="9" t="s">
        <v>733</v>
      </c>
      <c r="D518" s="11" t="s">
        <v>335</v>
      </c>
      <c r="E518" s="9" t="s">
        <v>592</v>
      </c>
      <c r="F518" s="9" t="s">
        <v>557</v>
      </c>
      <c r="I518" s="4"/>
    </row>
    <row r="519" spans="2:9">
      <c r="B519" s="12"/>
      <c r="C519" s="9" t="s">
        <v>745</v>
      </c>
      <c r="D519" s="11"/>
      <c r="F519" s="9" t="s">
        <v>734</v>
      </c>
    </row>
    <row r="520" spans="2:9">
      <c r="B520" s="12"/>
      <c r="C520" s="9" t="s">
        <v>735</v>
      </c>
      <c r="D520" s="11"/>
      <c r="F520" s="9" t="s">
        <v>558</v>
      </c>
    </row>
    <row r="521" spans="2:9">
      <c r="B521" s="12"/>
      <c r="C521" s="9" t="s">
        <v>736</v>
      </c>
      <c r="D521" s="11"/>
    </row>
    <row r="522" spans="2:9">
      <c r="B522" s="12"/>
      <c r="C522" s="9" t="s">
        <v>159</v>
      </c>
      <c r="D522" s="9" t="s">
        <v>730</v>
      </c>
      <c r="E522" s="9" t="s">
        <v>731</v>
      </c>
      <c r="F522" s="9" t="s">
        <v>732</v>
      </c>
      <c r="G522" s="7"/>
    </row>
    <row r="523" spans="2:9" ht="202.5">
      <c r="B523" s="12"/>
      <c r="C523" s="9" t="s">
        <v>733</v>
      </c>
      <c r="D523" s="11" t="s">
        <v>336</v>
      </c>
      <c r="E523" s="4" t="s">
        <v>593</v>
      </c>
      <c r="F523" s="9" t="s">
        <v>560</v>
      </c>
      <c r="I523" s="4"/>
    </row>
    <row r="524" spans="2:9">
      <c r="B524" s="12"/>
      <c r="C524" s="9" t="s">
        <v>736</v>
      </c>
      <c r="D524" s="11"/>
      <c r="F524" s="9" t="s">
        <v>734</v>
      </c>
    </row>
    <row r="525" spans="2:9">
      <c r="B525" s="12"/>
      <c r="C525" s="9" t="s">
        <v>735</v>
      </c>
      <c r="D525" s="11"/>
      <c r="F525" s="9" t="s">
        <v>558</v>
      </c>
    </row>
    <row r="526" spans="2:9">
      <c r="B526" s="12"/>
      <c r="C526" s="9" t="s">
        <v>768</v>
      </c>
      <c r="D526" s="11"/>
    </row>
    <row r="527" spans="2:9">
      <c r="B527" s="12"/>
      <c r="C527" s="9" t="s">
        <v>160</v>
      </c>
      <c r="D527" s="9" t="s">
        <v>730</v>
      </c>
      <c r="E527" s="9" t="s">
        <v>731</v>
      </c>
      <c r="F527" s="9" t="s">
        <v>732</v>
      </c>
      <c r="G527" s="7"/>
    </row>
    <row r="528" spans="2:9">
      <c r="B528" s="12"/>
      <c r="C528" s="9" t="s">
        <v>733</v>
      </c>
      <c r="D528" s="11" t="s">
        <v>337</v>
      </c>
      <c r="E528" s="9" t="s">
        <v>595</v>
      </c>
      <c r="F528" s="9" t="s">
        <v>594</v>
      </c>
      <c r="I528" s="4"/>
    </row>
    <row r="529" spans="2:9">
      <c r="B529" s="12"/>
      <c r="C529" s="9" t="s">
        <v>740</v>
      </c>
      <c r="D529" s="11"/>
      <c r="F529" s="9" t="s">
        <v>734</v>
      </c>
    </row>
    <row r="530" spans="2:9">
      <c r="B530" s="12"/>
      <c r="C530" s="9" t="s">
        <v>735</v>
      </c>
      <c r="D530" s="11"/>
      <c r="F530" s="9" t="s">
        <v>558</v>
      </c>
    </row>
    <row r="531" spans="2:9">
      <c r="B531" s="12"/>
      <c r="C531" s="9" t="s">
        <v>786</v>
      </c>
      <c r="D531" s="11"/>
    </row>
    <row r="532" spans="2:9">
      <c r="B532" s="12"/>
      <c r="C532" s="9" t="s">
        <v>161</v>
      </c>
      <c r="D532" s="9" t="s">
        <v>730</v>
      </c>
      <c r="E532" s="9" t="s">
        <v>731</v>
      </c>
      <c r="F532" s="9" t="s">
        <v>732</v>
      </c>
      <c r="G532" s="7"/>
    </row>
    <row r="533" spans="2:9" ht="33.75">
      <c r="B533" s="12"/>
      <c r="C533" s="9" t="s">
        <v>733</v>
      </c>
      <c r="D533" s="11" t="s">
        <v>338</v>
      </c>
      <c r="E533" s="4" t="s">
        <v>596</v>
      </c>
      <c r="F533" s="9" t="s">
        <v>578</v>
      </c>
    </row>
    <row r="534" spans="2:9">
      <c r="B534" s="12"/>
      <c r="C534" s="9" t="s">
        <v>745</v>
      </c>
      <c r="D534" s="11"/>
      <c r="F534" s="9" t="s">
        <v>734</v>
      </c>
    </row>
    <row r="535" spans="2:9">
      <c r="B535" s="12"/>
      <c r="C535" s="9" t="s">
        <v>735</v>
      </c>
      <c r="D535" s="11"/>
      <c r="F535" s="9" t="s">
        <v>558</v>
      </c>
    </row>
    <row r="536" spans="2:9">
      <c r="B536" s="12"/>
      <c r="C536" s="9" t="s">
        <v>736</v>
      </c>
      <c r="D536" s="11"/>
    </row>
    <row r="537" spans="2:9">
      <c r="B537" s="12"/>
      <c r="C537" s="9" t="s">
        <v>162</v>
      </c>
      <c r="D537" s="9" t="s">
        <v>730</v>
      </c>
      <c r="E537" s="9" t="s">
        <v>731</v>
      </c>
      <c r="F537" s="9" t="s">
        <v>732</v>
      </c>
      <c r="G537" s="7"/>
    </row>
    <row r="538" spans="2:9" ht="146.25">
      <c r="B538" s="12"/>
      <c r="C538" s="9" t="s">
        <v>733</v>
      </c>
      <c r="D538" s="11" t="s">
        <v>339</v>
      </c>
      <c r="E538" s="4" t="s">
        <v>597</v>
      </c>
      <c r="F538" s="9" t="s">
        <v>557</v>
      </c>
    </row>
    <row r="539" spans="2:9">
      <c r="B539" s="12"/>
      <c r="C539" s="9" t="s">
        <v>742</v>
      </c>
      <c r="D539" s="11"/>
      <c r="F539" s="9" t="s">
        <v>734</v>
      </c>
    </row>
    <row r="540" spans="2:9">
      <c r="B540" s="12"/>
      <c r="C540" s="9" t="s">
        <v>735</v>
      </c>
      <c r="D540" s="11"/>
      <c r="F540" s="9" t="s">
        <v>558</v>
      </c>
    </row>
    <row r="541" spans="2:9">
      <c r="B541" s="12"/>
      <c r="C541" s="9" t="s">
        <v>757</v>
      </c>
      <c r="D541" s="11"/>
    </row>
    <row r="542" spans="2:9">
      <c r="B542" s="12"/>
      <c r="C542" s="9" t="s">
        <v>163</v>
      </c>
      <c r="D542" s="9" t="s">
        <v>730</v>
      </c>
      <c r="E542" s="9" t="s">
        <v>731</v>
      </c>
      <c r="F542" s="9" t="s">
        <v>732</v>
      </c>
      <c r="G542" s="7"/>
    </row>
    <row r="543" spans="2:9" ht="123.75">
      <c r="B543" s="12"/>
      <c r="C543" s="9" t="s">
        <v>733</v>
      </c>
      <c r="D543" s="11" t="s">
        <v>340</v>
      </c>
      <c r="E543" s="4" t="s">
        <v>598</v>
      </c>
      <c r="F543" s="9" t="s">
        <v>573</v>
      </c>
      <c r="I543" s="4"/>
    </row>
    <row r="544" spans="2:9">
      <c r="B544" s="12"/>
      <c r="C544" s="9" t="s">
        <v>740</v>
      </c>
      <c r="D544" s="11"/>
      <c r="F544" s="9" t="s">
        <v>734</v>
      </c>
    </row>
    <row r="545" spans="2:9">
      <c r="B545" s="12"/>
      <c r="C545" s="9" t="s">
        <v>735</v>
      </c>
      <c r="D545" s="11"/>
      <c r="F545" s="9" t="s">
        <v>558</v>
      </c>
    </row>
    <row r="546" spans="2:9">
      <c r="B546" s="12"/>
      <c r="C546" s="9" t="s">
        <v>756</v>
      </c>
      <c r="D546" s="11"/>
    </row>
    <row r="547" spans="2:9">
      <c r="B547" s="12"/>
      <c r="C547" s="9" t="s">
        <v>164</v>
      </c>
      <c r="D547" s="9" t="s">
        <v>730</v>
      </c>
      <c r="E547" s="9" t="s">
        <v>731</v>
      </c>
      <c r="F547" s="9" t="s">
        <v>732</v>
      </c>
      <c r="G547" s="7"/>
    </row>
    <row r="548" spans="2:9" ht="168.75">
      <c r="B548" s="12"/>
      <c r="C548" s="9" t="s">
        <v>733</v>
      </c>
      <c r="D548" s="11" t="s">
        <v>341</v>
      </c>
      <c r="E548" s="4" t="s">
        <v>599</v>
      </c>
      <c r="F548" s="9" t="s">
        <v>560</v>
      </c>
      <c r="I548" s="4"/>
    </row>
    <row r="549" spans="2:9">
      <c r="B549" s="12"/>
      <c r="C549" s="9" t="s">
        <v>745</v>
      </c>
      <c r="D549" s="11"/>
      <c r="F549" s="9" t="s">
        <v>734</v>
      </c>
    </row>
    <row r="550" spans="2:9">
      <c r="B550" s="12"/>
      <c r="C550" s="9" t="s">
        <v>735</v>
      </c>
      <c r="D550" s="11"/>
      <c r="F550" s="9" t="s">
        <v>558</v>
      </c>
    </row>
    <row r="551" spans="2:9">
      <c r="B551" s="12"/>
      <c r="C551" s="9" t="s">
        <v>757</v>
      </c>
      <c r="D551" s="11"/>
    </row>
    <row r="552" spans="2:9">
      <c r="B552" s="12"/>
      <c r="C552" s="9" t="s">
        <v>279</v>
      </c>
      <c r="D552" s="9" t="s">
        <v>730</v>
      </c>
      <c r="E552" s="9" t="s">
        <v>731</v>
      </c>
      <c r="F552" s="9" t="s">
        <v>732</v>
      </c>
      <c r="G552" s="7"/>
    </row>
    <row r="553" spans="2:9" ht="202.5">
      <c r="B553" s="12"/>
      <c r="C553" s="9" t="s">
        <v>733</v>
      </c>
      <c r="D553" s="11" t="s">
        <v>737</v>
      </c>
      <c r="E553" s="4" t="s">
        <v>601</v>
      </c>
      <c r="F553" s="9" t="s">
        <v>600</v>
      </c>
      <c r="I553" s="4"/>
    </row>
    <row r="554" spans="2:9">
      <c r="B554" s="12"/>
      <c r="C554" s="9" t="s">
        <v>737</v>
      </c>
      <c r="D554" s="11"/>
      <c r="F554" s="9" t="s">
        <v>734</v>
      </c>
    </row>
    <row r="555" spans="2:9">
      <c r="B555" s="12"/>
      <c r="C555" s="9" t="s">
        <v>735</v>
      </c>
      <c r="D555" s="11"/>
      <c r="F555" s="9" t="s">
        <v>558</v>
      </c>
    </row>
    <row r="556" spans="2:9">
      <c r="B556" s="12"/>
      <c r="C556" s="9" t="s">
        <v>787</v>
      </c>
      <c r="D556" s="11"/>
    </row>
    <row r="557" spans="2:9">
      <c r="B557" s="12"/>
      <c r="C557" s="9" t="s">
        <v>166</v>
      </c>
      <c r="D557" s="9" t="s">
        <v>730</v>
      </c>
      <c r="E557" s="9" t="s">
        <v>731</v>
      </c>
      <c r="F557" s="9" t="s">
        <v>732</v>
      </c>
      <c r="G557" s="7"/>
    </row>
    <row r="558" spans="2:9">
      <c r="B558" s="12"/>
      <c r="C558" s="9" t="s">
        <v>733</v>
      </c>
      <c r="D558" s="11" t="s">
        <v>343</v>
      </c>
      <c r="E558" s="9" t="s">
        <v>602</v>
      </c>
      <c r="F558" s="9" t="s">
        <v>562</v>
      </c>
      <c r="I558" s="4"/>
    </row>
    <row r="559" spans="2:9">
      <c r="B559" s="12"/>
      <c r="C559" s="9" t="s">
        <v>745</v>
      </c>
      <c r="D559" s="11"/>
      <c r="F559" s="9" t="s">
        <v>734</v>
      </c>
    </row>
    <row r="560" spans="2:9">
      <c r="B560" s="12"/>
      <c r="C560" s="9" t="s">
        <v>735</v>
      </c>
      <c r="D560" s="11"/>
      <c r="F560" s="9" t="s">
        <v>558</v>
      </c>
    </row>
    <row r="561" spans="2:9">
      <c r="B561" s="12"/>
      <c r="C561" s="9" t="s">
        <v>736</v>
      </c>
      <c r="D561" s="11"/>
    </row>
    <row r="562" spans="2:9">
      <c r="B562" s="12"/>
      <c r="C562" s="9" t="s">
        <v>167</v>
      </c>
      <c r="D562" s="9" t="s">
        <v>730</v>
      </c>
      <c r="E562" s="9" t="s">
        <v>731</v>
      </c>
      <c r="F562" s="9" t="s">
        <v>732</v>
      </c>
      <c r="G562" s="7"/>
    </row>
    <row r="563" spans="2:9">
      <c r="B563" s="12"/>
      <c r="C563" s="9" t="s">
        <v>733</v>
      </c>
      <c r="D563" s="11" t="s">
        <v>344</v>
      </c>
      <c r="E563" s="9" t="s">
        <v>603</v>
      </c>
      <c r="F563" s="9" t="s">
        <v>573</v>
      </c>
    </row>
    <row r="564" spans="2:9">
      <c r="B564" s="12"/>
      <c r="C564" s="9" t="s">
        <v>742</v>
      </c>
      <c r="D564" s="11"/>
      <c r="F564" s="9" t="s">
        <v>734</v>
      </c>
    </row>
    <row r="565" spans="2:9">
      <c r="B565" s="12"/>
      <c r="C565" s="9" t="s">
        <v>735</v>
      </c>
      <c r="D565" s="11"/>
      <c r="F565" s="9" t="s">
        <v>558</v>
      </c>
    </row>
    <row r="566" spans="2:9">
      <c r="B566" s="12"/>
      <c r="C566" s="9" t="s">
        <v>736</v>
      </c>
      <c r="D566" s="11"/>
    </row>
    <row r="567" spans="2:9">
      <c r="B567" s="12"/>
      <c r="C567" s="9" t="s">
        <v>168</v>
      </c>
      <c r="D567" s="9" t="s">
        <v>730</v>
      </c>
      <c r="E567" s="9" t="s">
        <v>731</v>
      </c>
      <c r="F567" s="9" t="s">
        <v>732</v>
      </c>
      <c r="G567" s="7"/>
    </row>
    <row r="568" spans="2:9" ht="180">
      <c r="B568" s="12"/>
      <c r="C568" s="9" t="s">
        <v>733</v>
      </c>
      <c r="D568" s="11" t="s">
        <v>345</v>
      </c>
      <c r="E568" s="4" t="s">
        <v>604</v>
      </c>
      <c r="F568" s="9" t="s">
        <v>562</v>
      </c>
      <c r="I568" s="4"/>
    </row>
    <row r="569" spans="2:9">
      <c r="B569" s="12"/>
      <c r="C569" s="9" t="s">
        <v>745</v>
      </c>
      <c r="D569" s="11"/>
      <c r="F569" s="9" t="s">
        <v>734</v>
      </c>
    </row>
    <row r="570" spans="2:9">
      <c r="B570" s="12"/>
      <c r="C570" s="9" t="s">
        <v>735</v>
      </c>
      <c r="D570" s="11"/>
      <c r="F570" s="9" t="s">
        <v>558</v>
      </c>
    </row>
    <row r="571" spans="2:9">
      <c r="B571" s="12"/>
      <c r="C571" s="9" t="s">
        <v>736</v>
      </c>
      <c r="D571" s="11"/>
    </row>
    <row r="572" spans="2:9">
      <c r="B572" s="12"/>
      <c r="C572" s="9" t="s">
        <v>169</v>
      </c>
      <c r="D572" s="9" t="s">
        <v>730</v>
      </c>
      <c r="E572" s="9" t="s">
        <v>731</v>
      </c>
      <c r="F572" s="9" t="s">
        <v>732</v>
      </c>
      <c r="G572" s="7"/>
    </row>
    <row r="573" spans="2:9" ht="213.75">
      <c r="B573" s="12"/>
      <c r="C573" s="9" t="s">
        <v>733</v>
      </c>
      <c r="D573" s="11" t="s">
        <v>346</v>
      </c>
      <c r="E573" s="4" t="s">
        <v>607</v>
      </c>
      <c r="F573" s="9" t="s">
        <v>605</v>
      </c>
      <c r="I573" s="4"/>
    </row>
    <row r="574" spans="2:9">
      <c r="B574" s="12"/>
      <c r="C574" s="9" t="s">
        <v>742</v>
      </c>
      <c r="D574" s="11"/>
      <c r="F574" s="9" t="s">
        <v>734</v>
      </c>
    </row>
    <row r="575" spans="2:9">
      <c r="B575" s="12"/>
      <c r="C575" s="9" t="s">
        <v>735</v>
      </c>
      <c r="D575" s="11"/>
      <c r="F575" s="9" t="s">
        <v>606</v>
      </c>
    </row>
    <row r="576" spans="2:9">
      <c r="B576" s="12"/>
      <c r="C576" s="9" t="s">
        <v>758</v>
      </c>
      <c r="D576" s="11"/>
    </row>
    <row r="577" spans="2:9">
      <c r="B577" s="12"/>
      <c r="C577" s="9" t="s">
        <v>299</v>
      </c>
      <c r="D577" s="9" t="s">
        <v>730</v>
      </c>
      <c r="E577" s="9" t="s">
        <v>731</v>
      </c>
      <c r="F577" s="9" t="s">
        <v>732</v>
      </c>
      <c r="G577" s="7"/>
    </row>
    <row r="578" spans="2:9" ht="191.25">
      <c r="B578" s="12"/>
      <c r="C578" s="9" t="s">
        <v>733</v>
      </c>
      <c r="D578" s="11" t="s">
        <v>737</v>
      </c>
      <c r="E578" s="4" t="s">
        <v>609</v>
      </c>
      <c r="F578" s="9" t="s">
        <v>608</v>
      </c>
      <c r="I578" s="4"/>
    </row>
    <row r="579" spans="2:9">
      <c r="B579" s="12"/>
      <c r="C579" s="9" t="s">
        <v>737</v>
      </c>
      <c r="D579" s="11"/>
      <c r="F579" s="9" t="s">
        <v>734</v>
      </c>
    </row>
    <row r="580" spans="2:9">
      <c r="B580" s="12"/>
      <c r="C580" s="9" t="s">
        <v>735</v>
      </c>
      <c r="D580" s="11"/>
      <c r="F580" s="9" t="s">
        <v>606</v>
      </c>
    </row>
    <row r="581" spans="2:9">
      <c r="B581" s="12"/>
      <c r="C581" s="9" t="s">
        <v>745</v>
      </c>
      <c r="D581" s="11"/>
    </row>
    <row r="582" spans="2:9">
      <c r="B582" s="12"/>
      <c r="C582" s="9" t="s">
        <v>171</v>
      </c>
      <c r="D582" s="9" t="s">
        <v>730</v>
      </c>
      <c r="E582" s="9" t="s">
        <v>731</v>
      </c>
      <c r="F582" s="9" t="s">
        <v>732</v>
      </c>
      <c r="G582" s="7"/>
    </row>
    <row r="583" spans="2:9">
      <c r="B583" s="12"/>
      <c r="C583" s="9" t="s">
        <v>733</v>
      </c>
      <c r="D583" s="11" t="s">
        <v>348</v>
      </c>
      <c r="E583" s="9" t="s">
        <v>611</v>
      </c>
      <c r="F583" s="9" t="s">
        <v>610</v>
      </c>
      <c r="I583" s="4"/>
    </row>
    <row r="584" spans="2:9">
      <c r="B584" s="12"/>
      <c r="C584" s="9" t="s">
        <v>738</v>
      </c>
      <c r="D584" s="11"/>
      <c r="F584" s="9" t="s">
        <v>734</v>
      </c>
    </row>
    <row r="585" spans="2:9">
      <c r="B585" s="12"/>
      <c r="C585" s="9" t="s">
        <v>735</v>
      </c>
      <c r="D585" s="11"/>
      <c r="F585" s="9" t="s">
        <v>606</v>
      </c>
    </row>
    <row r="586" spans="2:9">
      <c r="B586" s="12"/>
      <c r="C586" s="9" t="s">
        <v>752</v>
      </c>
      <c r="D586" s="11"/>
    </row>
    <row r="587" spans="2:9">
      <c r="B587" s="12"/>
      <c r="C587" s="9" t="s">
        <v>172</v>
      </c>
      <c r="D587" s="9" t="s">
        <v>730</v>
      </c>
      <c r="E587" s="9" t="s">
        <v>731</v>
      </c>
      <c r="F587" s="9" t="s">
        <v>732</v>
      </c>
      <c r="G587" s="7"/>
    </row>
    <row r="588" spans="2:9" ht="247.5">
      <c r="B588" s="12"/>
      <c r="C588" s="9" t="s">
        <v>733</v>
      </c>
      <c r="D588" s="11" t="s">
        <v>349</v>
      </c>
      <c r="E588" s="4" t="s">
        <v>613</v>
      </c>
      <c r="F588" s="9" t="s">
        <v>612</v>
      </c>
      <c r="I588" s="4"/>
    </row>
    <row r="589" spans="2:9">
      <c r="B589" s="12"/>
      <c r="C589" s="9" t="s">
        <v>741</v>
      </c>
      <c r="D589" s="11"/>
      <c r="F589" s="9" t="s">
        <v>734</v>
      </c>
    </row>
    <row r="590" spans="2:9">
      <c r="B590" s="12"/>
      <c r="C590" s="9" t="s">
        <v>735</v>
      </c>
      <c r="D590" s="11"/>
      <c r="F590" s="9" t="s">
        <v>606</v>
      </c>
    </row>
    <row r="591" spans="2:9">
      <c r="B591" s="12"/>
      <c r="C591" s="9" t="s">
        <v>759</v>
      </c>
      <c r="D591" s="11"/>
    </row>
    <row r="592" spans="2:9">
      <c r="B592" s="12"/>
      <c r="C592" s="9" t="s">
        <v>173</v>
      </c>
      <c r="D592" s="9" t="s">
        <v>730</v>
      </c>
      <c r="E592" s="9" t="s">
        <v>731</v>
      </c>
      <c r="F592" s="9" t="s">
        <v>732</v>
      </c>
      <c r="G592" s="7"/>
    </row>
    <row r="593" spans="2:9" ht="78.75">
      <c r="B593" s="12"/>
      <c r="C593" s="9" t="s">
        <v>733</v>
      </c>
      <c r="D593" s="11" t="s">
        <v>350</v>
      </c>
      <c r="E593" s="4" t="s">
        <v>615</v>
      </c>
      <c r="F593" s="9" t="s">
        <v>614</v>
      </c>
      <c r="I593" s="4"/>
    </row>
    <row r="594" spans="2:9">
      <c r="B594" s="12"/>
      <c r="C594" s="9" t="s">
        <v>745</v>
      </c>
      <c r="D594" s="11"/>
      <c r="F594" s="9" t="s">
        <v>734</v>
      </c>
    </row>
    <row r="595" spans="2:9">
      <c r="B595" s="12"/>
      <c r="C595" s="9" t="s">
        <v>735</v>
      </c>
      <c r="D595" s="11"/>
      <c r="F595" s="9" t="s">
        <v>606</v>
      </c>
    </row>
    <row r="596" spans="2:9">
      <c r="B596" s="12"/>
      <c r="C596" s="9" t="s">
        <v>780</v>
      </c>
      <c r="D596" s="11"/>
    </row>
    <row r="597" spans="2:9">
      <c r="B597" s="12"/>
      <c r="C597" s="9" t="s">
        <v>174</v>
      </c>
      <c r="D597" s="9" t="s">
        <v>730</v>
      </c>
      <c r="E597" s="9" t="s">
        <v>731</v>
      </c>
      <c r="F597" s="9" t="s">
        <v>732</v>
      </c>
      <c r="G597" s="7"/>
    </row>
    <row r="598" spans="2:9">
      <c r="B598" s="12"/>
      <c r="C598" s="9" t="s">
        <v>733</v>
      </c>
      <c r="D598" s="11" t="s">
        <v>351</v>
      </c>
      <c r="E598" s="9" t="s">
        <v>617</v>
      </c>
      <c r="F598" s="9" t="s">
        <v>616</v>
      </c>
    </row>
    <row r="599" spans="2:9">
      <c r="B599" s="12"/>
      <c r="C599" s="9" t="s">
        <v>736</v>
      </c>
      <c r="D599" s="11"/>
      <c r="F599" s="9" t="s">
        <v>734</v>
      </c>
    </row>
    <row r="600" spans="2:9">
      <c r="B600" s="12"/>
      <c r="C600" s="9" t="s">
        <v>735</v>
      </c>
      <c r="D600" s="11"/>
      <c r="F600" s="9" t="s">
        <v>606</v>
      </c>
    </row>
    <row r="601" spans="2:9">
      <c r="B601" s="12"/>
      <c r="C601" s="9" t="s">
        <v>769</v>
      </c>
      <c r="D601" s="11"/>
    </row>
    <row r="602" spans="2:9">
      <c r="B602" s="12"/>
      <c r="C602" s="9" t="s">
        <v>175</v>
      </c>
      <c r="D602" s="9" t="s">
        <v>730</v>
      </c>
      <c r="E602" s="9" t="s">
        <v>731</v>
      </c>
      <c r="F602" s="9" t="s">
        <v>732</v>
      </c>
      <c r="G602" s="7"/>
    </row>
    <row r="603" spans="2:9" ht="202.5">
      <c r="B603" s="12"/>
      <c r="C603" s="9" t="s">
        <v>733</v>
      </c>
      <c r="D603" s="11" t="s">
        <v>352</v>
      </c>
      <c r="E603" s="4" t="s">
        <v>618</v>
      </c>
      <c r="F603" s="9" t="s">
        <v>616</v>
      </c>
      <c r="I603" s="4"/>
    </row>
    <row r="604" spans="2:9">
      <c r="B604" s="12"/>
      <c r="C604" s="9" t="s">
        <v>742</v>
      </c>
      <c r="D604" s="11"/>
      <c r="F604" s="9" t="s">
        <v>734</v>
      </c>
    </row>
    <row r="605" spans="2:9">
      <c r="B605" s="12"/>
      <c r="C605" s="9" t="s">
        <v>735</v>
      </c>
      <c r="D605" s="11"/>
      <c r="F605" s="9" t="s">
        <v>606</v>
      </c>
    </row>
    <row r="606" spans="2:9">
      <c r="B606" s="12"/>
      <c r="C606" s="9" t="s">
        <v>736</v>
      </c>
      <c r="D606" s="11"/>
    </row>
    <row r="607" spans="2:9">
      <c r="B607" s="12"/>
      <c r="C607" s="9" t="s">
        <v>176</v>
      </c>
      <c r="D607" s="9" t="s">
        <v>730</v>
      </c>
      <c r="E607" s="9" t="s">
        <v>731</v>
      </c>
      <c r="F607" s="9" t="s">
        <v>732</v>
      </c>
      <c r="G607" s="7"/>
    </row>
    <row r="608" spans="2:9">
      <c r="B608" s="12"/>
      <c r="C608" s="9" t="s">
        <v>733</v>
      </c>
      <c r="D608" s="11" t="s">
        <v>353</v>
      </c>
      <c r="E608" s="9" t="s">
        <v>619</v>
      </c>
      <c r="F608" s="9" t="s">
        <v>605</v>
      </c>
      <c r="I608" s="4"/>
    </row>
    <row r="609" spans="2:9">
      <c r="B609" s="12"/>
      <c r="C609" s="9" t="s">
        <v>738</v>
      </c>
      <c r="D609" s="11"/>
      <c r="F609" s="9" t="s">
        <v>734</v>
      </c>
    </row>
    <row r="610" spans="2:9">
      <c r="B610" s="12"/>
      <c r="C610" s="9" t="s">
        <v>735</v>
      </c>
      <c r="D610" s="11"/>
      <c r="F610" s="9" t="s">
        <v>606</v>
      </c>
    </row>
    <row r="611" spans="2:9">
      <c r="B611" s="12"/>
      <c r="C611" s="9" t="s">
        <v>760</v>
      </c>
      <c r="D611" s="11"/>
    </row>
    <row r="612" spans="2:9">
      <c r="B612" s="12"/>
      <c r="C612" s="9" t="s">
        <v>177</v>
      </c>
      <c r="D612" s="9" t="s">
        <v>730</v>
      </c>
      <c r="E612" s="9" t="s">
        <v>731</v>
      </c>
      <c r="F612" s="9" t="s">
        <v>732</v>
      </c>
      <c r="G612" s="7"/>
    </row>
    <row r="613" spans="2:9" ht="281.25">
      <c r="B613" s="12"/>
      <c r="C613" s="9" t="s">
        <v>733</v>
      </c>
      <c r="D613" s="11" t="s">
        <v>354</v>
      </c>
      <c r="E613" s="4" t="s">
        <v>621</v>
      </c>
      <c r="F613" s="9" t="s">
        <v>620</v>
      </c>
      <c r="I613" s="4"/>
    </row>
    <row r="614" spans="2:9">
      <c r="B614" s="12"/>
      <c r="C614" s="9" t="s">
        <v>741</v>
      </c>
      <c r="D614" s="11"/>
      <c r="F614" s="9" t="s">
        <v>734</v>
      </c>
    </row>
    <row r="615" spans="2:9">
      <c r="B615" s="12"/>
      <c r="C615" s="9" t="s">
        <v>735</v>
      </c>
      <c r="D615" s="11"/>
      <c r="F615" s="9" t="s">
        <v>606</v>
      </c>
    </row>
    <row r="616" spans="2:9">
      <c r="B616" s="12"/>
      <c r="C616" s="9" t="s">
        <v>751</v>
      </c>
      <c r="D616" s="11"/>
    </row>
    <row r="617" spans="2:9">
      <c r="B617" s="12"/>
      <c r="C617" s="9" t="s">
        <v>290</v>
      </c>
      <c r="D617" s="9" t="s">
        <v>730</v>
      </c>
      <c r="E617" s="9" t="s">
        <v>731</v>
      </c>
      <c r="F617" s="9" t="s">
        <v>732</v>
      </c>
      <c r="G617" s="7"/>
    </row>
    <row r="618" spans="2:9" ht="168.75">
      <c r="B618" s="12"/>
      <c r="C618" s="9" t="s">
        <v>733</v>
      </c>
      <c r="D618" s="11" t="s">
        <v>737</v>
      </c>
      <c r="E618" s="4" t="s">
        <v>622</v>
      </c>
      <c r="F618" s="9" t="s">
        <v>605</v>
      </c>
      <c r="I618" s="4"/>
    </row>
    <row r="619" spans="2:9">
      <c r="B619" s="12"/>
      <c r="C619" s="9" t="s">
        <v>737</v>
      </c>
      <c r="D619" s="11"/>
      <c r="F619" s="9" t="s">
        <v>734</v>
      </c>
    </row>
    <row r="620" spans="2:9">
      <c r="B620" s="12"/>
      <c r="C620" s="9" t="s">
        <v>735</v>
      </c>
      <c r="D620" s="11"/>
      <c r="F620" s="9" t="s">
        <v>606</v>
      </c>
    </row>
    <row r="621" spans="2:9">
      <c r="B621" s="12"/>
      <c r="C621" s="9" t="s">
        <v>742</v>
      </c>
      <c r="D621" s="11"/>
    </row>
    <row r="622" spans="2:9">
      <c r="B622" s="12"/>
      <c r="C622" s="9" t="s">
        <v>296</v>
      </c>
      <c r="D622" s="9" t="s">
        <v>730</v>
      </c>
      <c r="E622" s="9" t="s">
        <v>731</v>
      </c>
      <c r="F622" s="9" t="s">
        <v>732</v>
      </c>
      <c r="G622" s="7"/>
    </row>
    <row r="623" spans="2:9">
      <c r="B623" s="12"/>
      <c r="C623" s="9" t="s">
        <v>733</v>
      </c>
      <c r="D623" s="11" t="s">
        <v>737</v>
      </c>
      <c r="E623" s="9" t="s">
        <v>624</v>
      </c>
      <c r="F623" s="9" t="s">
        <v>623</v>
      </c>
      <c r="I623" s="4"/>
    </row>
    <row r="624" spans="2:9">
      <c r="B624" s="12"/>
      <c r="C624" s="9" t="s">
        <v>737</v>
      </c>
      <c r="D624" s="11"/>
      <c r="F624" s="9" t="s">
        <v>734</v>
      </c>
    </row>
    <row r="625" spans="2:9">
      <c r="B625" s="12"/>
      <c r="C625" s="9" t="s">
        <v>735</v>
      </c>
      <c r="D625" s="11"/>
      <c r="F625" s="9" t="s">
        <v>606</v>
      </c>
    </row>
    <row r="626" spans="2:9">
      <c r="B626" s="12"/>
      <c r="C626" s="9" t="s">
        <v>775</v>
      </c>
      <c r="D626" s="11"/>
    </row>
    <row r="627" spans="2:9">
      <c r="B627" s="12"/>
      <c r="C627" s="9" t="s">
        <v>180</v>
      </c>
      <c r="D627" s="9" t="s">
        <v>730</v>
      </c>
      <c r="E627" s="9" t="s">
        <v>731</v>
      </c>
      <c r="F627" s="9" t="s">
        <v>732</v>
      </c>
      <c r="G627" s="7"/>
    </row>
    <row r="628" spans="2:9" ht="202.5">
      <c r="B628" s="12"/>
      <c r="C628" s="9" t="s">
        <v>733</v>
      </c>
      <c r="D628" s="11" t="s">
        <v>357</v>
      </c>
      <c r="E628" s="4" t="s">
        <v>625</v>
      </c>
      <c r="F628" s="9" t="s">
        <v>623</v>
      </c>
      <c r="I628" s="4"/>
    </row>
    <row r="629" spans="2:9">
      <c r="B629" s="12"/>
      <c r="C629" s="9" t="s">
        <v>736</v>
      </c>
      <c r="D629" s="11"/>
      <c r="F629" s="9" t="s">
        <v>734</v>
      </c>
    </row>
    <row r="630" spans="2:9">
      <c r="B630" s="12"/>
      <c r="C630" s="9" t="s">
        <v>735</v>
      </c>
      <c r="D630" s="11"/>
      <c r="F630" s="9" t="s">
        <v>606</v>
      </c>
    </row>
    <row r="631" spans="2:9">
      <c r="B631" s="12"/>
      <c r="C631" s="9" t="s">
        <v>769</v>
      </c>
      <c r="D631" s="11"/>
    </row>
    <row r="632" spans="2:9">
      <c r="B632" s="12"/>
      <c r="C632" s="9" t="s">
        <v>181</v>
      </c>
      <c r="D632" s="9" t="s">
        <v>730</v>
      </c>
      <c r="E632" s="9" t="s">
        <v>731</v>
      </c>
      <c r="F632" s="9" t="s">
        <v>732</v>
      </c>
      <c r="G632" s="7"/>
    </row>
    <row r="633" spans="2:9">
      <c r="B633" s="12"/>
      <c r="C633" s="9" t="s">
        <v>733</v>
      </c>
      <c r="D633" s="11" t="s">
        <v>358</v>
      </c>
      <c r="E633" s="4" t="s">
        <v>744</v>
      </c>
      <c r="F633" s="9" t="s">
        <v>623</v>
      </c>
      <c r="I633" s="4"/>
    </row>
    <row r="634" spans="2:9">
      <c r="B634" s="12"/>
      <c r="C634" s="9" t="s">
        <v>742</v>
      </c>
      <c r="D634" s="11"/>
      <c r="F634" s="9" t="s">
        <v>734</v>
      </c>
    </row>
    <row r="635" spans="2:9">
      <c r="B635" s="12"/>
      <c r="C635" s="9" t="s">
        <v>735</v>
      </c>
      <c r="D635" s="11"/>
      <c r="F635" s="9" t="s">
        <v>606</v>
      </c>
    </row>
    <row r="636" spans="2:9">
      <c r="B636" s="12"/>
      <c r="C636" s="9" t="s">
        <v>736</v>
      </c>
      <c r="D636" s="11"/>
    </row>
    <row r="637" spans="2:9">
      <c r="B637" s="12"/>
      <c r="C637" s="9" t="s">
        <v>182</v>
      </c>
      <c r="D637" s="9" t="s">
        <v>730</v>
      </c>
      <c r="E637" s="9" t="s">
        <v>731</v>
      </c>
      <c r="F637" s="9" t="s">
        <v>732</v>
      </c>
      <c r="G637" s="7"/>
    </row>
    <row r="638" spans="2:9" ht="123.75">
      <c r="B638" s="12"/>
      <c r="C638" s="9" t="s">
        <v>733</v>
      </c>
      <c r="D638" s="11" t="s">
        <v>359</v>
      </c>
      <c r="E638" s="4" t="s">
        <v>626</v>
      </c>
      <c r="F638" s="9" t="s">
        <v>623</v>
      </c>
      <c r="I638" s="4"/>
    </row>
    <row r="639" spans="2:9">
      <c r="B639" s="12"/>
      <c r="C639" s="9" t="s">
        <v>742</v>
      </c>
      <c r="D639" s="11"/>
      <c r="F639" s="9" t="s">
        <v>734</v>
      </c>
    </row>
    <row r="640" spans="2:9">
      <c r="B640" s="12"/>
      <c r="C640" s="9" t="s">
        <v>735</v>
      </c>
      <c r="D640" s="11"/>
      <c r="F640" s="9" t="s">
        <v>606</v>
      </c>
    </row>
    <row r="641" spans="2:9">
      <c r="B641" s="12"/>
      <c r="C641" s="9" t="s">
        <v>742</v>
      </c>
      <c r="D641" s="11"/>
    </row>
    <row r="642" spans="2:9">
      <c r="B642" s="12"/>
      <c r="C642" s="9" t="s">
        <v>183</v>
      </c>
      <c r="D642" s="9" t="s">
        <v>730</v>
      </c>
      <c r="E642" s="9" t="s">
        <v>731</v>
      </c>
      <c r="F642" s="9" t="s">
        <v>732</v>
      </c>
      <c r="G642" s="7"/>
    </row>
    <row r="643" spans="2:9">
      <c r="B643" s="12"/>
      <c r="C643" s="9" t="s">
        <v>733</v>
      </c>
      <c r="D643" s="11" t="s">
        <v>360</v>
      </c>
      <c r="E643" s="9" t="s">
        <v>627</v>
      </c>
      <c r="F643" s="9" t="s">
        <v>616</v>
      </c>
      <c r="I643" s="4"/>
    </row>
    <row r="644" spans="2:9">
      <c r="B644" s="12"/>
      <c r="C644" s="9" t="s">
        <v>740</v>
      </c>
      <c r="D644" s="11"/>
      <c r="F644" s="9" t="s">
        <v>734</v>
      </c>
    </row>
    <row r="645" spans="2:9">
      <c r="B645" s="12"/>
      <c r="C645" s="9" t="s">
        <v>735</v>
      </c>
      <c r="D645" s="11"/>
      <c r="F645" s="9" t="s">
        <v>606</v>
      </c>
    </row>
    <row r="646" spans="2:9">
      <c r="B646" s="12"/>
      <c r="C646" s="9" t="s">
        <v>742</v>
      </c>
      <c r="D646" s="11"/>
    </row>
    <row r="647" spans="2:9">
      <c r="B647" s="12"/>
      <c r="C647" s="9" t="s">
        <v>280</v>
      </c>
      <c r="D647" s="9" t="s">
        <v>730</v>
      </c>
      <c r="E647" s="9" t="s">
        <v>731</v>
      </c>
      <c r="F647" s="9" t="s">
        <v>732</v>
      </c>
      <c r="G647" s="7"/>
    </row>
    <row r="648" spans="2:9" ht="157.5">
      <c r="B648" s="12"/>
      <c r="C648" s="9" t="s">
        <v>733</v>
      </c>
      <c r="D648" s="11" t="s">
        <v>737</v>
      </c>
      <c r="E648" s="4" t="s">
        <v>628</v>
      </c>
      <c r="F648" s="9" t="s">
        <v>605</v>
      </c>
      <c r="I648" s="4"/>
    </row>
    <row r="649" spans="2:9">
      <c r="B649" s="12"/>
      <c r="C649" s="9" t="s">
        <v>737</v>
      </c>
      <c r="D649" s="11"/>
      <c r="F649" s="9" t="s">
        <v>734</v>
      </c>
    </row>
    <row r="650" spans="2:9">
      <c r="B650" s="12"/>
      <c r="C650" s="9" t="s">
        <v>735</v>
      </c>
      <c r="D650" s="11"/>
      <c r="F650" s="9" t="s">
        <v>606</v>
      </c>
    </row>
    <row r="651" spans="2:9">
      <c r="B651" s="12"/>
      <c r="C651" s="9" t="s">
        <v>788</v>
      </c>
      <c r="D651" s="11"/>
    </row>
    <row r="652" spans="2:9">
      <c r="B652" s="12"/>
      <c r="C652" s="9" t="s">
        <v>185</v>
      </c>
      <c r="D652" s="9" t="s">
        <v>730</v>
      </c>
      <c r="E652" s="9" t="s">
        <v>731</v>
      </c>
      <c r="F652" s="9" t="s">
        <v>732</v>
      </c>
      <c r="G652" s="7"/>
    </row>
    <row r="653" spans="2:9">
      <c r="B653" s="12"/>
      <c r="C653" s="9" t="s">
        <v>733</v>
      </c>
      <c r="D653" s="11" t="s">
        <v>362</v>
      </c>
      <c r="E653" s="9" t="s">
        <v>629</v>
      </c>
      <c r="F653" s="9" t="s">
        <v>605</v>
      </c>
      <c r="I653" s="4"/>
    </row>
    <row r="654" spans="2:9">
      <c r="B654" s="12"/>
      <c r="C654" s="9" t="s">
        <v>744</v>
      </c>
      <c r="D654" s="11"/>
      <c r="F654" s="9" t="s">
        <v>734</v>
      </c>
    </row>
    <row r="655" spans="2:9">
      <c r="B655" s="12"/>
      <c r="C655" s="9" t="s">
        <v>735</v>
      </c>
      <c r="D655" s="11"/>
      <c r="F655" s="9" t="s">
        <v>606</v>
      </c>
    </row>
    <row r="656" spans="2:9">
      <c r="B656" s="12"/>
      <c r="C656" s="9" t="s">
        <v>767</v>
      </c>
      <c r="D656" s="11"/>
    </row>
    <row r="657" spans="2:9">
      <c r="B657" s="12"/>
      <c r="C657" s="9" t="s">
        <v>186</v>
      </c>
      <c r="D657" s="9" t="s">
        <v>730</v>
      </c>
      <c r="E657" s="9" t="s">
        <v>731</v>
      </c>
      <c r="F657" s="9" t="s">
        <v>732</v>
      </c>
      <c r="G657" s="7"/>
    </row>
    <row r="658" spans="2:9" ht="157.5">
      <c r="B658" s="12"/>
      <c r="C658" s="9" t="s">
        <v>733</v>
      </c>
      <c r="D658" s="11" t="s">
        <v>363</v>
      </c>
      <c r="E658" s="4" t="s">
        <v>631</v>
      </c>
      <c r="F658" s="9" t="s">
        <v>630</v>
      </c>
      <c r="I658" s="4"/>
    </row>
    <row r="659" spans="2:9">
      <c r="B659" s="12"/>
      <c r="C659" s="9" t="s">
        <v>740</v>
      </c>
      <c r="D659" s="11"/>
      <c r="F659" s="9" t="s">
        <v>734</v>
      </c>
    </row>
    <row r="660" spans="2:9">
      <c r="B660" s="12"/>
      <c r="C660" s="9" t="s">
        <v>735</v>
      </c>
      <c r="D660" s="11"/>
      <c r="F660" s="9" t="s">
        <v>606</v>
      </c>
    </row>
    <row r="661" spans="2:9">
      <c r="B661" s="12"/>
      <c r="C661" s="9" t="s">
        <v>789</v>
      </c>
      <c r="D661" s="11"/>
    </row>
    <row r="662" spans="2:9">
      <c r="B662" s="12"/>
      <c r="C662" s="9" t="s">
        <v>187</v>
      </c>
      <c r="D662" s="9" t="s">
        <v>730</v>
      </c>
      <c r="E662" s="9" t="s">
        <v>731</v>
      </c>
      <c r="F662" s="9" t="s">
        <v>732</v>
      </c>
      <c r="G662" s="7"/>
    </row>
    <row r="663" spans="2:9" ht="90">
      <c r="B663" s="12"/>
      <c r="C663" s="9" t="s">
        <v>733</v>
      </c>
      <c r="D663" s="11" t="s">
        <v>364</v>
      </c>
      <c r="E663" s="4" t="s">
        <v>632</v>
      </c>
      <c r="F663" s="9" t="s">
        <v>623</v>
      </c>
      <c r="I663" s="4"/>
    </row>
    <row r="664" spans="2:9">
      <c r="B664" s="12"/>
      <c r="C664" s="9" t="s">
        <v>740</v>
      </c>
      <c r="D664" s="11"/>
      <c r="F664" s="9" t="s">
        <v>734</v>
      </c>
    </row>
    <row r="665" spans="2:9">
      <c r="B665" s="12"/>
      <c r="C665" s="9" t="s">
        <v>735</v>
      </c>
      <c r="D665" s="11"/>
      <c r="F665" s="9" t="s">
        <v>606</v>
      </c>
    </row>
    <row r="666" spans="2:9">
      <c r="B666" s="12"/>
      <c r="C666" s="9" t="s">
        <v>772</v>
      </c>
      <c r="D666" s="11"/>
    </row>
    <row r="667" spans="2:9">
      <c r="B667" s="12"/>
      <c r="C667" s="9" t="s">
        <v>188</v>
      </c>
      <c r="D667" s="9" t="s">
        <v>730</v>
      </c>
      <c r="E667" s="9" t="s">
        <v>731</v>
      </c>
      <c r="F667" s="9" t="s">
        <v>732</v>
      </c>
      <c r="G667" s="7"/>
    </row>
    <row r="668" spans="2:9" ht="168.75">
      <c r="B668" s="12"/>
      <c r="C668" s="9" t="s">
        <v>733</v>
      </c>
      <c r="D668" s="11" t="s">
        <v>365</v>
      </c>
      <c r="E668" s="4" t="s">
        <v>633</v>
      </c>
      <c r="F668" s="9" t="s">
        <v>630</v>
      </c>
      <c r="I668" s="4"/>
    </row>
    <row r="669" spans="2:9">
      <c r="B669" s="12"/>
      <c r="C669" s="9" t="s">
        <v>738</v>
      </c>
      <c r="D669" s="11"/>
      <c r="F669" s="9" t="s">
        <v>734</v>
      </c>
    </row>
    <row r="670" spans="2:9">
      <c r="B670" s="12"/>
      <c r="C670" s="9" t="s">
        <v>735</v>
      </c>
      <c r="D670" s="11"/>
      <c r="F670" s="9" t="s">
        <v>606</v>
      </c>
    </row>
    <row r="671" spans="2:9">
      <c r="B671" s="12"/>
      <c r="C671" s="9" t="s">
        <v>745</v>
      </c>
      <c r="D671" s="11"/>
    </row>
    <row r="672" spans="2:9">
      <c r="B672" s="12"/>
      <c r="C672" s="9" t="s">
        <v>189</v>
      </c>
      <c r="D672" s="9" t="s">
        <v>730</v>
      </c>
      <c r="E672" s="9" t="s">
        <v>731</v>
      </c>
      <c r="F672" s="9" t="s">
        <v>732</v>
      </c>
      <c r="G672" s="7"/>
    </row>
    <row r="673" spans="2:9" ht="135">
      <c r="B673" s="12"/>
      <c r="C673" s="9" t="s">
        <v>733</v>
      </c>
      <c r="D673" s="11" t="s">
        <v>367</v>
      </c>
      <c r="E673" s="4" t="s">
        <v>634</v>
      </c>
      <c r="F673" s="9" t="s">
        <v>605</v>
      </c>
      <c r="I673" s="4"/>
    </row>
    <row r="674" spans="2:9">
      <c r="B674" s="12"/>
      <c r="C674" s="9" t="s">
        <v>747</v>
      </c>
      <c r="D674" s="11"/>
      <c r="F674" s="9" t="s">
        <v>734</v>
      </c>
    </row>
    <row r="675" spans="2:9">
      <c r="B675" s="12"/>
      <c r="C675" s="9" t="s">
        <v>735</v>
      </c>
      <c r="D675" s="11"/>
      <c r="F675" s="9" t="s">
        <v>606</v>
      </c>
    </row>
    <row r="676" spans="2:9">
      <c r="B676" s="12"/>
      <c r="C676" s="9" t="s">
        <v>769</v>
      </c>
      <c r="D676" s="11"/>
    </row>
    <row r="677" spans="2:9">
      <c r="B677" s="12"/>
      <c r="C677" s="9" t="s">
        <v>190</v>
      </c>
      <c r="D677" s="9" t="s">
        <v>730</v>
      </c>
      <c r="E677" s="9" t="s">
        <v>731</v>
      </c>
      <c r="F677" s="9" t="s">
        <v>732</v>
      </c>
      <c r="G677" s="7"/>
    </row>
    <row r="678" spans="2:9" ht="191.25">
      <c r="B678" s="12"/>
      <c r="C678" s="9" t="s">
        <v>733</v>
      </c>
      <c r="D678" s="11" t="s">
        <v>368</v>
      </c>
      <c r="E678" s="4" t="s">
        <v>636</v>
      </c>
      <c r="F678" s="9" t="s">
        <v>635</v>
      </c>
      <c r="I678" s="4"/>
    </row>
    <row r="679" spans="2:9">
      <c r="B679" s="12"/>
      <c r="C679" s="9" t="s">
        <v>739</v>
      </c>
      <c r="D679" s="11"/>
      <c r="F679" s="9" t="s">
        <v>734</v>
      </c>
    </row>
    <row r="680" spans="2:9">
      <c r="B680" s="12"/>
      <c r="C680" s="9" t="s">
        <v>735</v>
      </c>
      <c r="D680" s="11"/>
      <c r="F680" s="9" t="s">
        <v>606</v>
      </c>
    </row>
    <row r="681" spans="2:9">
      <c r="B681" s="12"/>
      <c r="C681" s="9" t="s">
        <v>750</v>
      </c>
      <c r="D681" s="11"/>
    </row>
    <row r="682" spans="2:9">
      <c r="B682" s="12"/>
      <c r="C682" s="9" t="s">
        <v>274</v>
      </c>
      <c r="D682" s="9" t="s">
        <v>730</v>
      </c>
      <c r="E682" s="9" t="s">
        <v>731</v>
      </c>
      <c r="F682" s="9" t="s">
        <v>732</v>
      </c>
      <c r="G682" s="7"/>
    </row>
    <row r="683" spans="2:9" ht="180">
      <c r="B683" s="12"/>
      <c r="C683" s="9" t="s">
        <v>733</v>
      </c>
      <c r="D683" s="11" t="s">
        <v>737</v>
      </c>
      <c r="E683" s="4" t="s">
        <v>637</v>
      </c>
      <c r="F683" s="9" t="s">
        <v>605</v>
      </c>
      <c r="I683" s="4"/>
    </row>
    <row r="684" spans="2:9">
      <c r="B684" s="12"/>
      <c r="C684" s="9" t="s">
        <v>737</v>
      </c>
      <c r="D684" s="11"/>
      <c r="F684" s="9" t="s">
        <v>734</v>
      </c>
    </row>
    <row r="685" spans="2:9">
      <c r="B685" s="12"/>
      <c r="C685" s="9" t="s">
        <v>735</v>
      </c>
      <c r="D685" s="11"/>
      <c r="F685" s="9" t="s">
        <v>606</v>
      </c>
    </row>
    <row r="686" spans="2:9">
      <c r="B686" s="12"/>
      <c r="C686" s="9" t="s">
        <v>790</v>
      </c>
      <c r="D686" s="11"/>
    </row>
    <row r="687" spans="2:9">
      <c r="B687" s="12"/>
      <c r="C687" s="9" t="s">
        <v>192</v>
      </c>
      <c r="D687" s="9" t="s">
        <v>730</v>
      </c>
      <c r="E687" s="9" t="s">
        <v>731</v>
      </c>
      <c r="F687" s="9" t="s">
        <v>732</v>
      </c>
      <c r="G687" s="7"/>
    </row>
    <row r="688" spans="2:9" ht="101.25">
      <c r="B688" s="12"/>
      <c r="C688" s="9" t="s">
        <v>733</v>
      </c>
      <c r="D688" s="11" t="s">
        <v>370</v>
      </c>
      <c r="E688" s="4" t="s">
        <v>638</v>
      </c>
      <c r="F688" s="9" t="s">
        <v>616</v>
      </c>
      <c r="I688" s="4"/>
    </row>
    <row r="689" spans="2:9">
      <c r="B689" s="12"/>
      <c r="C689" s="9" t="s">
        <v>742</v>
      </c>
      <c r="D689" s="11"/>
      <c r="F689" s="9" t="s">
        <v>734</v>
      </c>
    </row>
    <row r="690" spans="2:9">
      <c r="B690" s="12"/>
      <c r="C690" s="9" t="s">
        <v>735</v>
      </c>
      <c r="D690" s="11"/>
      <c r="F690" s="9" t="s">
        <v>606</v>
      </c>
    </row>
    <row r="691" spans="2:9">
      <c r="B691" s="12"/>
      <c r="C691" s="9" t="s">
        <v>769</v>
      </c>
      <c r="D691" s="11"/>
    </row>
    <row r="692" spans="2:9">
      <c r="B692" s="12"/>
      <c r="C692" s="9" t="s">
        <v>193</v>
      </c>
      <c r="D692" s="9" t="s">
        <v>730</v>
      </c>
      <c r="E692" s="9" t="s">
        <v>731</v>
      </c>
      <c r="F692" s="9" t="s">
        <v>732</v>
      </c>
      <c r="G692" s="7"/>
    </row>
    <row r="693" spans="2:9" ht="112.5">
      <c r="B693" s="12"/>
      <c r="C693" s="9" t="s">
        <v>733</v>
      </c>
      <c r="D693" s="11" t="s">
        <v>371</v>
      </c>
      <c r="E693" s="4" t="s">
        <v>639</v>
      </c>
      <c r="F693" s="9" t="s">
        <v>616</v>
      </c>
      <c r="I693" s="4"/>
    </row>
    <row r="694" spans="2:9">
      <c r="B694" s="12"/>
      <c r="C694" s="9" t="s">
        <v>736</v>
      </c>
      <c r="D694" s="11"/>
      <c r="F694" s="9" t="s">
        <v>734</v>
      </c>
    </row>
    <row r="695" spans="2:9">
      <c r="B695" s="12"/>
      <c r="C695" s="9" t="s">
        <v>735</v>
      </c>
      <c r="D695" s="11"/>
      <c r="F695" s="9" t="s">
        <v>606</v>
      </c>
    </row>
    <row r="696" spans="2:9">
      <c r="B696" s="12"/>
      <c r="C696" s="9" t="s">
        <v>767</v>
      </c>
      <c r="D696" s="11"/>
    </row>
    <row r="697" spans="2:9">
      <c r="B697" s="12"/>
      <c r="C697" s="9" t="s">
        <v>194</v>
      </c>
      <c r="D697" s="9" t="s">
        <v>730</v>
      </c>
      <c r="E697" s="9" t="s">
        <v>731</v>
      </c>
      <c r="F697" s="9" t="s">
        <v>732</v>
      </c>
      <c r="G697" s="7"/>
    </row>
    <row r="698" spans="2:9" ht="225">
      <c r="B698" s="12"/>
      <c r="C698" s="9" t="s">
        <v>733</v>
      </c>
      <c r="D698" s="11" t="s">
        <v>372</v>
      </c>
      <c r="E698" s="4" t="s">
        <v>640</v>
      </c>
      <c r="F698" s="9" t="s">
        <v>605</v>
      </c>
      <c r="I698" s="4"/>
    </row>
    <row r="699" spans="2:9">
      <c r="B699" s="12"/>
      <c r="C699" s="9" t="s">
        <v>743</v>
      </c>
      <c r="D699" s="11"/>
      <c r="F699" s="9" t="s">
        <v>734</v>
      </c>
    </row>
    <row r="700" spans="2:9">
      <c r="B700" s="12"/>
      <c r="C700" s="9" t="s">
        <v>735</v>
      </c>
      <c r="D700" s="11"/>
      <c r="F700" s="9" t="s">
        <v>606</v>
      </c>
    </row>
    <row r="701" spans="2:9">
      <c r="B701" s="12"/>
      <c r="C701" s="9" t="s">
        <v>738</v>
      </c>
      <c r="D701" s="11"/>
    </row>
    <row r="702" spans="2:9">
      <c r="B702" s="12"/>
      <c r="C702" s="9" t="s">
        <v>195</v>
      </c>
      <c r="D702" s="9" t="s">
        <v>730</v>
      </c>
      <c r="E702" s="9" t="s">
        <v>731</v>
      </c>
      <c r="F702" s="9" t="s">
        <v>732</v>
      </c>
      <c r="G702" s="7"/>
    </row>
    <row r="703" spans="2:9" ht="101.25">
      <c r="B703" s="12"/>
      <c r="C703" s="9" t="s">
        <v>733</v>
      </c>
      <c r="D703" s="11" t="s">
        <v>373</v>
      </c>
      <c r="E703" s="4" t="s">
        <v>641</v>
      </c>
      <c r="F703" s="9" t="s">
        <v>605</v>
      </c>
      <c r="I703" s="4"/>
    </row>
    <row r="704" spans="2:9">
      <c r="B704" s="12"/>
      <c r="C704" s="9" t="s">
        <v>745</v>
      </c>
      <c r="D704" s="11"/>
      <c r="F704" s="9" t="s">
        <v>734</v>
      </c>
    </row>
    <row r="705" spans="2:9">
      <c r="B705" s="12"/>
      <c r="C705" s="9" t="s">
        <v>735</v>
      </c>
      <c r="D705" s="11"/>
      <c r="F705" s="9" t="s">
        <v>606</v>
      </c>
    </row>
    <row r="706" spans="2:9">
      <c r="B706" s="12"/>
      <c r="C706" s="9" t="s">
        <v>769</v>
      </c>
      <c r="D706" s="11"/>
    </row>
    <row r="707" spans="2:9">
      <c r="B707" s="12"/>
      <c r="C707" s="9" t="s">
        <v>285</v>
      </c>
      <c r="D707" s="9" t="s">
        <v>730</v>
      </c>
      <c r="E707" s="9" t="s">
        <v>731</v>
      </c>
      <c r="F707" s="9" t="s">
        <v>732</v>
      </c>
      <c r="G707" s="7"/>
    </row>
    <row r="708" spans="2:9" ht="123.75">
      <c r="B708" s="12"/>
      <c r="C708" s="9" t="s">
        <v>733</v>
      </c>
      <c r="D708" s="11" t="s">
        <v>737</v>
      </c>
      <c r="E708" s="4" t="s">
        <v>642</v>
      </c>
      <c r="F708" s="9" t="s">
        <v>630</v>
      </c>
      <c r="I708" s="4"/>
    </row>
    <row r="709" spans="2:9">
      <c r="B709" s="12"/>
      <c r="C709" s="9" t="s">
        <v>737</v>
      </c>
      <c r="D709" s="11"/>
      <c r="F709" s="9" t="s">
        <v>734</v>
      </c>
    </row>
    <row r="710" spans="2:9">
      <c r="B710" s="12"/>
      <c r="C710" s="9" t="s">
        <v>735</v>
      </c>
      <c r="D710" s="11"/>
      <c r="F710" s="9" t="s">
        <v>606</v>
      </c>
    </row>
    <row r="711" spans="2:9">
      <c r="B711" s="12"/>
      <c r="C711" s="9" t="s">
        <v>791</v>
      </c>
      <c r="D711" s="11"/>
    </row>
    <row r="712" spans="2:9">
      <c r="B712" s="12"/>
      <c r="C712" s="9" t="s">
        <v>197</v>
      </c>
      <c r="D712" s="9" t="s">
        <v>730</v>
      </c>
      <c r="E712" s="9" t="s">
        <v>731</v>
      </c>
      <c r="F712" s="9" t="s">
        <v>732</v>
      </c>
      <c r="G712" s="7"/>
    </row>
    <row r="713" spans="2:9">
      <c r="B713" s="12"/>
      <c r="C713" s="9" t="s">
        <v>733</v>
      </c>
      <c r="D713" s="11" t="s">
        <v>375</v>
      </c>
      <c r="E713" s="9" t="s">
        <v>644</v>
      </c>
      <c r="F713" s="9" t="s">
        <v>643</v>
      </c>
      <c r="I713" s="4"/>
    </row>
    <row r="714" spans="2:9">
      <c r="B714" s="12"/>
      <c r="C714" s="9" t="s">
        <v>742</v>
      </c>
      <c r="D714" s="11"/>
      <c r="F714" s="9" t="s">
        <v>734</v>
      </c>
    </row>
    <row r="715" spans="2:9">
      <c r="B715" s="12"/>
      <c r="C715" s="9" t="s">
        <v>735</v>
      </c>
      <c r="D715" s="11"/>
      <c r="F715" s="9" t="s">
        <v>606</v>
      </c>
    </row>
    <row r="716" spans="2:9">
      <c r="B716" s="12"/>
      <c r="C716" s="9" t="s">
        <v>760</v>
      </c>
      <c r="D716" s="11"/>
    </row>
    <row r="717" spans="2:9">
      <c r="B717" s="12"/>
      <c r="C717" s="9" t="s">
        <v>198</v>
      </c>
      <c r="D717" s="9" t="s">
        <v>730</v>
      </c>
      <c r="E717" s="9" t="s">
        <v>731</v>
      </c>
      <c r="F717" s="9" t="s">
        <v>732</v>
      </c>
      <c r="G717" s="7"/>
    </row>
    <row r="718" spans="2:9" ht="123.75">
      <c r="B718" s="12"/>
      <c r="C718" s="9" t="s">
        <v>733</v>
      </c>
      <c r="D718" s="11" t="s">
        <v>376</v>
      </c>
      <c r="E718" s="4" t="s">
        <v>645</v>
      </c>
      <c r="F718" s="9" t="s">
        <v>605</v>
      </c>
      <c r="I718" s="4"/>
    </row>
    <row r="719" spans="2:9">
      <c r="B719" s="12"/>
      <c r="C719" s="9" t="s">
        <v>745</v>
      </c>
      <c r="D719" s="11"/>
      <c r="F719" s="9" t="s">
        <v>734</v>
      </c>
    </row>
    <row r="720" spans="2:9">
      <c r="B720" s="12"/>
      <c r="C720" s="9" t="s">
        <v>735</v>
      </c>
      <c r="D720" s="11"/>
      <c r="F720" s="9" t="s">
        <v>606</v>
      </c>
    </row>
    <row r="721" spans="2:9">
      <c r="B721" s="12"/>
      <c r="C721" s="9" t="s">
        <v>767</v>
      </c>
      <c r="D721" s="11"/>
    </row>
    <row r="722" spans="2:9">
      <c r="B722" s="12"/>
      <c r="C722" s="9" t="s">
        <v>199</v>
      </c>
      <c r="D722" s="9" t="s">
        <v>730</v>
      </c>
      <c r="E722" s="9" t="s">
        <v>731</v>
      </c>
      <c r="F722" s="9" t="s">
        <v>732</v>
      </c>
      <c r="G722" s="7"/>
    </row>
    <row r="723" spans="2:9" ht="101.25">
      <c r="B723" s="12"/>
      <c r="C723" s="9" t="s">
        <v>733</v>
      </c>
      <c r="D723" s="11" t="s">
        <v>377</v>
      </c>
      <c r="E723" s="4" t="s">
        <v>646</v>
      </c>
      <c r="F723" s="9" t="s">
        <v>614</v>
      </c>
      <c r="I723" s="4"/>
    </row>
    <row r="724" spans="2:9">
      <c r="B724" s="12"/>
      <c r="C724" s="9" t="s">
        <v>742</v>
      </c>
      <c r="D724" s="11"/>
      <c r="F724" s="9" t="s">
        <v>734</v>
      </c>
    </row>
    <row r="725" spans="2:9">
      <c r="B725" s="12"/>
      <c r="C725" s="9" t="s">
        <v>735</v>
      </c>
      <c r="D725" s="11"/>
      <c r="F725" s="9" t="s">
        <v>606</v>
      </c>
    </row>
    <row r="726" spans="2:9">
      <c r="B726" s="12"/>
      <c r="C726" s="9" t="s">
        <v>736</v>
      </c>
      <c r="D726" s="11"/>
    </row>
    <row r="727" spans="2:9">
      <c r="B727" s="12"/>
      <c r="C727" s="9" t="s">
        <v>200</v>
      </c>
      <c r="D727" s="9" t="s">
        <v>730</v>
      </c>
      <c r="E727" s="9" t="s">
        <v>731</v>
      </c>
      <c r="F727" s="9" t="s">
        <v>732</v>
      </c>
      <c r="G727" s="7"/>
    </row>
    <row r="728" spans="2:9" ht="236.25">
      <c r="B728" s="12"/>
      <c r="C728" s="9" t="s">
        <v>733</v>
      </c>
      <c r="D728" s="11" t="s">
        <v>378</v>
      </c>
      <c r="E728" s="4" t="s">
        <v>647</v>
      </c>
      <c r="F728" s="9" t="s">
        <v>605</v>
      </c>
      <c r="I728" s="4"/>
    </row>
    <row r="729" spans="2:9">
      <c r="B729" s="12"/>
      <c r="C729" s="9" t="s">
        <v>740</v>
      </c>
      <c r="D729" s="11"/>
      <c r="F729" s="9" t="s">
        <v>734</v>
      </c>
    </row>
    <row r="730" spans="2:9">
      <c r="B730" s="12"/>
      <c r="C730" s="9" t="s">
        <v>735</v>
      </c>
      <c r="D730" s="11"/>
      <c r="F730" s="9" t="s">
        <v>606</v>
      </c>
    </row>
    <row r="731" spans="2:9">
      <c r="B731" s="12"/>
      <c r="C731" s="9" t="s">
        <v>787</v>
      </c>
      <c r="D731" s="11"/>
    </row>
    <row r="732" spans="2:9">
      <c r="B732" s="12"/>
      <c r="C732" s="9" t="s">
        <v>201</v>
      </c>
      <c r="D732" s="9" t="s">
        <v>730</v>
      </c>
      <c r="E732" s="9" t="s">
        <v>731</v>
      </c>
      <c r="F732" s="9" t="s">
        <v>732</v>
      </c>
      <c r="G732" s="7"/>
    </row>
    <row r="733" spans="2:9" ht="135">
      <c r="B733" s="12"/>
      <c r="C733" s="9" t="s">
        <v>733</v>
      </c>
      <c r="D733" s="11" t="s">
        <v>379</v>
      </c>
      <c r="E733" s="4" t="s">
        <v>648</v>
      </c>
      <c r="F733" s="9" t="s">
        <v>623</v>
      </c>
      <c r="I733" s="4"/>
    </row>
    <row r="734" spans="2:9">
      <c r="B734" s="12"/>
      <c r="C734" s="9" t="s">
        <v>738</v>
      </c>
      <c r="D734" s="11"/>
      <c r="F734" s="9" t="s">
        <v>734</v>
      </c>
    </row>
    <row r="735" spans="2:9">
      <c r="B735" s="12"/>
      <c r="C735" s="9" t="s">
        <v>735</v>
      </c>
      <c r="D735" s="11"/>
      <c r="F735" s="9" t="s">
        <v>606</v>
      </c>
    </row>
    <row r="736" spans="2:9">
      <c r="B736" s="12"/>
      <c r="C736" s="9" t="s">
        <v>757</v>
      </c>
      <c r="D736" s="11"/>
    </row>
    <row r="737" spans="2:9">
      <c r="B737" s="12"/>
      <c r="C737" s="9" t="s">
        <v>302</v>
      </c>
      <c r="D737" s="9" t="s">
        <v>730</v>
      </c>
      <c r="E737" s="9" t="s">
        <v>731</v>
      </c>
      <c r="F737" s="9" t="s">
        <v>732</v>
      </c>
      <c r="G737" s="7"/>
    </row>
    <row r="738" spans="2:9" ht="101.25">
      <c r="B738" s="12"/>
      <c r="C738" s="9" t="s">
        <v>733</v>
      </c>
      <c r="D738" s="11" t="s">
        <v>737</v>
      </c>
      <c r="E738" s="4" t="s">
        <v>649</v>
      </c>
      <c r="F738" s="9" t="s">
        <v>608</v>
      </c>
      <c r="I738" s="4"/>
    </row>
    <row r="739" spans="2:9">
      <c r="B739" s="12"/>
      <c r="C739" s="9" t="s">
        <v>737</v>
      </c>
      <c r="D739" s="11"/>
      <c r="F739" s="9" t="s">
        <v>734</v>
      </c>
    </row>
    <row r="740" spans="2:9">
      <c r="B740" s="12"/>
      <c r="C740" s="9" t="s">
        <v>735</v>
      </c>
      <c r="D740" s="11"/>
      <c r="F740" s="9" t="s">
        <v>606</v>
      </c>
    </row>
    <row r="741" spans="2:9">
      <c r="B741" s="12"/>
      <c r="C741" s="9" t="s">
        <v>758</v>
      </c>
      <c r="D741" s="11"/>
    </row>
    <row r="742" spans="2:9">
      <c r="B742" s="12"/>
      <c r="C742" s="9" t="s">
        <v>203</v>
      </c>
      <c r="D742" s="9" t="s">
        <v>730</v>
      </c>
      <c r="E742" s="9" t="s">
        <v>731</v>
      </c>
      <c r="F742" s="9" t="s">
        <v>732</v>
      </c>
      <c r="G742" s="7"/>
    </row>
    <row r="743" spans="2:9" ht="135">
      <c r="B743" s="12"/>
      <c r="C743" s="9" t="s">
        <v>733</v>
      </c>
      <c r="D743" s="11" t="s">
        <v>381</v>
      </c>
      <c r="E743" s="4" t="s">
        <v>650</v>
      </c>
      <c r="F743" s="9" t="s">
        <v>605</v>
      </c>
      <c r="I743" s="4"/>
    </row>
    <row r="744" spans="2:9">
      <c r="B744" s="12"/>
      <c r="C744" s="9" t="s">
        <v>740</v>
      </c>
      <c r="D744" s="11"/>
      <c r="F744" s="9" t="s">
        <v>734</v>
      </c>
    </row>
    <row r="745" spans="2:9">
      <c r="B745" s="12"/>
      <c r="C745" s="9" t="s">
        <v>735</v>
      </c>
      <c r="D745" s="11"/>
      <c r="F745" s="9" t="s">
        <v>606</v>
      </c>
    </row>
    <row r="746" spans="2:9">
      <c r="B746" s="12"/>
      <c r="C746" s="9" t="s">
        <v>760</v>
      </c>
      <c r="D746" s="11"/>
    </row>
    <row r="747" spans="2:9">
      <c r="B747" s="12"/>
      <c r="C747" s="9" t="s">
        <v>204</v>
      </c>
      <c r="D747" s="9" t="s">
        <v>730</v>
      </c>
      <c r="E747" s="9" t="s">
        <v>731</v>
      </c>
      <c r="F747" s="9" t="s">
        <v>732</v>
      </c>
      <c r="G747" s="7"/>
    </row>
    <row r="748" spans="2:9">
      <c r="B748" s="12"/>
      <c r="C748" s="9" t="s">
        <v>733</v>
      </c>
      <c r="D748" s="11" t="s">
        <v>382</v>
      </c>
      <c r="E748" s="9" t="s">
        <v>653</v>
      </c>
      <c r="F748" s="9" t="s">
        <v>651</v>
      </c>
      <c r="I748" s="4"/>
    </row>
    <row r="749" spans="2:9">
      <c r="B749" s="12"/>
      <c r="C749" s="9" t="s">
        <v>738</v>
      </c>
      <c r="D749" s="11"/>
      <c r="F749" s="9" t="s">
        <v>734</v>
      </c>
    </row>
    <row r="750" spans="2:9">
      <c r="B750" s="12"/>
      <c r="C750" s="9" t="s">
        <v>735</v>
      </c>
      <c r="D750" s="11"/>
      <c r="F750" s="9" t="s">
        <v>652</v>
      </c>
    </row>
    <row r="751" spans="2:9">
      <c r="B751" s="12"/>
      <c r="C751" s="9" t="s">
        <v>757</v>
      </c>
      <c r="D751" s="11"/>
    </row>
    <row r="752" spans="2:9">
      <c r="B752" s="12"/>
      <c r="C752" s="9" t="s">
        <v>205</v>
      </c>
      <c r="D752" s="9" t="s">
        <v>730</v>
      </c>
      <c r="E752" s="9" t="s">
        <v>731</v>
      </c>
      <c r="F752" s="9" t="s">
        <v>732</v>
      </c>
      <c r="G752" s="7"/>
    </row>
    <row r="753" spans="2:9">
      <c r="B753" s="12"/>
      <c r="C753" s="9" t="s">
        <v>733</v>
      </c>
      <c r="D753" s="11" t="s">
        <v>383</v>
      </c>
      <c r="E753" s="9" t="s">
        <v>655</v>
      </c>
      <c r="F753" s="9" t="s">
        <v>654</v>
      </c>
    </row>
    <row r="754" spans="2:9">
      <c r="B754" s="12"/>
      <c r="C754" s="9" t="s">
        <v>738</v>
      </c>
      <c r="D754" s="11"/>
      <c r="F754" s="9" t="s">
        <v>734</v>
      </c>
    </row>
    <row r="755" spans="2:9">
      <c r="B755" s="12"/>
      <c r="C755" s="9" t="s">
        <v>735</v>
      </c>
      <c r="D755" s="11"/>
      <c r="F755" s="9" t="s">
        <v>652</v>
      </c>
    </row>
    <row r="756" spans="2:9">
      <c r="B756" s="12"/>
      <c r="C756" s="9" t="s">
        <v>736</v>
      </c>
      <c r="D756" s="11"/>
    </row>
    <row r="757" spans="2:9">
      <c r="B757" s="12"/>
      <c r="C757" s="9" t="s">
        <v>206</v>
      </c>
      <c r="D757" s="9" t="s">
        <v>730</v>
      </c>
      <c r="E757" s="9" t="s">
        <v>731</v>
      </c>
      <c r="F757" s="9" t="s">
        <v>732</v>
      </c>
      <c r="G757" s="7"/>
    </row>
    <row r="758" spans="2:9">
      <c r="B758" s="12"/>
      <c r="C758" s="9" t="s">
        <v>733</v>
      </c>
      <c r="D758" s="11" t="s">
        <v>384</v>
      </c>
      <c r="E758" s="9" t="s">
        <v>656</v>
      </c>
      <c r="F758" s="9" t="s">
        <v>654</v>
      </c>
    </row>
    <row r="759" spans="2:9">
      <c r="B759" s="12"/>
      <c r="C759" s="9" t="s">
        <v>743</v>
      </c>
      <c r="D759" s="11"/>
      <c r="F759" s="9" t="s">
        <v>734</v>
      </c>
    </row>
    <row r="760" spans="2:9">
      <c r="B760" s="12"/>
      <c r="C760" s="9" t="s">
        <v>735</v>
      </c>
      <c r="D760" s="11"/>
      <c r="F760" s="9" t="s">
        <v>652</v>
      </c>
    </row>
    <row r="761" spans="2:9">
      <c r="B761" s="12"/>
      <c r="C761" s="9" t="s">
        <v>773</v>
      </c>
      <c r="D761" s="11"/>
    </row>
    <row r="762" spans="2:9">
      <c r="B762" s="12"/>
      <c r="C762" s="9" t="s">
        <v>207</v>
      </c>
      <c r="D762" s="9" t="s">
        <v>730</v>
      </c>
      <c r="E762" s="9" t="s">
        <v>731</v>
      </c>
      <c r="F762" s="9" t="s">
        <v>732</v>
      </c>
      <c r="G762" s="7"/>
    </row>
    <row r="763" spans="2:9" ht="247.5">
      <c r="B763" s="12"/>
      <c r="C763" s="9" t="s">
        <v>733</v>
      </c>
      <c r="D763" s="11" t="s">
        <v>385</v>
      </c>
      <c r="E763" s="4" t="s">
        <v>658</v>
      </c>
      <c r="F763" s="9" t="s">
        <v>657</v>
      </c>
      <c r="I763" s="4"/>
    </row>
    <row r="764" spans="2:9">
      <c r="B764" s="12"/>
      <c r="C764" s="9" t="s">
        <v>745</v>
      </c>
      <c r="D764" s="11"/>
      <c r="F764" s="9" t="s">
        <v>734</v>
      </c>
    </row>
    <row r="765" spans="2:9">
      <c r="B765" s="12"/>
      <c r="C765" s="9" t="s">
        <v>735</v>
      </c>
      <c r="D765" s="11"/>
      <c r="F765" s="9" t="s">
        <v>652</v>
      </c>
    </row>
    <row r="766" spans="2:9">
      <c r="B766" s="12"/>
      <c r="C766" s="9" t="s">
        <v>769</v>
      </c>
      <c r="D766" s="11"/>
    </row>
    <row r="767" spans="2:9">
      <c r="B767" s="12"/>
      <c r="C767" s="9" t="s">
        <v>208</v>
      </c>
      <c r="D767" s="9" t="s">
        <v>730</v>
      </c>
      <c r="E767" s="9" t="s">
        <v>731</v>
      </c>
      <c r="F767" s="9" t="s">
        <v>732</v>
      </c>
      <c r="G767" s="7"/>
    </row>
    <row r="768" spans="2:9">
      <c r="B768" s="12"/>
      <c r="C768" s="9" t="s">
        <v>733</v>
      </c>
      <c r="D768" s="11" t="s">
        <v>386</v>
      </c>
      <c r="E768" s="9" t="s">
        <v>659</v>
      </c>
      <c r="F768" s="9" t="s">
        <v>657</v>
      </c>
      <c r="I768" s="4"/>
    </row>
    <row r="769" spans="2:9">
      <c r="B769" s="12"/>
      <c r="C769" s="9" t="s">
        <v>736</v>
      </c>
      <c r="D769" s="11"/>
      <c r="F769" s="9" t="s">
        <v>734</v>
      </c>
    </row>
    <row r="770" spans="2:9">
      <c r="B770" s="12"/>
      <c r="C770" s="9" t="s">
        <v>735</v>
      </c>
      <c r="D770" s="11"/>
      <c r="F770" s="9" t="s">
        <v>652</v>
      </c>
    </row>
    <row r="771" spans="2:9">
      <c r="B771" s="12"/>
      <c r="C771" s="9" t="s">
        <v>769</v>
      </c>
      <c r="D771" s="11"/>
    </row>
    <row r="772" spans="2:9">
      <c r="B772" s="12"/>
      <c r="C772" s="9" t="s">
        <v>210</v>
      </c>
      <c r="D772" s="9" t="s">
        <v>730</v>
      </c>
      <c r="E772" s="9" t="s">
        <v>731</v>
      </c>
      <c r="F772" s="9" t="s">
        <v>732</v>
      </c>
      <c r="G772" s="7"/>
    </row>
    <row r="773" spans="2:9" ht="236.25">
      <c r="B773" s="12"/>
      <c r="C773" s="9" t="s">
        <v>733</v>
      </c>
      <c r="D773" s="11" t="s">
        <v>388</v>
      </c>
      <c r="E773" s="4" t="s">
        <v>661</v>
      </c>
      <c r="F773" s="9" t="s">
        <v>660</v>
      </c>
      <c r="I773" s="4"/>
    </row>
    <row r="774" spans="2:9">
      <c r="B774" s="12"/>
      <c r="C774" s="9" t="s">
        <v>211</v>
      </c>
      <c r="D774" s="11"/>
      <c r="F774" s="9" t="s">
        <v>734</v>
      </c>
    </row>
    <row r="775" spans="2:9">
      <c r="B775" s="12"/>
      <c r="C775" s="9" t="s">
        <v>735</v>
      </c>
      <c r="D775" s="11"/>
      <c r="F775" s="9" t="s">
        <v>652</v>
      </c>
    </row>
    <row r="776" spans="2:9">
      <c r="B776" s="12"/>
      <c r="C776" s="9" t="s">
        <v>792</v>
      </c>
      <c r="D776" s="11"/>
    </row>
    <row r="777" spans="2:9">
      <c r="B777" s="12"/>
      <c r="C777" s="9" t="s">
        <v>282</v>
      </c>
      <c r="D777" s="9" t="s">
        <v>730</v>
      </c>
      <c r="E777" s="9" t="s">
        <v>731</v>
      </c>
      <c r="F777" s="9" t="s">
        <v>732</v>
      </c>
      <c r="G777" s="7"/>
    </row>
    <row r="778" spans="2:9" ht="123.75">
      <c r="B778" s="12"/>
      <c r="C778" s="9" t="s">
        <v>733</v>
      </c>
      <c r="D778" s="11" t="s">
        <v>737</v>
      </c>
      <c r="E778" s="4" t="s">
        <v>662</v>
      </c>
      <c r="F778" s="9" t="s">
        <v>654</v>
      </c>
      <c r="I778" s="4"/>
    </row>
    <row r="779" spans="2:9">
      <c r="B779" s="12"/>
      <c r="C779" s="9" t="s">
        <v>737</v>
      </c>
      <c r="D779" s="11"/>
      <c r="F779" s="9" t="s">
        <v>734</v>
      </c>
    </row>
    <row r="780" spans="2:9">
      <c r="B780" s="12"/>
      <c r="C780" s="9" t="s">
        <v>735</v>
      </c>
      <c r="D780" s="11"/>
      <c r="F780" s="9" t="s">
        <v>652</v>
      </c>
    </row>
    <row r="781" spans="2:9">
      <c r="B781" s="12"/>
      <c r="C781" s="9" t="s">
        <v>793</v>
      </c>
      <c r="D781" s="11"/>
    </row>
    <row r="782" spans="2:9">
      <c r="B782" s="12"/>
      <c r="C782" s="9" t="s">
        <v>311</v>
      </c>
      <c r="D782" s="9" t="s">
        <v>730</v>
      </c>
      <c r="E782" s="9" t="s">
        <v>731</v>
      </c>
      <c r="F782" s="9" t="s">
        <v>732</v>
      </c>
      <c r="G782" s="7"/>
    </row>
    <row r="783" spans="2:9">
      <c r="B783" s="12"/>
      <c r="C783" s="9" t="s">
        <v>733</v>
      </c>
      <c r="D783" s="11" t="s">
        <v>737</v>
      </c>
      <c r="E783" s="9" t="s">
        <v>664</v>
      </c>
      <c r="F783" s="9" t="s">
        <v>663</v>
      </c>
    </row>
    <row r="784" spans="2:9">
      <c r="B784" s="12"/>
      <c r="C784" s="9" t="s">
        <v>737</v>
      </c>
      <c r="D784" s="11"/>
      <c r="F784" s="9" t="s">
        <v>734</v>
      </c>
    </row>
    <row r="785" spans="2:9">
      <c r="B785" s="12"/>
      <c r="C785" s="9" t="s">
        <v>735</v>
      </c>
      <c r="D785" s="11"/>
      <c r="F785" s="9" t="s">
        <v>652</v>
      </c>
    </row>
    <row r="786" spans="2:9">
      <c r="B786" s="12"/>
      <c r="C786" s="9" t="s">
        <v>767</v>
      </c>
      <c r="D786" s="11"/>
    </row>
    <row r="787" spans="2:9">
      <c r="B787" s="12"/>
      <c r="C787" s="9" t="s">
        <v>214</v>
      </c>
      <c r="D787" s="9" t="s">
        <v>730</v>
      </c>
      <c r="E787" s="9" t="s">
        <v>731</v>
      </c>
      <c r="F787" s="9" t="s">
        <v>732</v>
      </c>
      <c r="G787" s="7"/>
    </row>
    <row r="788" spans="2:9" ht="270">
      <c r="B788" s="12"/>
      <c r="C788" s="9" t="s">
        <v>733</v>
      </c>
      <c r="D788" s="11" t="s">
        <v>391</v>
      </c>
      <c r="E788" s="4" t="s">
        <v>665</v>
      </c>
      <c r="F788" s="9" t="s">
        <v>654</v>
      </c>
      <c r="I788" s="4"/>
    </row>
    <row r="789" spans="2:9">
      <c r="B789" s="12"/>
      <c r="C789" s="9" t="s">
        <v>738</v>
      </c>
      <c r="D789" s="11"/>
      <c r="F789" s="9" t="s">
        <v>734</v>
      </c>
    </row>
    <row r="790" spans="2:9">
      <c r="B790" s="12"/>
      <c r="C790" s="9" t="s">
        <v>735</v>
      </c>
      <c r="D790" s="11"/>
      <c r="F790" s="9" t="s">
        <v>652</v>
      </c>
    </row>
    <row r="791" spans="2:9">
      <c r="B791" s="12"/>
      <c r="C791" s="9" t="s">
        <v>783</v>
      </c>
      <c r="D791" s="11"/>
    </row>
    <row r="792" spans="2:9">
      <c r="B792" s="12"/>
      <c r="C792" s="9" t="s">
        <v>215</v>
      </c>
      <c r="D792" s="9" t="s">
        <v>730</v>
      </c>
      <c r="E792" s="9" t="s">
        <v>731</v>
      </c>
      <c r="F792" s="9" t="s">
        <v>732</v>
      </c>
      <c r="G792" s="7"/>
    </row>
    <row r="793" spans="2:9" ht="123.75">
      <c r="B793" s="12"/>
      <c r="C793" s="9" t="s">
        <v>733</v>
      </c>
      <c r="D793" s="11" t="s">
        <v>392</v>
      </c>
      <c r="E793" s="4" t="s">
        <v>666</v>
      </c>
      <c r="F793" s="9" t="s">
        <v>657</v>
      </c>
      <c r="I793" s="4"/>
    </row>
    <row r="794" spans="2:9">
      <c r="B794" s="12"/>
      <c r="C794" s="9" t="s">
        <v>742</v>
      </c>
      <c r="D794" s="11"/>
      <c r="F794" s="9" t="s">
        <v>734</v>
      </c>
    </row>
    <row r="795" spans="2:9">
      <c r="B795" s="12"/>
      <c r="C795" s="9" t="s">
        <v>735</v>
      </c>
      <c r="D795" s="11"/>
      <c r="F795" s="9" t="s">
        <v>652</v>
      </c>
    </row>
    <row r="796" spans="2:9">
      <c r="B796" s="12"/>
      <c r="C796" s="9" t="s">
        <v>742</v>
      </c>
      <c r="D796" s="11"/>
    </row>
    <row r="797" spans="2:9">
      <c r="B797" s="12"/>
      <c r="C797" s="9" t="s">
        <v>307</v>
      </c>
      <c r="D797" s="9" t="s">
        <v>730</v>
      </c>
      <c r="E797" s="9" t="s">
        <v>731</v>
      </c>
      <c r="F797" s="9" t="s">
        <v>732</v>
      </c>
      <c r="G797" s="7"/>
    </row>
    <row r="798" spans="2:9" ht="101.25">
      <c r="B798" s="12"/>
      <c r="C798" s="9" t="s">
        <v>733</v>
      </c>
      <c r="D798" s="11" t="s">
        <v>393</v>
      </c>
      <c r="E798" s="4" t="s">
        <v>668</v>
      </c>
      <c r="F798" s="9" t="s">
        <v>667</v>
      </c>
      <c r="I798" s="4"/>
    </row>
    <row r="799" spans="2:9">
      <c r="B799" s="12"/>
      <c r="C799" s="9" t="s">
        <v>742</v>
      </c>
      <c r="D799" s="11"/>
      <c r="F799" s="9" t="s">
        <v>734</v>
      </c>
    </row>
    <row r="800" spans="2:9">
      <c r="B800" s="12"/>
      <c r="C800" s="9" t="s">
        <v>735</v>
      </c>
      <c r="D800" s="11"/>
      <c r="F800" s="9" t="s">
        <v>652</v>
      </c>
    </row>
    <row r="801" spans="2:9">
      <c r="B801" s="12"/>
      <c r="C801" s="9" t="s">
        <v>736</v>
      </c>
      <c r="D801" s="11"/>
    </row>
    <row r="802" spans="2:9">
      <c r="B802" s="12"/>
      <c r="C802" s="9" t="s">
        <v>217</v>
      </c>
      <c r="D802" s="9" t="s">
        <v>730</v>
      </c>
      <c r="E802" s="9" t="s">
        <v>731</v>
      </c>
      <c r="F802" s="9" t="s">
        <v>732</v>
      </c>
      <c r="G802" s="7"/>
    </row>
    <row r="803" spans="2:9">
      <c r="B803" s="12"/>
      <c r="C803" s="9" t="s">
        <v>733</v>
      </c>
      <c r="D803" s="11" t="s">
        <v>394</v>
      </c>
      <c r="E803" s="9" t="s">
        <v>669</v>
      </c>
      <c r="F803" s="9" t="s">
        <v>667</v>
      </c>
    </row>
    <row r="804" spans="2:9">
      <c r="B804" s="12"/>
      <c r="C804" s="9" t="s">
        <v>740</v>
      </c>
      <c r="D804" s="11"/>
      <c r="F804" s="9" t="s">
        <v>734</v>
      </c>
    </row>
    <row r="805" spans="2:9">
      <c r="B805" s="12"/>
      <c r="C805" s="9" t="s">
        <v>735</v>
      </c>
      <c r="D805" s="11"/>
      <c r="F805" s="9" t="s">
        <v>652</v>
      </c>
    </row>
    <row r="806" spans="2:9">
      <c r="B806" s="12"/>
      <c r="C806" s="9" t="s">
        <v>764</v>
      </c>
      <c r="D806" s="11"/>
    </row>
    <row r="807" spans="2:9">
      <c r="B807" s="12"/>
      <c r="C807" s="9" t="s">
        <v>218</v>
      </c>
      <c r="D807" s="9" t="s">
        <v>730</v>
      </c>
      <c r="E807" s="9" t="s">
        <v>731</v>
      </c>
      <c r="F807" s="9" t="s">
        <v>732</v>
      </c>
      <c r="G807" s="7"/>
    </row>
    <row r="808" spans="2:9" ht="225">
      <c r="B808" s="12"/>
      <c r="C808" s="9" t="s">
        <v>733</v>
      </c>
      <c r="D808" s="11" t="s">
        <v>395</v>
      </c>
      <c r="E808" s="4" t="s">
        <v>671</v>
      </c>
      <c r="F808" s="9" t="s">
        <v>670</v>
      </c>
      <c r="I808" s="4"/>
    </row>
    <row r="809" spans="2:9">
      <c r="B809" s="12"/>
      <c r="C809" s="9" t="s">
        <v>739</v>
      </c>
      <c r="D809" s="11"/>
      <c r="F809" s="9" t="s">
        <v>734</v>
      </c>
    </row>
    <row r="810" spans="2:9">
      <c r="B810" s="12"/>
      <c r="C810" s="9" t="s">
        <v>735</v>
      </c>
      <c r="D810" s="11"/>
      <c r="F810" s="9" t="s">
        <v>652</v>
      </c>
    </row>
    <row r="811" spans="2:9">
      <c r="B811" s="12"/>
      <c r="C811" s="9" t="s">
        <v>750</v>
      </c>
      <c r="D811" s="11"/>
    </row>
    <row r="812" spans="2:9">
      <c r="B812" s="12"/>
      <c r="C812" s="9" t="s">
        <v>288</v>
      </c>
      <c r="D812" s="9" t="s">
        <v>730</v>
      </c>
      <c r="E812" s="9" t="s">
        <v>731</v>
      </c>
      <c r="F812" s="9" t="s">
        <v>732</v>
      </c>
      <c r="G812" s="7"/>
    </row>
    <row r="813" spans="2:9" ht="22.5">
      <c r="B813" s="12"/>
      <c r="C813" s="9" t="s">
        <v>733</v>
      </c>
      <c r="D813" s="11" t="s">
        <v>737</v>
      </c>
      <c r="E813" s="4" t="s">
        <v>672</v>
      </c>
      <c r="F813" s="9" t="s">
        <v>657</v>
      </c>
      <c r="I813" s="4"/>
    </row>
    <row r="814" spans="2:9">
      <c r="B814" s="12"/>
      <c r="C814" s="9" t="s">
        <v>737</v>
      </c>
      <c r="D814" s="11"/>
      <c r="F814" s="9" t="s">
        <v>734</v>
      </c>
    </row>
    <row r="815" spans="2:9">
      <c r="B815" s="12"/>
      <c r="C815" s="9" t="s">
        <v>735</v>
      </c>
      <c r="D815" s="11"/>
      <c r="F815" s="9" t="s">
        <v>652</v>
      </c>
    </row>
    <row r="816" spans="2:9">
      <c r="B816" s="12"/>
      <c r="C816" s="9" t="s">
        <v>742</v>
      </c>
      <c r="D816" s="11"/>
    </row>
    <row r="817" spans="2:9">
      <c r="B817" s="12"/>
      <c r="C817" s="9" t="s">
        <v>222</v>
      </c>
      <c r="D817" s="9" t="s">
        <v>730</v>
      </c>
      <c r="E817" s="9" t="s">
        <v>731</v>
      </c>
      <c r="F817" s="9" t="s">
        <v>732</v>
      </c>
      <c r="G817" s="7"/>
    </row>
    <row r="818" spans="2:9" ht="90">
      <c r="B818" s="12"/>
      <c r="C818" s="9" t="s">
        <v>733</v>
      </c>
      <c r="D818" s="11" t="s">
        <v>399</v>
      </c>
      <c r="E818" s="4" t="s">
        <v>673</v>
      </c>
      <c r="F818" s="9" t="s">
        <v>667</v>
      </c>
      <c r="I818" s="4"/>
    </row>
    <row r="819" spans="2:9">
      <c r="B819" s="12"/>
      <c r="C819" s="9" t="s">
        <v>740</v>
      </c>
      <c r="D819" s="11"/>
      <c r="F819" s="9" t="s">
        <v>734</v>
      </c>
    </row>
    <row r="820" spans="2:9">
      <c r="B820" s="12"/>
      <c r="C820" s="9" t="s">
        <v>735</v>
      </c>
      <c r="D820" s="11"/>
      <c r="F820" s="9" t="s">
        <v>652</v>
      </c>
    </row>
    <row r="821" spans="2:9">
      <c r="B821" s="12"/>
      <c r="C821" s="9" t="s">
        <v>762</v>
      </c>
      <c r="D821" s="11"/>
    </row>
    <row r="822" spans="2:9">
      <c r="B822" s="12"/>
      <c r="C822" s="9" t="s">
        <v>223</v>
      </c>
      <c r="D822" s="9" t="s">
        <v>730</v>
      </c>
      <c r="E822" s="9" t="s">
        <v>731</v>
      </c>
      <c r="F822" s="9" t="s">
        <v>732</v>
      </c>
      <c r="G822" s="7"/>
    </row>
    <row r="823" spans="2:9" ht="90">
      <c r="B823" s="12"/>
      <c r="C823" s="9" t="s">
        <v>733</v>
      </c>
      <c r="D823" s="11" t="s">
        <v>400</v>
      </c>
      <c r="E823" s="4" t="s">
        <v>674</v>
      </c>
      <c r="F823" s="9" t="s">
        <v>657</v>
      </c>
      <c r="I823" s="4"/>
    </row>
    <row r="824" spans="2:9">
      <c r="B824" s="12"/>
      <c r="C824" s="9" t="s">
        <v>742</v>
      </c>
      <c r="D824" s="11"/>
      <c r="F824" s="9" t="s">
        <v>734</v>
      </c>
    </row>
    <row r="825" spans="2:9">
      <c r="B825" s="12"/>
      <c r="C825" s="9" t="s">
        <v>735</v>
      </c>
      <c r="D825" s="11"/>
      <c r="F825" s="9" t="s">
        <v>652</v>
      </c>
    </row>
    <row r="826" spans="2:9">
      <c r="B826" s="12"/>
      <c r="C826" s="9" t="s">
        <v>765</v>
      </c>
      <c r="D826" s="11"/>
    </row>
    <row r="827" spans="2:9">
      <c r="B827" s="12"/>
      <c r="C827" s="9" t="s">
        <v>224</v>
      </c>
      <c r="D827" s="9" t="s">
        <v>730</v>
      </c>
      <c r="E827" s="9" t="s">
        <v>731</v>
      </c>
      <c r="F827" s="9" t="s">
        <v>732</v>
      </c>
      <c r="G827" s="7"/>
    </row>
    <row r="828" spans="2:9">
      <c r="B828" s="12"/>
      <c r="C828" s="9" t="s">
        <v>733</v>
      </c>
      <c r="D828" s="11" t="s">
        <v>401</v>
      </c>
      <c r="E828" s="9" t="s">
        <v>675</v>
      </c>
      <c r="F828" s="9" t="s">
        <v>657</v>
      </c>
    </row>
    <row r="829" spans="2:9">
      <c r="B829" s="12"/>
      <c r="C829" s="9" t="s">
        <v>740</v>
      </c>
      <c r="D829" s="11"/>
      <c r="F829" s="9" t="s">
        <v>734</v>
      </c>
    </row>
    <row r="830" spans="2:9">
      <c r="B830" s="12"/>
      <c r="C830" s="9" t="s">
        <v>735</v>
      </c>
      <c r="D830" s="11"/>
      <c r="F830" s="9" t="s">
        <v>652</v>
      </c>
    </row>
    <row r="831" spans="2:9">
      <c r="B831" s="12"/>
      <c r="C831" s="9" t="s">
        <v>780</v>
      </c>
      <c r="D831" s="11"/>
    </row>
    <row r="832" spans="2:9">
      <c r="B832" s="12"/>
      <c r="C832" s="9" t="s">
        <v>225</v>
      </c>
      <c r="D832" s="9" t="s">
        <v>730</v>
      </c>
      <c r="E832" s="9" t="s">
        <v>731</v>
      </c>
      <c r="F832" s="9" t="s">
        <v>732</v>
      </c>
      <c r="G832" s="7"/>
    </row>
    <row r="833" spans="2:9">
      <c r="B833" s="12"/>
      <c r="C833" s="9" t="s">
        <v>733</v>
      </c>
      <c r="D833" s="11" t="s">
        <v>402</v>
      </c>
      <c r="E833" s="9" t="s">
        <v>676</v>
      </c>
      <c r="F833" s="9" t="s">
        <v>667</v>
      </c>
    </row>
    <row r="834" spans="2:9">
      <c r="B834" s="12"/>
      <c r="C834" s="9" t="s">
        <v>745</v>
      </c>
      <c r="D834" s="11"/>
      <c r="F834" s="9" t="s">
        <v>734</v>
      </c>
    </row>
    <row r="835" spans="2:9">
      <c r="B835" s="12"/>
      <c r="C835" s="9" t="s">
        <v>735</v>
      </c>
      <c r="D835" s="11"/>
      <c r="F835" s="9" t="s">
        <v>652</v>
      </c>
    </row>
    <row r="836" spans="2:9">
      <c r="B836" s="12"/>
      <c r="C836" s="9" t="s">
        <v>736</v>
      </c>
      <c r="D836" s="11"/>
    </row>
    <row r="837" spans="2:9">
      <c r="B837" s="12"/>
      <c r="C837" s="9" t="s">
        <v>287</v>
      </c>
      <c r="D837" s="9" t="s">
        <v>730</v>
      </c>
      <c r="E837" s="9" t="s">
        <v>731</v>
      </c>
      <c r="F837" s="9" t="s">
        <v>732</v>
      </c>
      <c r="G837" s="7"/>
    </row>
    <row r="838" spans="2:9" ht="112.5">
      <c r="B838" s="12"/>
      <c r="C838" s="9" t="s">
        <v>733</v>
      </c>
      <c r="D838" s="11" t="s">
        <v>737</v>
      </c>
      <c r="E838" s="4" t="s">
        <v>677</v>
      </c>
      <c r="F838" s="9" t="s">
        <v>654</v>
      </c>
      <c r="I838" s="4"/>
    </row>
    <row r="839" spans="2:9">
      <c r="B839" s="12"/>
      <c r="C839" s="9" t="s">
        <v>737</v>
      </c>
      <c r="D839" s="11"/>
      <c r="F839" s="9" t="s">
        <v>734</v>
      </c>
    </row>
    <row r="840" spans="2:9">
      <c r="B840" s="12"/>
      <c r="C840" s="9" t="s">
        <v>735</v>
      </c>
      <c r="D840" s="11"/>
      <c r="F840" s="9" t="s">
        <v>652</v>
      </c>
    </row>
    <row r="841" spans="2:9">
      <c r="B841" s="12"/>
      <c r="C841" s="9" t="s">
        <v>762</v>
      </c>
      <c r="D841" s="11"/>
    </row>
    <row r="842" spans="2:9">
      <c r="B842" s="12"/>
      <c r="C842" s="9" t="s">
        <v>227</v>
      </c>
      <c r="D842" s="9" t="s">
        <v>730</v>
      </c>
      <c r="E842" s="9" t="s">
        <v>731</v>
      </c>
      <c r="F842" s="9" t="s">
        <v>732</v>
      </c>
      <c r="G842" s="7"/>
    </row>
    <row r="843" spans="2:9" ht="67.5">
      <c r="B843" s="12"/>
      <c r="C843" s="9" t="s">
        <v>733</v>
      </c>
      <c r="D843" s="11" t="s">
        <v>404</v>
      </c>
      <c r="E843" s="4" t="s">
        <v>679</v>
      </c>
      <c r="F843" s="9" t="s">
        <v>678</v>
      </c>
      <c r="I843" s="4"/>
    </row>
    <row r="844" spans="2:9">
      <c r="B844" s="12"/>
      <c r="C844" s="9" t="s">
        <v>743</v>
      </c>
      <c r="D844" s="11"/>
      <c r="F844" s="9" t="s">
        <v>734</v>
      </c>
    </row>
    <row r="845" spans="2:9">
      <c r="B845" s="12"/>
      <c r="C845" s="9" t="s">
        <v>735</v>
      </c>
      <c r="D845" s="11"/>
      <c r="F845" s="9" t="s">
        <v>652</v>
      </c>
    </row>
    <row r="846" spans="2:9">
      <c r="B846" s="12"/>
      <c r="C846" s="9" t="s">
        <v>794</v>
      </c>
      <c r="D846" s="11"/>
    </row>
    <row r="847" spans="2:9">
      <c r="B847" s="12"/>
      <c r="C847" s="9" t="s">
        <v>228</v>
      </c>
      <c r="D847" s="9" t="s">
        <v>730</v>
      </c>
      <c r="E847" s="9" t="s">
        <v>731</v>
      </c>
      <c r="F847" s="9" t="s">
        <v>732</v>
      </c>
      <c r="G847" s="7"/>
    </row>
    <row r="848" spans="2:9" ht="135">
      <c r="B848" s="12"/>
      <c r="C848" s="9" t="s">
        <v>733</v>
      </c>
      <c r="D848" s="11" t="s">
        <v>405</v>
      </c>
      <c r="E848" s="4" t="s">
        <v>680</v>
      </c>
      <c r="F848" s="9" t="s">
        <v>660</v>
      </c>
      <c r="I848" s="4"/>
    </row>
    <row r="849" spans="2:9">
      <c r="B849" s="12"/>
      <c r="C849" s="9" t="s">
        <v>743</v>
      </c>
      <c r="D849" s="11"/>
      <c r="F849" s="9" t="s">
        <v>734</v>
      </c>
    </row>
    <row r="850" spans="2:9">
      <c r="B850" s="12"/>
      <c r="C850" s="9" t="s">
        <v>735</v>
      </c>
      <c r="D850" s="11"/>
      <c r="F850" s="9" t="s">
        <v>652</v>
      </c>
    </row>
    <row r="851" spans="2:9">
      <c r="B851" s="12"/>
      <c r="C851" s="9" t="s">
        <v>795</v>
      </c>
      <c r="D851" s="11"/>
    </row>
    <row r="852" spans="2:9">
      <c r="B852" s="12"/>
      <c r="C852" s="9" t="s">
        <v>229</v>
      </c>
      <c r="D852" s="9" t="s">
        <v>730</v>
      </c>
      <c r="E852" s="9" t="s">
        <v>731</v>
      </c>
      <c r="F852" s="9" t="s">
        <v>732</v>
      </c>
      <c r="G852" s="7"/>
    </row>
    <row r="853" spans="2:9" ht="45">
      <c r="B853" s="12"/>
      <c r="C853" s="9" t="s">
        <v>733</v>
      </c>
      <c r="D853" s="11" t="s">
        <v>406</v>
      </c>
      <c r="E853" s="4" t="s">
        <v>681</v>
      </c>
      <c r="F853" s="9" t="s">
        <v>651</v>
      </c>
      <c r="I853" s="4"/>
    </row>
    <row r="854" spans="2:9">
      <c r="B854" s="12"/>
      <c r="C854" s="9" t="s">
        <v>744</v>
      </c>
      <c r="D854" s="11"/>
      <c r="F854" s="9" t="s">
        <v>734</v>
      </c>
    </row>
    <row r="855" spans="2:9">
      <c r="B855" s="12"/>
      <c r="C855" s="9" t="s">
        <v>735</v>
      </c>
      <c r="D855" s="11"/>
      <c r="F855" s="9" t="s">
        <v>652</v>
      </c>
    </row>
    <row r="856" spans="2:9">
      <c r="B856" s="12"/>
      <c r="C856" s="9" t="s">
        <v>768</v>
      </c>
      <c r="D856" s="11"/>
    </row>
    <row r="857" spans="2:9">
      <c r="B857" s="12"/>
      <c r="C857" s="9" t="s">
        <v>230</v>
      </c>
      <c r="D857" s="9" t="s">
        <v>730</v>
      </c>
      <c r="E857" s="9" t="s">
        <v>731</v>
      </c>
      <c r="F857" s="9" t="s">
        <v>732</v>
      </c>
      <c r="G857" s="7"/>
    </row>
    <row r="858" spans="2:9">
      <c r="B858" s="12"/>
      <c r="C858" s="9" t="s">
        <v>733</v>
      </c>
      <c r="D858" s="11" t="s">
        <v>407</v>
      </c>
      <c r="E858" s="9" t="s">
        <v>682</v>
      </c>
      <c r="F858" s="9" t="s">
        <v>651</v>
      </c>
    </row>
    <row r="859" spans="2:9">
      <c r="B859" s="12"/>
      <c r="C859" s="9" t="s">
        <v>736</v>
      </c>
      <c r="D859" s="11"/>
      <c r="F859" s="9" t="s">
        <v>734</v>
      </c>
    </row>
    <row r="860" spans="2:9">
      <c r="B860" s="12"/>
      <c r="C860" s="9" t="s">
        <v>735</v>
      </c>
      <c r="D860" s="11"/>
      <c r="F860" s="9" t="s">
        <v>652</v>
      </c>
    </row>
    <row r="861" spans="2:9">
      <c r="B861" s="12"/>
      <c r="C861" s="9" t="s">
        <v>768</v>
      </c>
      <c r="D861" s="11"/>
    </row>
    <row r="862" spans="2:9">
      <c r="B862" s="12"/>
      <c r="C862" s="9" t="s">
        <v>231</v>
      </c>
      <c r="D862" s="9" t="s">
        <v>730</v>
      </c>
      <c r="E862" s="9" t="s">
        <v>731</v>
      </c>
      <c r="F862" s="9" t="s">
        <v>732</v>
      </c>
      <c r="G862" s="7"/>
    </row>
    <row r="863" spans="2:9" ht="123.75">
      <c r="B863" s="12"/>
      <c r="C863" s="9" t="s">
        <v>733</v>
      </c>
      <c r="D863" s="11" t="s">
        <v>408</v>
      </c>
      <c r="E863" s="4" t="s">
        <v>683</v>
      </c>
      <c r="F863" s="9" t="s">
        <v>651</v>
      </c>
      <c r="I863" s="4"/>
    </row>
    <row r="864" spans="2:9">
      <c r="B864" s="12"/>
      <c r="C864" s="9" t="s">
        <v>745</v>
      </c>
      <c r="D864" s="11"/>
      <c r="F864" s="9" t="s">
        <v>734</v>
      </c>
    </row>
    <row r="865" spans="2:9">
      <c r="B865" s="12"/>
      <c r="C865" s="9" t="s">
        <v>735</v>
      </c>
      <c r="D865" s="11"/>
      <c r="F865" s="9" t="s">
        <v>652</v>
      </c>
    </row>
    <row r="866" spans="2:9">
      <c r="B866" s="12"/>
      <c r="C866" s="9" t="s">
        <v>736</v>
      </c>
      <c r="D866" s="11"/>
    </row>
    <row r="867" spans="2:9">
      <c r="B867" s="12"/>
      <c r="C867" s="9" t="s">
        <v>292</v>
      </c>
      <c r="D867" s="9" t="s">
        <v>730</v>
      </c>
      <c r="E867" s="9" t="s">
        <v>731</v>
      </c>
      <c r="F867" s="9" t="s">
        <v>732</v>
      </c>
      <c r="G867" s="7"/>
    </row>
    <row r="868" spans="2:9" ht="112.5">
      <c r="B868" s="12"/>
      <c r="C868" s="9" t="s">
        <v>733</v>
      </c>
      <c r="D868" s="11" t="s">
        <v>737</v>
      </c>
      <c r="E868" s="4" t="s">
        <v>684</v>
      </c>
      <c r="F868" s="9" t="s">
        <v>663</v>
      </c>
      <c r="I868" s="4"/>
    </row>
    <row r="869" spans="2:9">
      <c r="B869" s="12"/>
      <c r="C869" s="9" t="s">
        <v>737</v>
      </c>
      <c r="D869" s="11"/>
      <c r="F869" s="9" t="s">
        <v>734</v>
      </c>
    </row>
    <row r="870" spans="2:9">
      <c r="B870" s="12"/>
      <c r="C870" s="9" t="s">
        <v>735</v>
      </c>
      <c r="D870" s="11"/>
      <c r="F870" s="9" t="s">
        <v>652</v>
      </c>
    </row>
    <row r="871" spans="2:9">
      <c r="B871" s="12"/>
      <c r="C871" s="9" t="s">
        <v>796</v>
      </c>
      <c r="D871" s="11"/>
    </row>
    <row r="872" spans="2:9">
      <c r="B872" s="12"/>
      <c r="C872" s="9" t="s">
        <v>293</v>
      </c>
      <c r="D872" s="9" t="s">
        <v>730</v>
      </c>
      <c r="E872" s="9" t="s">
        <v>731</v>
      </c>
      <c r="F872" s="9" t="s">
        <v>732</v>
      </c>
      <c r="G872" s="7"/>
    </row>
    <row r="873" spans="2:9" ht="90">
      <c r="B873" s="12"/>
      <c r="C873" s="9" t="s">
        <v>733</v>
      </c>
      <c r="D873" s="11" t="s">
        <v>737</v>
      </c>
      <c r="E873" s="4" t="s">
        <v>685</v>
      </c>
      <c r="F873" s="9" t="s">
        <v>667</v>
      </c>
      <c r="I873" s="4"/>
    </row>
    <row r="874" spans="2:9">
      <c r="B874" s="12"/>
      <c r="C874" s="9" t="s">
        <v>737</v>
      </c>
      <c r="D874" s="11"/>
      <c r="F874" s="9" t="s">
        <v>734</v>
      </c>
    </row>
    <row r="875" spans="2:9">
      <c r="B875" s="12"/>
      <c r="C875" s="9" t="s">
        <v>735</v>
      </c>
      <c r="D875" s="11"/>
      <c r="F875" s="9" t="s">
        <v>652</v>
      </c>
    </row>
    <row r="876" spans="2:9">
      <c r="B876" s="12"/>
      <c r="C876" s="9" t="s">
        <v>796</v>
      </c>
      <c r="D876" s="11"/>
    </row>
    <row r="877" spans="2:9">
      <c r="B877" s="12"/>
      <c r="C877" s="9" t="s">
        <v>234</v>
      </c>
      <c r="D877" s="9" t="s">
        <v>730</v>
      </c>
      <c r="E877" s="9" t="s">
        <v>731</v>
      </c>
      <c r="F877" s="9" t="s">
        <v>732</v>
      </c>
      <c r="G877" s="7"/>
    </row>
    <row r="878" spans="2:9" ht="67.5">
      <c r="B878" s="12"/>
      <c r="C878" s="9" t="s">
        <v>733</v>
      </c>
      <c r="D878" s="11" t="s">
        <v>411</v>
      </c>
      <c r="E878" s="4" t="s">
        <v>687</v>
      </c>
      <c r="F878" s="9" t="s">
        <v>686</v>
      </c>
      <c r="I878" s="4"/>
    </row>
    <row r="879" spans="2:9">
      <c r="B879" s="12"/>
      <c r="C879" s="9" t="s">
        <v>740</v>
      </c>
      <c r="D879" s="11"/>
      <c r="F879" s="9" t="s">
        <v>734</v>
      </c>
    </row>
    <row r="880" spans="2:9">
      <c r="B880" s="12"/>
      <c r="C880" s="9" t="s">
        <v>735</v>
      </c>
      <c r="D880" s="11"/>
      <c r="F880" s="9" t="s">
        <v>652</v>
      </c>
    </row>
    <row r="881" spans="2:9">
      <c r="B881" s="12"/>
      <c r="C881" s="9" t="s">
        <v>774</v>
      </c>
      <c r="D881" s="11"/>
    </row>
    <row r="882" spans="2:9">
      <c r="B882" s="12"/>
      <c r="C882" s="9" t="s">
        <v>235</v>
      </c>
      <c r="D882" s="9" t="s">
        <v>730</v>
      </c>
      <c r="E882" s="9" t="s">
        <v>731</v>
      </c>
      <c r="F882" s="9" t="s">
        <v>732</v>
      </c>
      <c r="G882" s="7"/>
    </row>
    <row r="883" spans="2:9" ht="78.75">
      <c r="B883" s="12"/>
      <c r="C883" s="9" t="s">
        <v>733</v>
      </c>
      <c r="D883" s="11" t="s">
        <v>412</v>
      </c>
      <c r="E883" s="4" t="s">
        <v>688</v>
      </c>
      <c r="F883" s="9" t="s">
        <v>667</v>
      </c>
    </row>
    <row r="884" spans="2:9">
      <c r="B884" s="12"/>
      <c r="C884" s="9" t="s">
        <v>745</v>
      </c>
      <c r="D884" s="11"/>
      <c r="F884" s="9" t="s">
        <v>734</v>
      </c>
    </row>
    <row r="885" spans="2:9">
      <c r="B885" s="12"/>
      <c r="C885" s="9" t="s">
        <v>735</v>
      </c>
      <c r="D885" s="11"/>
      <c r="F885" s="9" t="s">
        <v>652</v>
      </c>
    </row>
    <row r="886" spans="2:9">
      <c r="B886" s="12"/>
      <c r="C886" s="9" t="s">
        <v>768</v>
      </c>
      <c r="D886" s="11"/>
    </row>
    <row r="887" spans="2:9">
      <c r="B887" s="12"/>
      <c r="C887" s="9" t="s">
        <v>236</v>
      </c>
      <c r="D887" s="9" t="s">
        <v>730</v>
      </c>
      <c r="E887" s="9" t="s">
        <v>731</v>
      </c>
      <c r="F887" s="9" t="s">
        <v>732</v>
      </c>
      <c r="G887" s="7"/>
    </row>
    <row r="888" spans="2:9" ht="135">
      <c r="B888" s="12"/>
      <c r="C888" s="9" t="s">
        <v>733</v>
      </c>
      <c r="D888" s="11" t="s">
        <v>413</v>
      </c>
      <c r="E888" s="4" t="s">
        <v>689</v>
      </c>
      <c r="F888" s="9" t="s">
        <v>670</v>
      </c>
      <c r="I888" s="4"/>
    </row>
    <row r="889" spans="2:9">
      <c r="B889" s="12"/>
      <c r="C889" s="9" t="s">
        <v>736</v>
      </c>
      <c r="D889" s="11"/>
      <c r="F889" s="9" t="s">
        <v>734</v>
      </c>
    </row>
    <row r="890" spans="2:9">
      <c r="B890" s="12"/>
      <c r="C890" s="9" t="s">
        <v>735</v>
      </c>
      <c r="D890" s="11"/>
      <c r="F890" s="9" t="s">
        <v>652</v>
      </c>
    </row>
    <row r="891" spans="2:9">
      <c r="B891" s="12"/>
      <c r="C891" s="9" t="s">
        <v>769</v>
      </c>
      <c r="D891" s="11"/>
    </row>
    <row r="892" spans="2:9">
      <c r="B892" s="12"/>
      <c r="C892" s="9" t="s">
        <v>309</v>
      </c>
      <c r="D892" s="9" t="s">
        <v>730</v>
      </c>
      <c r="E892" s="9" t="s">
        <v>731</v>
      </c>
      <c r="F892" s="9" t="s">
        <v>732</v>
      </c>
      <c r="G892" s="7"/>
    </row>
    <row r="893" spans="2:9">
      <c r="B893" s="12"/>
      <c r="C893" s="9" t="s">
        <v>733</v>
      </c>
      <c r="D893" s="11" t="s">
        <v>737</v>
      </c>
      <c r="E893" s="9" t="s">
        <v>690</v>
      </c>
      <c r="F893" s="9" t="s">
        <v>654</v>
      </c>
      <c r="I893" s="4"/>
    </row>
    <row r="894" spans="2:9">
      <c r="B894" s="12"/>
      <c r="C894" s="9" t="s">
        <v>737</v>
      </c>
      <c r="D894" s="11"/>
      <c r="F894" s="9" t="s">
        <v>734</v>
      </c>
    </row>
    <row r="895" spans="2:9">
      <c r="B895" s="12"/>
      <c r="C895" s="9" t="s">
        <v>735</v>
      </c>
      <c r="D895" s="11"/>
      <c r="F895" s="9" t="s">
        <v>652</v>
      </c>
    </row>
    <row r="896" spans="2:9">
      <c r="B896" s="12"/>
      <c r="C896" s="9" t="s">
        <v>769</v>
      </c>
      <c r="D896" s="11"/>
    </row>
    <row r="897" spans="2:9">
      <c r="B897" s="12"/>
      <c r="C897" s="9" t="s">
        <v>238</v>
      </c>
      <c r="D897" s="9" t="s">
        <v>730</v>
      </c>
      <c r="E897" s="9" t="s">
        <v>731</v>
      </c>
      <c r="F897" s="9" t="s">
        <v>732</v>
      </c>
      <c r="G897" s="7"/>
    </row>
    <row r="898" spans="2:9">
      <c r="B898" s="12"/>
      <c r="C898" s="9" t="s">
        <v>733</v>
      </c>
      <c r="D898" s="11" t="s">
        <v>415</v>
      </c>
      <c r="E898" s="4" t="s">
        <v>691</v>
      </c>
      <c r="F898" s="9" t="s">
        <v>654</v>
      </c>
    </row>
    <row r="899" spans="2:9">
      <c r="B899" s="12"/>
      <c r="C899" s="9" t="s">
        <v>745</v>
      </c>
      <c r="D899" s="11"/>
      <c r="F899" s="9" t="s">
        <v>734</v>
      </c>
    </row>
    <row r="900" spans="2:9">
      <c r="B900" s="12"/>
      <c r="C900" s="9" t="s">
        <v>735</v>
      </c>
      <c r="D900" s="11"/>
      <c r="F900" s="9" t="s">
        <v>652</v>
      </c>
    </row>
    <row r="901" spans="2:9">
      <c r="B901" s="12"/>
      <c r="C901" s="9" t="s">
        <v>757</v>
      </c>
      <c r="D901" s="11"/>
    </row>
    <row r="902" spans="2:9">
      <c r="B902" s="12"/>
      <c r="C902" s="9" t="s">
        <v>259</v>
      </c>
      <c r="D902" s="9" t="s">
        <v>730</v>
      </c>
      <c r="E902" s="9" t="s">
        <v>731</v>
      </c>
      <c r="F902" s="9" t="s">
        <v>732</v>
      </c>
      <c r="G902" s="7"/>
    </row>
    <row r="903" spans="2:9" ht="236.25">
      <c r="B903" s="12"/>
      <c r="C903" s="9" t="s">
        <v>733</v>
      </c>
      <c r="D903" s="11" t="s">
        <v>436</v>
      </c>
      <c r="E903" s="4" t="s">
        <v>693</v>
      </c>
      <c r="F903" s="9" t="s">
        <v>692</v>
      </c>
      <c r="I903" s="4"/>
    </row>
    <row r="904" spans="2:9">
      <c r="B904" s="12"/>
      <c r="C904" s="9" t="s">
        <v>743</v>
      </c>
      <c r="D904" s="11"/>
      <c r="F904" s="9" t="s">
        <v>734</v>
      </c>
    </row>
    <row r="905" spans="2:9">
      <c r="B905" s="12"/>
      <c r="C905" s="9" t="s">
        <v>735</v>
      </c>
      <c r="D905" s="11"/>
      <c r="F905" s="9" t="s">
        <v>569</v>
      </c>
    </row>
    <row r="906" spans="2:9">
      <c r="B906" s="12"/>
      <c r="C906" s="9" t="s">
        <v>797</v>
      </c>
      <c r="D906" s="11"/>
    </row>
    <row r="907" spans="2:9">
      <c r="B907" s="12"/>
      <c r="C907" s="9" t="s">
        <v>260</v>
      </c>
      <c r="D907" s="9" t="s">
        <v>730</v>
      </c>
      <c r="E907" s="9" t="s">
        <v>731</v>
      </c>
      <c r="F907" s="9" t="s">
        <v>732</v>
      </c>
      <c r="G907" s="7"/>
    </row>
    <row r="908" spans="2:9" ht="67.5">
      <c r="B908" s="12"/>
      <c r="C908" s="9" t="s">
        <v>733</v>
      </c>
      <c r="D908" s="11" t="s">
        <v>437</v>
      </c>
      <c r="E908" s="4" t="s">
        <v>695</v>
      </c>
      <c r="F908" s="9" t="s">
        <v>694</v>
      </c>
      <c r="I908" s="4"/>
    </row>
    <row r="909" spans="2:9">
      <c r="B909" s="12"/>
      <c r="C909" s="9" t="s">
        <v>738</v>
      </c>
      <c r="D909" s="11"/>
      <c r="F909" s="9" t="s">
        <v>734</v>
      </c>
    </row>
    <row r="910" spans="2:9">
      <c r="B910" s="12"/>
      <c r="C910" s="9" t="s">
        <v>735</v>
      </c>
      <c r="D910" s="11"/>
      <c r="F910" s="9" t="s">
        <v>569</v>
      </c>
    </row>
    <row r="911" spans="2:9">
      <c r="B911" s="12"/>
      <c r="C911" s="9" t="s">
        <v>769</v>
      </c>
      <c r="D911" s="11"/>
    </row>
    <row r="912" spans="2:9">
      <c r="B912" s="12"/>
      <c r="C912" s="9" t="s">
        <v>261</v>
      </c>
      <c r="D912" s="9" t="s">
        <v>730</v>
      </c>
      <c r="E912" s="9" t="s">
        <v>731</v>
      </c>
      <c r="F912" s="9" t="s">
        <v>732</v>
      </c>
      <c r="G912" s="7"/>
    </row>
    <row r="913" spans="2:9" ht="157.5">
      <c r="B913" s="12"/>
      <c r="C913" s="9" t="s">
        <v>733</v>
      </c>
      <c r="D913" s="11" t="s">
        <v>438</v>
      </c>
      <c r="E913" s="4" t="s">
        <v>697</v>
      </c>
      <c r="F913" s="9" t="s">
        <v>696</v>
      </c>
      <c r="I913" s="4"/>
    </row>
    <row r="914" spans="2:9">
      <c r="B914" s="12"/>
      <c r="C914" s="9" t="s">
        <v>741</v>
      </c>
      <c r="D914" s="11"/>
      <c r="F914" s="9" t="s">
        <v>734</v>
      </c>
    </row>
    <row r="915" spans="2:9">
      <c r="B915" s="12"/>
      <c r="C915" s="9" t="s">
        <v>735</v>
      </c>
      <c r="D915" s="11"/>
      <c r="F915" s="9" t="s">
        <v>569</v>
      </c>
    </row>
    <row r="916" spans="2:9">
      <c r="B916" s="12"/>
      <c r="C916" s="9" t="s">
        <v>798</v>
      </c>
      <c r="D916" s="11"/>
    </row>
    <row r="917" spans="2:9">
      <c r="B917" s="12"/>
      <c r="C917" s="9" t="s">
        <v>262</v>
      </c>
      <c r="D917" s="9" t="s">
        <v>730</v>
      </c>
      <c r="E917" s="9" t="s">
        <v>731</v>
      </c>
      <c r="F917" s="9" t="s">
        <v>732</v>
      </c>
      <c r="G917" s="7"/>
    </row>
    <row r="918" spans="2:9" ht="247.5">
      <c r="B918" s="12"/>
      <c r="C918" s="9" t="s">
        <v>733</v>
      </c>
      <c r="D918" s="11" t="s">
        <v>439</v>
      </c>
      <c r="E918" s="4" t="s">
        <v>699</v>
      </c>
      <c r="F918" s="9" t="s">
        <v>698</v>
      </c>
      <c r="I918" s="4"/>
    </row>
    <row r="919" spans="2:9">
      <c r="B919" s="12"/>
      <c r="C919" s="9" t="s">
        <v>740</v>
      </c>
      <c r="D919" s="11"/>
      <c r="F919" s="9" t="s">
        <v>734</v>
      </c>
    </row>
    <row r="920" spans="2:9">
      <c r="B920" s="12"/>
      <c r="C920" s="9" t="s">
        <v>735</v>
      </c>
      <c r="D920" s="11"/>
      <c r="F920" s="9" t="s">
        <v>569</v>
      </c>
    </row>
    <row r="921" spans="2:9">
      <c r="B921" s="12"/>
      <c r="C921" s="9" t="s">
        <v>799</v>
      </c>
      <c r="D921" s="11"/>
    </row>
    <row r="922" spans="2:9">
      <c r="B922" s="12"/>
      <c r="C922" s="9" t="s">
        <v>263</v>
      </c>
      <c r="D922" s="9" t="s">
        <v>730</v>
      </c>
      <c r="E922" s="9" t="s">
        <v>731</v>
      </c>
      <c r="F922" s="9" t="s">
        <v>732</v>
      </c>
      <c r="G922" s="7"/>
    </row>
    <row r="923" spans="2:9" ht="146.25">
      <c r="B923" s="12"/>
      <c r="C923" s="9" t="s">
        <v>733</v>
      </c>
      <c r="D923" s="11" t="s">
        <v>440</v>
      </c>
      <c r="E923" s="4" t="s">
        <v>701</v>
      </c>
      <c r="F923" s="9" t="s">
        <v>700</v>
      </c>
      <c r="I923" s="4"/>
    </row>
    <row r="924" spans="2:9">
      <c r="B924" s="12"/>
      <c r="C924" s="9" t="s">
        <v>741</v>
      </c>
      <c r="D924" s="11"/>
      <c r="F924" s="9" t="s">
        <v>734</v>
      </c>
    </row>
    <row r="925" spans="2:9">
      <c r="B925" s="12"/>
      <c r="C925" s="9" t="s">
        <v>735</v>
      </c>
      <c r="D925" s="11"/>
      <c r="F925" s="9" t="s">
        <v>569</v>
      </c>
    </row>
    <row r="926" spans="2:9">
      <c r="B926" s="12"/>
      <c r="C926" s="9" t="s">
        <v>790</v>
      </c>
      <c r="D926" s="11"/>
    </row>
    <row r="927" spans="2:9">
      <c r="B927" s="12"/>
      <c r="C927" s="9" t="s">
        <v>264</v>
      </c>
      <c r="D927" s="9" t="s">
        <v>730</v>
      </c>
      <c r="E927" s="9" t="s">
        <v>731</v>
      </c>
      <c r="F927" s="9" t="s">
        <v>732</v>
      </c>
      <c r="G927" s="7"/>
    </row>
    <row r="928" spans="2:9" ht="112.5">
      <c r="B928" s="12"/>
      <c r="C928" s="9" t="s">
        <v>733</v>
      </c>
      <c r="D928" s="11" t="s">
        <v>441</v>
      </c>
      <c r="E928" s="4" t="s">
        <v>703</v>
      </c>
      <c r="F928" s="9" t="s">
        <v>702</v>
      </c>
      <c r="I928" s="4"/>
    </row>
    <row r="929" spans="2:9">
      <c r="B929" s="12"/>
      <c r="C929" s="9" t="s">
        <v>740</v>
      </c>
      <c r="D929" s="11"/>
      <c r="F929" s="9" t="s">
        <v>734</v>
      </c>
    </row>
    <row r="930" spans="2:9">
      <c r="B930" s="12"/>
      <c r="C930" s="9" t="s">
        <v>735</v>
      </c>
      <c r="D930" s="11"/>
      <c r="F930" s="9" t="s">
        <v>569</v>
      </c>
    </row>
    <row r="931" spans="2:9">
      <c r="B931" s="12"/>
      <c r="C931" s="9" t="s">
        <v>757</v>
      </c>
      <c r="D931" s="11"/>
    </row>
    <row r="932" spans="2:9">
      <c r="B932" s="12"/>
      <c r="C932" s="9" t="s">
        <v>265</v>
      </c>
      <c r="D932" s="9" t="s">
        <v>730</v>
      </c>
      <c r="E932" s="9" t="s">
        <v>731</v>
      </c>
      <c r="F932" s="9" t="s">
        <v>732</v>
      </c>
      <c r="G932" s="7"/>
    </row>
    <row r="933" spans="2:9" ht="157.5">
      <c r="B933" s="12"/>
      <c r="C933" s="9" t="s">
        <v>733</v>
      </c>
      <c r="D933" s="11" t="s">
        <v>442</v>
      </c>
      <c r="E933" s="4" t="s">
        <v>705</v>
      </c>
      <c r="F933" s="9" t="s">
        <v>704</v>
      </c>
      <c r="I933" s="4"/>
    </row>
    <row r="934" spans="2:9">
      <c r="B934" s="12"/>
      <c r="C934" s="9" t="s">
        <v>738</v>
      </c>
      <c r="D934" s="11"/>
      <c r="F934" s="9" t="s">
        <v>734</v>
      </c>
    </row>
    <row r="935" spans="2:9">
      <c r="B935" s="12"/>
      <c r="C935" s="9" t="s">
        <v>735</v>
      </c>
      <c r="D935" s="11"/>
      <c r="F935" s="9" t="s">
        <v>569</v>
      </c>
    </row>
    <row r="936" spans="2:9">
      <c r="B936" s="12"/>
      <c r="C936" s="9" t="s">
        <v>736</v>
      </c>
      <c r="D936" s="11"/>
    </row>
    <row r="937" spans="2:9">
      <c r="B937" s="12"/>
      <c r="C937" s="9" t="s">
        <v>266</v>
      </c>
      <c r="D937" s="9" t="s">
        <v>730</v>
      </c>
      <c r="E937" s="9" t="s">
        <v>731</v>
      </c>
      <c r="F937" s="9" t="s">
        <v>732</v>
      </c>
      <c r="G937" s="7"/>
    </row>
    <row r="938" spans="2:9" ht="90">
      <c r="B938" s="12"/>
      <c r="C938" s="9" t="s">
        <v>733</v>
      </c>
      <c r="D938" s="11" t="s">
        <v>443</v>
      </c>
      <c r="E938" s="4" t="s">
        <v>707</v>
      </c>
      <c r="F938" s="9" t="s">
        <v>706</v>
      </c>
      <c r="I938" s="4"/>
    </row>
    <row r="939" spans="2:9">
      <c r="B939" s="12"/>
      <c r="C939" s="9" t="s">
        <v>740</v>
      </c>
      <c r="D939" s="11"/>
      <c r="F939" s="9" t="s">
        <v>734</v>
      </c>
    </row>
    <row r="940" spans="2:9">
      <c r="B940" s="12"/>
      <c r="C940" s="9" t="s">
        <v>735</v>
      </c>
      <c r="D940" s="11"/>
      <c r="F940" s="9" t="s">
        <v>569</v>
      </c>
    </row>
    <row r="941" spans="2:9">
      <c r="B941" s="12"/>
      <c r="C941" s="9" t="s">
        <v>736</v>
      </c>
      <c r="D941" s="11"/>
    </row>
    <row r="942" spans="2:9">
      <c r="B942" s="12"/>
      <c r="C942" s="9" t="s">
        <v>267</v>
      </c>
      <c r="D942" s="9" t="s">
        <v>730</v>
      </c>
      <c r="E942" s="9" t="s">
        <v>731</v>
      </c>
      <c r="F942" s="9" t="s">
        <v>732</v>
      </c>
      <c r="G942" s="7"/>
    </row>
    <row r="943" spans="2:9" ht="202.5">
      <c r="B943" s="12"/>
      <c r="C943" s="9" t="s">
        <v>733</v>
      </c>
      <c r="D943" s="11" t="s">
        <v>444</v>
      </c>
      <c r="E943" s="4" t="s">
        <v>709</v>
      </c>
      <c r="F943" s="9" t="s">
        <v>708</v>
      </c>
      <c r="I943" s="4"/>
    </row>
    <row r="944" spans="2:9">
      <c r="B944" s="12"/>
      <c r="C944" s="9" t="s">
        <v>741</v>
      </c>
      <c r="D944" s="11"/>
      <c r="F944" s="9" t="s">
        <v>734</v>
      </c>
    </row>
    <row r="945" spans="2:9">
      <c r="B945" s="12"/>
      <c r="C945" s="9" t="s">
        <v>735</v>
      </c>
      <c r="D945" s="11"/>
      <c r="F945" s="9" t="s">
        <v>569</v>
      </c>
    </row>
    <row r="946" spans="2:9">
      <c r="B946" s="12"/>
      <c r="C946" s="9" t="s">
        <v>800</v>
      </c>
      <c r="D946" s="11"/>
    </row>
    <row r="947" spans="2:9">
      <c r="B947" s="12"/>
      <c r="C947" s="9" t="s">
        <v>268</v>
      </c>
      <c r="D947" s="9" t="s">
        <v>730</v>
      </c>
      <c r="E947" s="9" t="s">
        <v>731</v>
      </c>
      <c r="F947" s="9" t="s">
        <v>732</v>
      </c>
      <c r="G947" s="7"/>
    </row>
    <row r="948" spans="2:9" ht="258.75">
      <c r="B948" s="12"/>
      <c r="C948" s="9" t="s">
        <v>733</v>
      </c>
      <c r="D948" s="11" t="s">
        <v>445</v>
      </c>
      <c r="E948" s="4" t="s">
        <v>711</v>
      </c>
      <c r="F948" s="9" t="s">
        <v>710</v>
      </c>
      <c r="I948" s="4"/>
    </row>
    <row r="949" spans="2:9">
      <c r="B949" s="12"/>
      <c r="C949" s="9" t="s">
        <v>739</v>
      </c>
      <c r="D949" s="11"/>
      <c r="F949" s="9" t="s">
        <v>734</v>
      </c>
    </row>
    <row r="950" spans="2:9">
      <c r="B950" s="12"/>
      <c r="C950" s="9" t="s">
        <v>735</v>
      </c>
      <c r="D950" s="11"/>
      <c r="F950" s="9" t="s">
        <v>569</v>
      </c>
    </row>
    <row r="951" spans="2:9">
      <c r="B951" s="12"/>
      <c r="C951" s="9" t="s">
        <v>750</v>
      </c>
      <c r="D951" s="11"/>
    </row>
    <row r="952" spans="2:9">
      <c r="B952" s="12"/>
      <c r="C952" s="9" t="s">
        <v>276</v>
      </c>
      <c r="D952" s="9" t="s">
        <v>730</v>
      </c>
      <c r="E952" s="9" t="s">
        <v>731</v>
      </c>
      <c r="F952" s="9" t="s">
        <v>732</v>
      </c>
      <c r="G952" s="7"/>
    </row>
    <row r="953" spans="2:9" ht="191.25">
      <c r="B953" s="12"/>
      <c r="C953" s="9" t="s">
        <v>733</v>
      </c>
      <c r="D953" s="11" t="s">
        <v>737</v>
      </c>
      <c r="E953" s="4" t="s">
        <v>713</v>
      </c>
      <c r="F953" s="9" t="s">
        <v>712</v>
      </c>
      <c r="I953" s="4"/>
    </row>
    <row r="954" spans="2:9">
      <c r="B954" s="12"/>
      <c r="C954" s="9" t="s">
        <v>737</v>
      </c>
      <c r="D954" s="11"/>
      <c r="F954" s="9" t="s">
        <v>734</v>
      </c>
    </row>
    <row r="955" spans="2:9">
      <c r="B955" s="12"/>
      <c r="C955" s="9" t="s">
        <v>735</v>
      </c>
      <c r="D955" s="11"/>
      <c r="F955" s="9" t="s">
        <v>569</v>
      </c>
    </row>
    <row r="956" spans="2:9">
      <c r="B956" s="12"/>
      <c r="C956" s="9" t="s">
        <v>754</v>
      </c>
      <c r="D956" s="11"/>
    </row>
    <row r="957" spans="2:9">
      <c r="B957" s="12"/>
      <c r="C957" s="9" t="s">
        <v>308</v>
      </c>
      <c r="D957" s="9" t="s">
        <v>730</v>
      </c>
      <c r="E957" s="9" t="s">
        <v>731</v>
      </c>
      <c r="F957" s="9" t="s">
        <v>732</v>
      </c>
      <c r="G957" s="7"/>
    </row>
    <row r="958" spans="2:9" ht="135">
      <c r="B958" s="12"/>
      <c r="C958" s="9" t="s">
        <v>733</v>
      </c>
      <c r="D958" s="11" t="s">
        <v>737</v>
      </c>
      <c r="E958" s="4" t="s">
        <v>714</v>
      </c>
      <c r="F958" s="9" t="s">
        <v>744</v>
      </c>
      <c r="I958" s="4"/>
    </row>
    <row r="959" spans="2:9">
      <c r="B959" s="12"/>
      <c r="C959" s="9" t="s">
        <v>737</v>
      </c>
      <c r="D959" s="11"/>
      <c r="F959" s="9" t="s">
        <v>734</v>
      </c>
    </row>
    <row r="960" spans="2:9">
      <c r="B960" s="12"/>
      <c r="C960" s="9" t="s">
        <v>735</v>
      </c>
      <c r="D960" s="11"/>
      <c r="F960" s="9" t="s">
        <v>456</v>
      </c>
    </row>
    <row r="961" spans="2:9">
      <c r="B961" s="12"/>
      <c r="C961" s="9" t="s">
        <v>736</v>
      </c>
      <c r="D961" s="11"/>
    </row>
    <row r="962" spans="2:9">
      <c r="B962" s="12"/>
      <c r="C962" s="9" t="s">
        <v>291</v>
      </c>
      <c r="D962" s="9" t="s">
        <v>730</v>
      </c>
      <c r="E962" s="9" t="s">
        <v>731</v>
      </c>
      <c r="F962" s="9" t="s">
        <v>732</v>
      </c>
      <c r="G962" s="7"/>
    </row>
    <row r="963" spans="2:9" ht="202.5">
      <c r="B963" s="12"/>
      <c r="C963" s="9" t="s">
        <v>733</v>
      </c>
      <c r="D963" s="11" t="s">
        <v>737</v>
      </c>
      <c r="E963" s="4" t="s">
        <v>715</v>
      </c>
      <c r="F963" s="9" t="s">
        <v>740</v>
      </c>
      <c r="I963" s="4"/>
    </row>
    <row r="964" spans="2:9">
      <c r="B964" s="12"/>
      <c r="C964" s="9" t="s">
        <v>737</v>
      </c>
      <c r="D964" s="11"/>
      <c r="F964" s="9" t="s">
        <v>734</v>
      </c>
    </row>
    <row r="965" spans="2:9">
      <c r="B965" s="12"/>
      <c r="C965" s="9" t="s">
        <v>735</v>
      </c>
      <c r="D965" s="11"/>
      <c r="F965" s="9" t="s">
        <v>456</v>
      </c>
    </row>
    <row r="966" spans="2:9">
      <c r="B966" s="12"/>
      <c r="C966" s="9" t="s">
        <v>749</v>
      </c>
      <c r="D966" s="11"/>
    </row>
    <row r="967" spans="2:9">
      <c r="B967" s="12"/>
      <c r="C967" s="9" t="s">
        <v>303</v>
      </c>
      <c r="D967" s="9" t="s">
        <v>730</v>
      </c>
      <c r="E967" s="9" t="s">
        <v>731</v>
      </c>
      <c r="F967" s="9" t="s">
        <v>732</v>
      </c>
      <c r="G967" s="7"/>
    </row>
    <row r="968" spans="2:9" ht="123.75">
      <c r="B968" s="12"/>
      <c r="C968" s="9" t="s">
        <v>733</v>
      </c>
      <c r="D968" s="11" t="s">
        <v>737</v>
      </c>
      <c r="E968" s="4" t="s">
        <v>716</v>
      </c>
      <c r="F968" s="9" t="s">
        <v>742</v>
      </c>
      <c r="I968" s="4"/>
    </row>
    <row r="969" spans="2:9">
      <c r="B969" s="12"/>
      <c r="C969" s="9" t="s">
        <v>737</v>
      </c>
      <c r="D969" s="11"/>
      <c r="F969" s="9" t="s">
        <v>734</v>
      </c>
    </row>
    <row r="970" spans="2:9">
      <c r="B970" s="12"/>
      <c r="C970" s="9" t="s">
        <v>735</v>
      </c>
      <c r="D970" s="11"/>
      <c r="F970" s="9" t="s">
        <v>456</v>
      </c>
    </row>
    <row r="971" spans="2:9">
      <c r="B971" s="12"/>
      <c r="C971" s="9" t="s">
        <v>736</v>
      </c>
      <c r="D971" s="11"/>
    </row>
    <row r="972" spans="2:9">
      <c r="B972" s="12"/>
      <c r="C972" s="9" t="s">
        <v>251</v>
      </c>
      <c r="D972" s="9" t="s">
        <v>730</v>
      </c>
      <c r="E972" s="9" t="s">
        <v>731</v>
      </c>
      <c r="F972" s="9" t="s">
        <v>732</v>
      </c>
      <c r="G972" s="7"/>
    </row>
    <row r="973" spans="2:9">
      <c r="B973" s="12"/>
      <c r="C973" s="9" t="s">
        <v>733</v>
      </c>
      <c r="D973" s="11" t="s">
        <v>428</v>
      </c>
      <c r="E973" s="9" t="s">
        <v>744</v>
      </c>
      <c r="F973" s="9" t="s">
        <v>742</v>
      </c>
      <c r="I973" s="4"/>
    </row>
    <row r="974" spans="2:9">
      <c r="B974" s="12"/>
      <c r="C974" s="9" t="s">
        <v>745</v>
      </c>
      <c r="D974" s="11"/>
      <c r="F974" s="9" t="s">
        <v>734</v>
      </c>
    </row>
    <row r="975" spans="2:9">
      <c r="B975" s="12"/>
      <c r="C975" s="9" t="s">
        <v>735</v>
      </c>
      <c r="D975" s="11"/>
      <c r="F975" s="9" t="s">
        <v>456</v>
      </c>
    </row>
    <row r="976" spans="2:9">
      <c r="B976" s="12"/>
      <c r="C976" s="9" t="s">
        <v>736</v>
      </c>
      <c r="D976" s="11"/>
    </row>
    <row r="977" spans="2:9">
      <c r="B977" s="12"/>
      <c r="C977" s="9" t="s">
        <v>252</v>
      </c>
      <c r="D977" s="9" t="s">
        <v>730</v>
      </c>
      <c r="E977" s="9" t="s">
        <v>731</v>
      </c>
      <c r="F977" s="9" t="s">
        <v>732</v>
      </c>
      <c r="G977" s="7"/>
    </row>
    <row r="978" spans="2:9" ht="33.75">
      <c r="B978" s="12"/>
      <c r="C978" s="9" t="s">
        <v>733</v>
      </c>
      <c r="D978" s="11" t="s">
        <v>429</v>
      </c>
      <c r="E978" s="4" t="s">
        <v>717</v>
      </c>
      <c r="F978" s="9" t="s">
        <v>741</v>
      </c>
    </row>
    <row r="979" spans="2:9">
      <c r="B979" s="12"/>
      <c r="C979" s="9" t="s">
        <v>738</v>
      </c>
      <c r="D979" s="11"/>
      <c r="F979" s="9" t="s">
        <v>734</v>
      </c>
    </row>
    <row r="980" spans="2:9">
      <c r="B980" s="12"/>
      <c r="C980" s="9" t="s">
        <v>735</v>
      </c>
      <c r="D980" s="11"/>
      <c r="F980" s="9" t="s">
        <v>456</v>
      </c>
    </row>
    <row r="981" spans="2:9">
      <c r="B981" s="12"/>
      <c r="C981" s="9" t="s">
        <v>736</v>
      </c>
      <c r="D981" s="11"/>
    </row>
    <row r="982" spans="2:9">
      <c r="B982" s="12"/>
      <c r="C982" s="9" t="s">
        <v>253</v>
      </c>
      <c r="D982" s="9" t="s">
        <v>730</v>
      </c>
      <c r="E982" s="9" t="s">
        <v>731</v>
      </c>
      <c r="F982" s="9" t="s">
        <v>732</v>
      </c>
      <c r="G982" s="7"/>
    </row>
    <row r="983" spans="2:9">
      <c r="B983" s="12"/>
      <c r="C983" s="9" t="s">
        <v>733</v>
      </c>
      <c r="D983" s="11" t="s">
        <v>430</v>
      </c>
      <c r="E983" s="9" t="s">
        <v>718</v>
      </c>
      <c r="F983" s="9" t="s">
        <v>742</v>
      </c>
    </row>
    <row r="984" spans="2:9">
      <c r="B984" s="12"/>
      <c r="C984" s="9" t="s">
        <v>742</v>
      </c>
      <c r="D984" s="11"/>
      <c r="F984" s="9" t="s">
        <v>734</v>
      </c>
    </row>
    <row r="985" spans="2:9">
      <c r="B985" s="12"/>
      <c r="C985" s="9" t="s">
        <v>735</v>
      </c>
      <c r="D985" s="11"/>
      <c r="F985" s="9" t="s">
        <v>456</v>
      </c>
    </row>
    <row r="986" spans="2:9">
      <c r="B986" s="12"/>
      <c r="C986" s="9" t="s">
        <v>769</v>
      </c>
      <c r="D986" s="11"/>
    </row>
    <row r="987" spans="2:9">
      <c r="B987" s="12"/>
      <c r="C987" s="9" t="s">
        <v>306</v>
      </c>
      <c r="D987" s="9" t="s">
        <v>730</v>
      </c>
      <c r="E987" s="9" t="s">
        <v>731</v>
      </c>
      <c r="F987" s="9" t="s">
        <v>732</v>
      </c>
      <c r="G987" s="7"/>
    </row>
    <row r="988" spans="2:9" ht="101.25">
      <c r="B988" s="12"/>
      <c r="C988" s="9" t="s">
        <v>733</v>
      </c>
      <c r="D988" s="11" t="s">
        <v>737</v>
      </c>
      <c r="E988" s="4" t="s">
        <v>719</v>
      </c>
      <c r="F988" s="9" t="s">
        <v>740</v>
      </c>
      <c r="I988" s="4"/>
    </row>
    <row r="989" spans="2:9">
      <c r="B989" s="12"/>
      <c r="C989" s="9" t="s">
        <v>737</v>
      </c>
      <c r="D989" s="11"/>
      <c r="F989" s="9" t="s">
        <v>734</v>
      </c>
    </row>
    <row r="990" spans="2:9">
      <c r="B990" s="12"/>
      <c r="C990" s="9" t="s">
        <v>735</v>
      </c>
      <c r="D990" s="11"/>
      <c r="F990" s="9" t="s">
        <v>456</v>
      </c>
    </row>
    <row r="991" spans="2:9">
      <c r="B991" s="12"/>
      <c r="C991" s="9" t="s">
        <v>736</v>
      </c>
      <c r="D991" s="11"/>
    </row>
    <row r="992" spans="2:9">
      <c r="B992" s="12"/>
      <c r="C992" s="9" t="s">
        <v>255</v>
      </c>
      <c r="D992" s="9" t="s">
        <v>730</v>
      </c>
      <c r="E992" s="9" t="s">
        <v>731</v>
      </c>
      <c r="F992" s="9" t="s">
        <v>732</v>
      </c>
      <c r="G992" s="7"/>
    </row>
    <row r="993" spans="2:9">
      <c r="B993" s="12"/>
      <c r="C993" s="9" t="s">
        <v>733</v>
      </c>
      <c r="D993" s="11" t="s">
        <v>432</v>
      </c>
      <c r="E993" s="9" t="s">
        <v>720</v>
      </c>
      <c r="F993" s="9" t="s">
        <v>740</v>
      </c>
      <c r="I993" s="4"/>
    </row>
    <row r="994" spans="2:9">
      <c r="B994" s="12"/>
      <c r="C994" s="9" t="s">
        <v>736</v>
      </c>
      <c r="D994" s="11"/>
      <c r="F994" s="9" t="s">
        <v>734</v>
      </c>
    </row>
    <row r="995" spans="2:9">
      <c r="B995" s="12"/>
      <c r="C995" s="9" t="s">
        <v>735</v>
      </c>
      <c r="D995" s="11"/>
      <c r="F995" s="9" t="s">
        <v>456</v>
      </c>
    </row>
    <row r="996" spans="2:9">
      <c r="B996" s="12"/>
      <c r="C996" s="9" t="s">
        <v>780</v>
      </c>
      <c r="D996" s="11"/>
    </row>
    <row r="997" spans="2:9">
      <c r="B997" s="12"/>
      <c r="C997" s="9" t="s">
        <v>286</v>
      </c>
      <c r="D997" s="9" t="s">
        <v>730</v>
      </c>
      <c r="E997" s="9" t="s">
        <v>731</v>
      </c>
      <c r="F997" s="9" t="s">
        <v>732</v>
      </c>
      <c r="G997" s="7"/>
    </row>
    <row r="998" spans="2:9" ht="225">
      <c r="B998" s="12"/>
      <c r="C998" s="9" t="s">
        <v>733</v>
      </c>
      <c r="D998" s="11" t="s">
        <v>737</v>
      </c>
      <c r="E998" s="4" t="s">
        <v>721</v>
      </c>
      <c r="F998" s="9" t="s">
        <v>736</v>
      </c>
      <c r="I998" s="4"/>
    </row>
    <row r="999" spans="2:9">
      <c r="B999" s="12"/>
      <c r="C999" s="9" t="s">
        <v>737</v>
      </c>
      <c r="D999" s="11"/>
      <c r="F999" s="9" t="s">
        <v>734</v>
      </c>
    </row>
    <row r="1000" spans="2:9">
      <c r="B1000" s="12"/>
      <c r="C1000" s="9" t="s">
        <v>735</v>
      </c>
      <c r="D1000" s="11"/>
      <c r="F1000" s="9" t="s">
        <v>456</v>
      </c>
    </row>
    <row r="1001" spans="2:9">
      <c r="B1001" s="12"/>
      <c r="C1001" s="9" t="s">
        <v>738</v>
      </c>
      <c r="D1001" s="11"/>
    </row>
    <row r="1002" spans="2:9">
      <c r="B1002" s="12"/>
      <c r="C1002" s="9" t="s">
        <v>257</v>
      </c>
      <c r="D1002" s="9" t="s">
        <v>730</v>
      </c>
      <c r="E1002" s="9" t="s">
        <v>731</v>
      </c>
      <c r="F1002" s="9" t="s">
        <v>732</v>
      </c>
      <c r="G1002" s="7"/>
    </row>
    <row r="1003" spans="2:9" ht="180">
      <c r="B1003" s="12"/>
      <c r="C1003" s="9" t="s">
        <v>733</v>
      </c>
      <c r="D1003" s="11" t="s">
        <v>434</v>
      </c>
      <c r="E1003" s="4" t="s">
        <v>722</v>
      </c>
      <c r="F1003" s="9" t="s">
        <v>736</v>
      </c>
      <c r="I1003" s="4"/>
    </row>
    <row r="1004" spans="2:9">
      <c r="B1004" s="12"/>
      <c r="C1004" s="9" t="s">
        <v>745</v>
      </c>
      <c r="D1004" s="11"/>
      <c r="F1004" s="9" t="s">
        <v>734</v>
      </c>
    </row>
    <row r="1005" spans="2:9">
      <c r="B1005" s="12"/>
      <c r="C1005" s="9" t="s">
        <v>735</v>
      </c>
      <c r="D1005" s="11"/>
      <c r="F1005" s="9" t="s">
        <v>456</v>
      </c>
    </row>
    <row r="1006" spans="2:9">
      <c r="B1006" s="12"/>
      <c r="C1006" s="9" t="s">
        <v>736</v>
      </c>
      <c r="D1006" s="11"/>
    </row>
    <row r="1007" spans="2:9">
      <c r="B1007" s="12"/>
      <c r="C1007" s="9" t="s">
        <v>258</v>
      </c>
      <c r="D1007" s="9" t="s">
        <v>730</v>
      </c>
      <c r="E1007" s="9" t="s">
        <v>731</v>
      </c>
      <c r="F1007" s="9" t="s">
        <v>732</v>
      </c>
      <c r="G1007" s="7"/>
    </row>
    <row r="1008" spans="2:9" ht="157.5">
      <c r="B1008" s="12"/>
      <c r="C1008" s="9" t="s">
        <v>733</v>
      </c>
      <c r="D1008" s="11" t="s">
        <v>435</v>
      </c>
      <c r="E1008" s="4" t="s">
        <v>723</v>
      </c>
      <c r="F1008" s="9" t="s">
        <v>740</v>
      </c>
      <c r="I1008" s="4"/>
    </row>
    <row r="1009" spans="2:9">
      <c r="B1009" s="12"/>
      <c r="C1009" s="9" t="s">
        <v>745</v>
      </c>
      <c r="D1009" s="11"/>
      <c r="F1009" s="9" t="s">
        <v>734</v>
      </c>
    </row>
    <row r="1010" spans="2:9">
      <c r="B1010" s="12"/>
      <c r="C1010" s="9" t="s">
        <v>735</v>
      </c>
      <c r="D1010" s="11"/>
      <c r="F1010" s="9" t="s">
        <v>456</v>
      </c>
    </row>
    <row r="1011" spans="2:9">
      <c r="B1011" s="12"/>
      <c r="C1011" s="9" t="s">
        <v>769</v>
      </c>
      <c r="D1011" s="11"/>
    </row>
    <row r="1012" spans="2:9">
      <c r="B1012" s="12"/>
      <c r="C1012" s="9" t="s">
        <v>270</v>
      </c>
      <c r="D1012" s="9" t="s">
        <v>730</v>
      </c>
      <c r="E1012" s="9" t="s">
        <v>731</v>
      </c>
      <c r="F1012" s="9" t="s">
        <v>732</v>
      </c>
      <c r="G1012" s="7"/>
    </row>
    <row r="1013" spans="2:9" ht="90">
      <c r="B1013" s="12"/>
      <c r="C1013" s="9" t="s">
        <v>733</v>
      </c>
      <c r="D1013" s="11" t="s">
        <v>447</v>
      </c>
      <c r="E1013" s="4" t="s">
        <v>725</v>
      </c>
      <c r="F1013" s="9" t="s">
        <v>744</v>
      </c>
      <c r="I1013" s="4"/>
    </row>
    <row r="1014" spans="2:9">
      <c r="B1014" s="12"/>
      <c r="C1014" s="9" t="s">
        <v>736</v>
      </c>
      <c r="D1014" s="11"/>
      <c r="F1014" s="9" t="s">
        <v>734</v>
      </c>
    </row>
    <row r="1015" spans="2:9">
      <c r="B1015" s="12"/>
      <c r="C1015" s="9" t="s">
        <v>735</v>
      </c>
      <c r="D1015" s="11"/>
      <c r="F1015" s="9" t="s">
        <v>724</v>
      </c>
    </row>
    <row r="1016" spans="2:9">
      <c r="B1016" s="12"/>
      <c r="C1016" s="9" t="s">
        <v>736</v>
      </c>
      <c r="D1016" s="11"/>
    </row>
    <row r="1017" spans="2:9">
      <c r="B1017" s="12"/>
      <c r="C1017" s="9" t="s">
        <v>289</v>
      </c>
      <c r="D1017" s="9" t="s">
        <v>730</v>
      </c>
      <c r="E1017" s="9" t="s">
        <v>731</v>
      </c>
      <c r="F1017" s="9" t="s">
        <v>732</v>
      </c>
      <c r="G1017" s="7"/>
    </row>
    <row r="1018" spans="2:9" ht="213.75">
      <c r="B1018" s="12"/>
      <c r="C1018" s="9" t="s">
        <v>733</v>
      </c>
      <c r="D1018" s="11" t="s">
        <v>737</v>
      </c>
      <c r="E1018" s="4" t="s">
        <v>726</v>
      </c>
      <c r="F1018" s="9" t="s">
        <v>744</v>
      </c>
      <c r="I1018" s="4"/>
    </row>
    <row r="1019" spans="2:9">
      <c r="B1019" s="12"/>
      <c r="C1019" s="9" t="s">
        <v>737</v>
      </c>
      <c r="D1019" s="11"/>
      <c r="F1019" s="9" t="s">
        <v>734</v>
      </c>
    </row>
    <row r="1020" spans="2:9">
      <c r="B1020" s="12"/>
      <c r="C1020" s="9" t="s">
        <v>735</v>
      </c>
      <c r="D1020" s="11"/>
      <c r="F1020" s="9" t="s">
        <v>724</v>
      </c>
    </row>
    <row r="1021" spans="2:9">
      <c r="B1021" s="12"/>
      <c r="C1021" s="9" t="s">
        <v>742</v>
      </c>
      <c r="D1021" s="11"/>
    </row>
    <row r="1022" spans="2:9">
      <c r="B1022" s="12"/>
      <c r="C1022" s="9" t="s">
        <v>272</v>
      </c>
      <c r="D1022" s="9" t="s">
        <v>730</v>
      </c>
      <c r="E1022" s="9" t="s">
        <v>731</v>
      </c>
      <c r="F1022" s="9" t="s">
        <v>732</v>
      </c>
      <c r="G1022" s="7"/>
    </row>
    <row r="1023" spans="2:9" ht="135">
      <c r="B1023" s="12"/>
      <c r="C1023" s="9" t="s">
        <v>733</v>
      </c>
      <c r="D1023" s="11" t="s">
        <v>450</v>
      </c>
      <c r="E1023" s="4" t="s">
        <v>727</v>
      </c>
      <c r="F1023" s="9" t="s">
        <v>744</v>
      </c>
      <c r="I1023" s="4"/>
    </row>
    <row r="1024" spans="2:9">
      <c r="B1024" s="12"/>
      <c r="C1024" s="9" t="s">
        <v>744</v>
      </c>
      <c r="D1024" s="11"/>
      <c r="F1024" s="9" t="s">
        <v>734</v>
      </c>
    </row>
    <row r="1025" spans="2:6">
      <c r="B1025" s="12"/>
      <c r="C1025" s="9" t="s">
        <v>735</v>
      </c>
      <c r="D1025" s="11"/>
      <c r="F1025" s="9" t="s">
        <v>724</v>
      </c>
    </row>
    <row r="1026" spans="2:6">
      <c r="B1026" s="12"/>
      <c r="C1026" s="9" t="s">
        <v>763</v>
      </c>
      <c r="D1026" s="11"/>
    </row>
    <row r="1027" spans="2:6">
      <c r="B1027" s="12"/>
    </row>
    <row r="1028" spans="2:6">
      <c r="B1028" s="12"/>
      <c r="D1028" s="11"/>
    </row>
    <row r="1029" spans="2:6">
      <c r="B1029" s="12"/>
      <c r="D1029" s="11"/>
    </row>
    <row r="1030" spans="2:6">
      <c r="B1030" s="12"/>
      <c r="D1030" s="11"/>
    </row>
    <row r="1031" spans="2:6">
      <c r="B1031" s="12"/>
      <c r="D1031" s="11"/>
    </row>
    <row r="1032" spans="2:6">
      <c r="B1032" s="12"/>
    </row>
    <row r="1033" spans="2:6">
      <c r="B1033" s="12"/>
      <c r="D1033" s="11"/>
    </row>
    <row r="1034" spans="2:6">
      <c r="B1034" s="12"/>
      <c r="D1034" s="11"/>
    </row>
    <row r="1035" spans="2:6">
      <c r="B1035" s="12"/>
      <c r="D1035" s="11"/>
    </row>
    <row r="1036" spans="2:6">
      <c r="B1036" s="12"/>
      <c r="D1036" s="11"/>
    </row>
    <row r="1037" spans="2:6">
      <c r="B1037" s="12"/>
    </row>
    <row r="1038" spans="2:6">
      <c r="B1038" s="12"/>
      <c r="D1038" s="11"/>
    </row>
    <row r="1039" spans="2:6">
      <c r="B1039" s="12"/>
      <c r="D1039" s="11"/>
    </row>
    <row r="1040" spans="2:6">
      <c r="B1040" s="12"/>
      <c r="D1040" s="11"/>
    </row>
    <row r="1041" spans="2:4">
      <c r="B1041" s="12"/>
      <c r="D1041" s="11"/>
    </row>
    <row r="1042" spans="2:4">
      <c r="B1042" s="12"/>
    </row>
    <row r="1043" spans="2:4">
      <c r="B1043" s="12"/>
      <c r="D1043" s="11"/>
    </row>
    <row r="1044" spans="2:4">
      <c r="B1044" s="12"/>
      <c r="D1044" s="11"/>
    </row>
    <row r="1045" spans="2:4">
      <c r="B1045" s="12"/>
      <c r="D1045" s="11"/>
    </row>
    <row r="1046" spans="2:4">
      <c r="B1046" s="12"/>
      <c r="D1046" s="11"/>
    </row>
    <row r="1047" spans="2:4">
      <c r="B1047" s="12"/>
    </row>
    <row r="1048" spans="2:4">
      <c r="B1048" s="12"/>
      <c r="D1048" s="11"/>
    </row>
    <row r="1049" spans="2:4">
      <c r="B1049" s="12"/>
      <c r="D1049" s="11"/>
    </row>
    <row r="1050" spans="2:4">
      <c r="B1050" s="12"/>
      <c r="D1050" s="11"/>
    </row>
    <row r="1051" spans="2:4">
      <c r="B1051" s="12"/>
      <c r="D1051" s="11"/>
    </row>
    <row r="1052" spans="2:4">
      <c r="B1052" s="12"/>
    </row>
    <row r="1053" spans="2:4">
      <c r="B1053" s="12"/>
      <c r="D1053" s="11"/>
    </row>
    <row r="1054" spans="2:4">
      <c r="B1054" s="12"/>
      <c r="D1054" s="11"/>
    </row>
    <row r="1055" spans="2:4">
      <c r="B1055" s="12"/>
      <c r="D1055" s="11"/>
    </row>
    <row r="1056" spans="2:4">
      <c r="B1056" s="12"/>
      <c r="D1056" s="11"/>
    </row>
    <row r="1057" spans="2:4">
      <c r="B1057" s="12"/>
    </row>
    <row r="1058" spans="2:4">
      <c r="B1058" s="12"/>
      <c r="D1058" s="11"/>
    </row>
    <row r="1059" spans="2:4">
      <c r="B1059" s="12"/>
      <c r="D1059" s="11"/>
    </row>
    <row r="1060" spans="2:4">
      <c r="B1060" s="12"/>
      <c r="D1060" s="11"/>
    </row>
    <row r="1061" spans="2:4">
      <c r="B1061" s="12"/>
      <c r="D1061" s="11"/>
    </row>
    <row r="1062" spans="2:4">
      <c r="B1062" s="12"/>
    </row>
    <row r="1063" spans="2:4">
      <c r="B1063" s="12"/>
      <c r="D1063" s="11"/>
    </row>
    <row r="1064" spans="2:4">
      <c r="B1064" s="12"/>
      <c r="D1064" s="11"/>
    </row>
    <row r="1065" spans="2:4">
      <c r="B1065" s="12"/>
      <c r="D1065" s="11"/>
    </row>
    <row r="1066" spans="2:4">
      <c r="B1066" s="12"/>
      <c r="D1066" s="11"/>
    </row>
    <row r="1067" spans="2:4">
      <c r="B1067" s="12"/>
    </row>
    <row r="1068" spans="2:4">
      <c r="B1068" s="12"/>
      <c r="D1068" s="11"/>
    </row>
    <row r="1069" spans="2:4">
      <c r="B1069" s="12"/>
      <c r="D1069" s="11"/>
    </row>
    <row r="1070" spans="2:4">
      <c r="B1070" s="12"/>
      <c r="D1070" s="11"/>
    </row>
    <row r="1071" spans="2:4">
      <c r="B1071" s="12"/>
      <c r="D1071" s="11"/>
    </row>
    <row r="1072" spans="2:4">
      <c r="B1072" s="12"/>
    </row>
    <row r="1073" spans="2:4">
      <c r="B1073" s="12"/>
      <c r="D1073" s="11"/>
    </row>
    <row r="1074" spans="2:4">
      <c r="B1074" s="12"/>
      <c r="D1074" s="11"/>
    </row>
    <row r="1075" spans="2:4">
      <c r="B1075" s="12"/>
      <c r="D1075" s="11"/>
    </row>
    <row r="1076" spans="2:4">
      <c r="B1076" s="12"/>
      <c r="D1076" s="11"/>
    </row>
    <row r="1077" spans="2:4">
      <c r="B1077" s="12"/>
    </row>
    <row r="1078" spans="2:4">
      <c r="B1078" s="12"/>
      <c r="D1078" s="11"/>
    </row>
    <row r="1079" spans="2:4">
      <c r="B1079" s="12"/>
      <c r="D1079" s="11"/>
    </row>
    <row r="1080" spans="2:4">
      <c r="B1080" s="12"/>
      <c r="D1080" s="11"/>
    </row>
    <row r="1081" spans="2:4">
      <c r="B1081" s="12"/>
      <c r="D1081" s="11"/>
    </row>
    <row r="1082" spans="2:4">
      <c r="B1082" s="12"/>
    </row>
    <row r="1083" spans="2:4">
      <c r="B1083" s="12"/>
      <c r="D1083" s="11"/>
    </row>
    <row r="1084" spans="2:4">
      <c r="B1084" s="12"/>
      <c r="D1084" s="11"/>
    </row>
    <row r="1085" spans="2:4">
      <c r="B1085" s="12"/>
      <c r="D1085" s="11"/>
    </row>
    <row r="1086" spans="2:4">
      <c r="B1086" s="12"/>
      <c r="D1086" s="11"/>
    </row>
    <row r="1087" spans="2:4">
      <c r="B1087" s="12"/>
    </row>
    <row r="1088" spans="2:4">
      <c r="B1088" s="12"/>
      <c r="D1088" s="11"/>
    </row>
    <row r="1089" spans="2:4">
      <c r="B1089" s="12"/>
      <c r="D1089" s="11"/>
    </row>
    <row r="1090" spans="2:4">
      <c r="B1090" s="12"/>
      <c r="D1090" s="11"/>
    </row>
    <row r="1091" spans="2:4">
      <c r="B1091" s="12"/>
      <c r="D1091" s="11"/>
    </row>
    <row r="1092" spans="2:4">
      <c r="B1092" s="12"/>
    </row>
    <row r="1093" spans="2:4">
      <c r="B1093" s="12"/>
      <c r="D1093" s="11"/>
    </row>
    <row r="1094" spans="2:4">
      <c r="B1094" s="12"/>
      <c r="D1094" s="11"/>
    </row>
    <row r="1095" spans="2:4">
      <c r="B1095" s="12"/>
      <c r="D1095" s="11"/>
    </row>
    <row r="1096" spans="2:4">
      <c r="B1096" s="12"/>
      <c r="D1096" s="11"/>
    </row>
    <row r="1097" spans="2:4">
      <c r="B1097" s="12"/>
    </row>
    <row r="1098" spans="2:4">
      <c r="B1098" s="12"/>
      <c r="D1098" s="11"/>
    </row>
    <row r="1099" spans="2:4">
      <c r="B1099" s="12"/>
      <c r="D1099" s="11"/>
    </row>
    <row r="1100" spans="2:4">
      <c r="B1100" s="12"/>
      <c r="D1100" s="11"/>
    </row>
    <row r="1101" spans="2:4">
      <c r="B1101" s="12"/>
      <c r="D1101" s="11"/>
    </row>
    <row r="1102" spans="2:4">
      <c r="B1102" s="12"/>
    </row>
    <row r="1103" spans="2:4">
      <c r="B1103" s="12"/>
      <c r="D1103" s="11"/>
    </row>
    <row r="1104" spans="2:4">
      <c r="B1104" s="12"/>
      <c r="D1104" s="11"/>
    </row>
    <row r="1105" spans="2:4">
      <c r="B1105" s="12"/>
      <c r="D1105" s="11"/>
    </row>
    <row r="1106" spans="2:4">
      <c r="B1106" s="12"/>
      <c r="D1106" s="11"/>
    </row>
    <row r="1107" spans="2:4">
      <c r="B1107" s="12"/>
    </row>
    <row r="1108" spans="2:4">
      <c r="B1108" s="12"/>
      <c r="D1108" s="11"/>
    </row>
    <row r="1109" spans="2:4">
      <c r="B1109" s="12"/>
      <c r="D1109" s="11"/>
    </row>
    <row r="1110" spans="2:4">
      <c r="B1110" s="12"/>
      <c r="D1110" s="11"/>
    </row>
    <row r="1111" spans="2:4">
      <c r="B1111" s="12"/>
      <c r="D1111" s="11"/>
    </row>
    <row r="1112" spans="2:4">
      <c r="B1112" s="12"/>
    </row>
    <row r="1113" spans="2:4">
      <c r="B1113" s="12"/>
      <c r="D1113" s="11"/>
    </row>
    <row r="1114" spans="2:4">
      <c r="B1114" s="12"/>
      <c r="D1114" s="11"/>
    </row>
    <row r="1115" spans="2:4">
      <c r="B1115" s="12"/>
      <c r="D1115" s="11"/>
    </row>
    <row r="1116" spans="2:4">
      <c r="B1116" s="12"/>
      <c r="D1116" s="11"/>
    </row>
    <row r="1117" spans="2:4">
      <c r="B1117" s="12"/>
    </row>
    <row r="1118" spans="2:4">
      <c r="B1118" s="12"/>
      <c r="D1118" s="11"/>
    </row>
    <row r="1119" spans="2:4">
      <c r="B1119" s="12"/>
      <c r="D1119" s="11"/>
    </row>
    <row r="1120" spans="2:4">
      <c r="B1120" s="12"/>
      <c r="D1120" s="11"/>
    </row>
    <row r="1121" spans="2:4">
      <c r="B1121" s="12"/>
      <c r="D1121" s="11"/>
    </row>
    <row r="1122" spans="2:4">
      <c r="B1122" s="12"/>
    </row>
    <row r="1123" spans="2:4">
      <c r="B1123" s="12"/>
      <c r="D1123" s="11"/>
    </row>
    <row r="1124" spans="2:4">
      <c r="B1124" s="12"/>
      <c r="D1124" s="11"/>
    </row>
    <row r="1125" spans="2:4">
      <c r="B1125" s="12"/>
      <c r="D1125" s="11"/>
    </row>
    <row r="1126" spans="2:4">
      <c r="B1126" s="12"/>
      <c r="D1126" s="11"/>
    </row>
    <row r="1127" spans="2:4">
      <c r="B1127" s="12"/>
      <c r="C1127" s="14"/>
      <c r="D1127" s="14"/>
    </row>
    <row r="1128" spans="2:4">
      <c r="B1128" s="12"/>
      <c r="C1128" s="14"/>
      <c r="D1128" s="12"/>
    </row>
    <row r="1129" spans="2:4">
      <c r="B1129" s="12"/>
      <c r="C1129" s="14"/>
      <c r="D1129" s="12"/>
    </row>
    <row r="1130" spans="2:4">
      <c r="B1130" s="12"/>
      <c r="C1130" s="14"/>
      <c r="D1130" s="12"/>
    </row>
    <row r="1131" spans="2:4">
      <c r="B1131" s="12"/>
      <c r="C1131" s="14"/>
      <c r="D1131" s="12"/>
    </row>
    <row r="1132" spans="2:4">
      <c r="B1132" s="12"/>
      <c r="C1132" s="14"/>
      <c r="D1132" s="14"/>
    </row>
    <row r="1133" spans="2:4">
      <c r="B1133" s="12"/>
      <c r="C1133" s="14"/>
      <c r="D1133" s="12"/>
    </row>
    <row r="1134" spans="2:4">
      <c r="B1134" s="12"/>
      <c r="C1134" s="14"/>
      <c r="D1134" s="12"/>
    </row>
    <row r="1135" spans="2:4">
      <c r="B1135" s="12"/>
      <c r="C1135" s="14"/>
      <c r="D1135" s="12"/>
    </row>
    <row r="1136" spans="2:4">
      <c r="B1136" s="12"/>
      <c r="C1136" s="14"/>
      <c r="D1136" s="12"/>
    </row>
    <row r="1137" spans="2:4">
      <c r="B1137" s="12"/>
      <c r="C1137" s="14"/>
      <c r="D1137" s="14"/>
    </row>
    <row r="1138" spans="2:4">
      <c r="B1138" s="12"/>
      <c r="C1138" s="14"/>
      <c r="D1138" s="12"/>
    </row>
    <row r="1139" spans="2:4">
      <c r="B1139" s="12"/>
      <c r="C1139" s="14"/>
      <c r="D1139" s="12"/>
    </row>
    <row r="1140" spans="2:4">
      <c r="B1140" s="12"/>
      <c r="C1140" s="14"/>
      <c r="D1140" s="12"/>
    </row>
    <row r="1141" spans="2:4">
      <c r="B1141" s="12"/>
      <c r="C1141" s="14"/>
      <c r="D1141" s="12"/>
    </row>
    <row r="1142" spans="2:4">
      <c r="B1142" s="12"/>
      <c r="C1142" s="14"/>
      <c r="D1142" s="14"/>
    </row>
    <row r="1143" spans="2:4">
      <c r="B1143" s="12"/>
      <c r="C1143" s="14"/>
      <c r="D1143" s="12"/>
    </row>
    <row r="1144" spans="2:4">
      <c r="B1144" s="12"/>
      <c r="C1144" s="14"/>
      <c r="D1144" s="12"/>
    </row>
    <row r="1145" spans="2:4">
      <c r="B1145" s="12"/>
      <c r="C1145" s="14"/>
      <c r="D1145" s="12"/>
    </row>
    <row r="1146" spans="2:4">
      <c r="B1146" s="12"/>
      <c r="C1146" s="14"/>
      <c r="D1146" s="12"/>
    </row>
    <row r="1147" spans="2:4">
      <c r="B1147" s="12"/>
      <c r="C1147" s="14"/>
      <c r="D1147" s="14"/>
    </row>
    <row r="1148" spans="2:4">
      <c r="B1148" s="12"/>
      <c r="C1148" s="14"/>
      <c r="D1148" s="12"/>
    </row>
    <row r="1149" spans="2:4">
      <c r="B1149" s="12"/>
      <c r="C1149" s="14"/>
      <c r="D1149" s="12"/>
    </row>
    <row r="1150" spans="2:4">
      <c r="B1150" s="12"/>
      <c r="C1150" s="14"/>
      <c r="D1150" s="12"/>
    </row>
    <row r="1151" spans="2:4">
      <c r="B1151" s="12"/>
      <c r="C1151" s="14"/>
      <c r="D1151" s="12"/>
    </row>
    <row r="1152" spans="2:4">
      <c r="B1152" s="12"/>
      <c r="C1152" s="14"/>
      <c r="D1152" s="14"/>
    </row>
    <row r="1153" spans="2:4">
      <c r="B1153" s="12"/>
      <c r="C1153" s="14"/>
      <c r="D1153" s="12"/>
    </row>
    <row r="1154" spans="2:4">
      <c r="B1154" s="12"/>
      <c r="C1154" s="14"/>
      <c r="D1154" s="12"/>
    </row>
    <row r="1155" spans="2:4">
      <c r="B1155" s="12"/>
      <c r="C1155" s="14"/>
      <c r="D1155" s="12"/>
    </row>
    <row r="1156" spans="2:4">
      <c r="B1156" s="12"/>
      <c r="C1156" s="14"/>
      <c r="D1156" s="12"/>
    </row>
    <row r="1157" spans="2:4">
      <c r="B1157" s="12"/>
      <c r="C1157" s="14"/>
      <c r="D1157" s="14"/>
    </row>
    <row r="1158" spans="2:4">
      <c r="B1158" s="12"/>
      <c r="C1158" s="14"/>
      <c r="D1158" s="12"/>
    </row>
    <row r="1159" spans="2:4">
      <c r="B1159" s="12"/>
      <c r="C1159" s="14"/>
      <c r="D1159" s="12"/>
    </row>
    <row r="1160" spans="2:4">
      <c r="B1160" s="12"/>
      <c r="C1160" s="14"/>
      <c r="D1160" s="12"/>
    </row>
    <row r="1161" spans="2:4">
      <c r="B1161" s="12"/>
      <c r="C1161" s="14"/>
      <c r="D1161" s="12"/>
    </row>
    <row r="1162" spans="2:4">
      <c r="B1162" s="12"/>
      <c r="C1162" s="14"/>
      <c r="D1162" s="14"/>
    </row>
    <row r="1163" spans="2:4">
      <c r="B1163" s="12"/>
      <c r="C1163" s="14"/>
      <c r="D1163" s="12"/>
    </row>
    <row r="1164" spans="2:4">
      <c r="B1164" s="12"/>
      <c r="C1164" s="14"/>
      <c r="D1164" s="12"/>
    </row>
    <row r="1165" spans="2:4">
      <c r="B1165" s="12"/>
      <c r="C1165" s="14"/>
      <c r="D1165" s="12"/>
    </row>
    <row r="1166" spans="2:4">
      <c r="B1166" s="12"/>
      <c r="C1166" s="14"/>
      <c r="D1166" s="12"/>
    </row>
    <row r="1167" spans="2:4">
      <c r="B1167" s="12"/>
      <c r="C1167" s="14"/>
      <c r="D1167" s="14"/>
    </row>
    <row r="1168" spans="2:4">
      <c r="B1168" s="12"/>
      <c r="C1168" s="14"/>
      <c r="D1168" s="12"/>
    </row>
    <row r="1169" spans="2:4">
      <c r="B1169" s="12"/>
      <c r="C1169" s="14"/>
      <c r="D1169" s="12"/>
    </row>
    <row r="1170" spans="2:4">
      <c r="B1170" s="12"/>
      <c r="C1170" s="14"/>
      <c r="D1170" s="12"/>
    </row>
    <row r="1171" spans="2:4">
      <c r="B1171" s="12"/>
      <c r="C1171" s="14"/>
      <c r="D1171" s="12"/>
    </row>
    <row r="1172" spans="2:4">
      <c r="B1172" s="12"/>
      <c r="C1172" s="14"/>
      <c r="D1172" s="14"/>
    </row>
    <row r="1173" spans="2:4">
      <c r="B1173" s="12"/>
      <c r="C1173" s="14"/>
      <c r="D1173" s="12"/>
    </row>
    <row r="1174" spans="2:4">
      <c r="B1174" s="12"/>
      <c r="C1174" s="14"/>
      <c r="D1174" s="12"/>
    </row>
    <row r="1175" spans="2:4">
      <c r="B1175" s="12"/>
      <c r="C1175" s="14"/>
      <c r="D1175" s="12"/>
    </row>
    <row r="1176" spans="2:4">
      <c r="B1176" s="12"/>
      <c r="C1176" s="14"/>
      <c r="D1176" s="12"/>
    </row>
    <row r="1177" spans="2:4">
      <c r="B1177" s="12"/>
      <c r="C1177" s="14"/>
      <c r="D1177" s="14"/>
    </row>
    <row r="1178" spans="2:4">
      <c r="B1178" s="12"/>
      <c r="C1178" s="14"/>
      <c r="D1178" s="12"/>
    </row>
    <row r="1179" spans="2:4">
      <c r="B1179" s="12"/>
      <c r="C1179" s="14"/>
      <c r="D1179" s="12"/>
    </row>
    <row r="1180" spans="2:4">
      <c r="B1180" s="12"/>
      <c r="C1180" s="14"/>
      <c r="D1180" s="12"/>
    </row>
    <row r="1181" spans="2:4">
      <c r="B1181" s="12"/>
      <c r="C1181" s="14"/>
      <c r="D1181" s="12"/>
    </row>
    <row r="1182" spans="2:4">
      <c r="B1182" s="12"/>
      <c r="C1182" s="14"/>
      <c r="D1182" s="14"/>
    </row>
    <row r="1183" spans="2:4">
      <c r="B1183" s="12"/>
      <c r="C1183" s="14"/>
      <c r="D1183" s="12"/>
    </row>
    <row r="1184" spans="2:4">
      <c r="B1184" s="12"/>
      <c r="C1184" s="14"/>
      <c r="D1184" s="12"/>
    </row>
    <row r="1185" spans="2:4">
      <c r="B1185" s="12"/>
      <c r="C1185" s="14"/>
      <c r="D1185" s="12"/>
    </row>
    <row r="1186" spans="2:4">
      <c r="B1186" s="12"/>
      <c r="C1186" s="14"/>
      <c r="D1186" s="12"/>
    </row>
    <row r="1187" spans="2:4">
      <c r="B1187" s="12"/>
      <c r="C1187" s="14"/>
      <c r="D1187" s="14"/>
    </row>
    <row r="1188" spans="2:4">
      <c r="B1188" s="12"/>
      <c r="C1188" s="14"/>
      <c r="D1188" s="12"/>
    </row>
    <row r="1189" spans="2:4">
      <c r="B1189" s="12"/>
      <c r="C1189" s="14"/>
      <c r="D1189" s="12"/>
    </row>
    <row r="1190" spans="2:4">
      <c r="B1190" s="12"/>
      <c r="C1190" s="14"/>
      <c r="D1190" s="12"/>
    </row>
    <row r="1191" spans="2:4">
      <c r="B1191" s="12"/>
      <c r="C1191" s="14"/>
      <c r="D1191" s="12"/>
    </row>
    <row r="1192" spans="2:4">
      <c r="B1192" s="12"/>
      <c r="C1192" s="14"/>
      <c r="D1192" s="14"/>
    </row>
    <row r="1193" spans="2:4">
      <c r="B1193" s="12"/>
      <c r="C1193" s="14"/>
      <c r="D1193" s="12"/>
    </row>
    <row r="1194" spans="2:4">
      <c r="B1194" s="12"/>
      <c r="C1194" s="14"/>
      <c r="D1194" s="12"/>
    </row>
    <row r="1195" spans="2:4">
      <c r="B1195" s="12"/>
      <c r="C1195" s="14"/>
      <c r="D1195" s="12"/>
    </row>
    <row r="1196" spans="2:4">
      <c r="B1196" s="12"/>
      <c r="C1196" s="14"/>
      <c r="D1196" s="12"/>
    </row>
    <row r="1197" spans="2:4">
      <c r="B1197" s="12"/>
      <c r="C1197" s="14"/>
      <c r="D1197" s="14"/>
    </row>
    <row r="1198" spans="2:4">
      <c r="B1198" s="12"/>
      <c r="C1198" s="14"/>
      <c r="D1198" s="12"/>
    </row>
    <row r="1199" spans="2:4">
      <c r="B1199" s="12"/>
      <c r="C1199" s="14"/>
      <c r="D1199" s="12"/>
    </row>
    <row r="1200" spans="2:4">
      <c r="B1200" s="12"/>
      <c r="C1200" s="14"/>
      <c r="D1200" s="12"/>
    </row>
    <row r="1201" spans="2:4">
      <c r="B1201" s="12"/>
      <c r="C1201" s="14"/>
      <c r="D1201" s="12"/>
    </row>
    <row r="1202" spans="2:4">
      <c r="B1202" s="12"/>
      <c r="C1202" s="14"/>
      <c r="D1202" s="14"/>
    </row>
    <row r="1203" spans="2:4">
      <c r="B1203" s="12"/>
      <c r="C1203" s="14"/>
      <c r="D1203" s="12"/>
    </row>
    <row r="1204" spans="2:4">
      <c r="B1204" s="12"/>
      <c r="C1204" s="14"/>
      <c r="D1204" s="12"/>
    </row>
    <row r="1205" spans="2:4">
      <c r="B1205" s="12"/>
      <c r="C1205" s="14"/>
      <c r="D1205" s="12"/>
    </row>
    <row r="1206" spans="2:4">
      <c r="B1206" s="12"/>
      <c r="C1206" s="14"/>
      <c r="D1206" s="12"/>
    </row>
    <row r="1207" spans="2:4">
      <c r="B1207" s="12"/>
      <c r="C1207" s="14"/>
      <c r="D1207" s="14"/>
    </row>
    <row r="1208" spans="2:4">
      <c r="B1208" s="12"/>
      <c r="C1208" s="14"/>
      <c r="D1208" s="12"/>
    </row>
    <row r="1209" spans="2:4">
      <c r="B1209" s="12"/>
      <c r="C1209" s="14"/>
      <c r="D1209" s="12"/>
    </row>
    <row r="1210" spans="2:4">
      <c r="B1210" s="12"/>
      <c r="C1210" s="14"/>
      <c r="D1210" s="12"/>
    </row>
    <row r="1211" spans="2:4">
      <c r="B1211" s="12"/>
      <c r="C1211" s="14"/>
      <c r="D1211" s="12"/>
    </row>
    <row r="1212" spans="2:4">
      <c r="B1212" s="12"/>
      <c r="C1212" s="14"/>
      <c r="D1212" s="14"/>
    </row>
    <row r="1213" spans="2:4">
      <c r="B1213" s="12"/>
      <c r="C1213" s="14"/>
      <c r="D1213" s="12"/>
    </row>
    <row r="1214" spans="2:4">
      <c r="B1214" s="12"/>
      <c r="C1214" s="14"/>
      <c r="D1214" s="12"/>
    </row>
    <row r="1215" spans="2:4">
      <c r="B1215" s="12"/>
      <c r="C1215" s="14"/>
      <c r="D1215" s="12"/>
    </row>
    <row r="1216" spans="2:4">
      <c r="B1216" s="12"/>
      <c r="C1216" s="14"/>
      <c r="D1216" s="12"/>
    </row>
    <row r="1217" spans="2:4">
      <c r="B1217" s="12"/>
      <c r="C1217" s="14"/>
      <c r="D1217" s="14"/>
    </row>
    <row r="1218" spans="2:4">
      <c r="B1218" s="12"/>
      <c r="C1218" s="14"/>
      <c r="D1218" s="12"/>
    </row>
    <row r="1219" spans="2:4">
      <c r="B1219" s="12"/>
      <c r="C1219" s="14"/>
      <c r="D1219" s="12"/>
    </row>
    <row r="1220" spans="2:4">
      <c r="B1220" s="12"/>
      <c r="C1220" s="14"/>
      <c r="D1220" s="12"/>
    </row>
    <row r="1221" spans="2:4">
      <c r="B1221" s="12"/>
      <c r="C1221" s="14"/>
      <c r="D1221" s="12"/>
    </row>
    <row r="1222" spans="2:4">
      <c r="B1222" s="12"/>
      <c r="C1222" s="14"/>
      <c r="D1222" s="14"/>
    </row>
    <row r="1223" spans="2:4">
      <c r="B1223" s="12"/>
      <c r="C1223" s="14"/>
      <c r="D1223" s="12"/>
    </row>
    <row r="1224" spans="2:4">
      <c r="B1224" s="12"/>
      <c r="C1224" s="14"/>
      <c r="D1224" s="12"/>
    </row>
    <row r="1225" spans="2:4">
      <c r="B1225" s="12"/>
      <c r="C1225" s="14"/>
      <c r="D1225" s="12"/>
    </row>
    <row r="1226" spans="2:4">
      <c r="B1226" s="12"/>
      <c r="C1226" s="14"/>
      <c r="D1226" s="12"/>
    </row>
    <row r="1227" spans="2:4">
      <c r="B1227" s="12"/>
      <c r="C1227" s="14"/>
      <c r="D1227" s="14"/>
    </row>
    <row r="1228" spans="2:4">
      <c r="B1228" s="12"/>
      <c r="C1228" s="14"/>
      <c r="D1228" s="12"/>
    </row>
    <row r="1229" spans="2:4">
      <c r="B1229" s="12"/>
      <c r="C1229" s="14"/>
      <c r="D1229" s="12"/>
    </row>
    <row r="1230" spans="2:4">
      <c r="B1230" s="12"/>
      <c r="C1230" s="14"/>
      <c r="D1230" s="12"/>
    </row>
    <row r="1231" spans="2:4">
      <c r="B1231" s="12"/>
      <c r="C1231" s="14"/>
      <c r="D1231" s="12"/>
    </row>
    <row r="1232" spans="2:4">
      <c r="B1232" s="12"/>
      <c r="C1232" s="14"/>
      <c r="D1232" s="14"/>
    </row>
    <row r="1233" spans="2:4">
      <c r="B1233" s="12"/>
      <c r="C1233" s="14"/>
      <c r="D1233" s="12"/>
    </row>
    <row r="1234" spans="2:4">
      <c r="B1234" s="12"/>
      <c r="C1234" s="14"/>
      <c r="D1234" s="12"/>
    </row>
    <row r="1235" spans="2:4">
      <c r="B1235" s="12"/>
      <c r="C1235" s="14"/>
      <c r="D1235" s="12"/>
    </row>
    <row r="1236" spans="2:4">
      <c r="B1236" s="12"/>
      <c r="C1236" s="14"/>
      <c r="D1236" s="12"/>
    </row>
    <row r="1237" spans="2:4">
      <c r="B1237" s="12"/>
      <c r="C1237" s="14"/>
      <c r="D1237" s="14"/>
    </row>
    <row r="1238" spans="2:4">
      <c r="B1238" s="12"/>
      <c r="C1238" s="14"/>
      <c r="D1238" s="12"/>
    </row>
    <row r="1239" spans="2:4">
      <c r="B1239" s="12"/>
      <c r="C1239" s="14"/>
      <c r="D1239" s="12"/>
    </row>
    <row r="1240" spans="2:4">
      <c r="B1240" s="12"/>
      <c r="C1240" s="14"/>
      <c r="D1240" s="12"/>
    </row>
    <row r="1241" spans="2:4">
      <c r="B1241" s="12"/>
      <c r="C1241" s="14"/>
      <c r="D1241" s="12"/>
    </row>
    <row r="1242" spans="2:4">
      <c r="B1242" s="12"/>
      <c r="C1242" s="14"/>
      <c r="D1242" s="14"/>
    </row>
    <row r="1243" spans="2:4">
      <c r="B1243" s="12"/>
      <c r="C1243" s="14"/>
      <c r="D1243" s="12"/>
    </row>
    <row r="1244" spans="2:4">
      <c r="B1244" s="12"/>
      <c r="C1244" s="14"/>
      <c r="D1244" s="12"/>
    </row>
    <row r="1245" spans="2:4">
      <c r="B1245" s="12"/>
      <c r="C1245" s="14"/>
      <c r="D1245" s="12"/>
    </row>
    <row r="1246" spans="2:4">
      <c r="B1246" s="12"/>
      <c r="C1246" s="14"/>
      <c r="D1246" s="12"/>
    </row>
    <row r="1247" spans="2:4">
      <c r="B1247" s="12"/>
      <c r="C1247" s="14"/>
      <c r="D1247" s="14"/>
    </row>
    <row r="1248" spans="2:4">
      <c r="B1248" s="12"/>
      <c r="C1248" s="14"/>
      <c r="D1248" s="12"/>
    </row>
    <row r="1249" spans="2:4">
      <c r="B1249" s="12"/>
      <c r="C1249" s="14"/>
      <c r="D1249" s="12"/>
    </row>
    <row r="1250" spans="2:4">
      <c r="B1250" s="12"/>
      <c r="C1250" s="14"/>
      <c r="D1250" s="12"/>
    </row>
    <row r="1251" spans="2:4">
      <c r="B1251" s="12"/>
      <c r="C1251" s="14"/>
      <c r="D1251" s="12"/>
    </row>
    <row r="1252" spans="2:4">
      <c r="B1252" s="12"/>
      <c r="C1252" s="14"/>
      <c r="D1252" s="14"/>
    </row>
    <row r="1253" spans="2:4">
      <c r="B1253" s="12"/>
      <c r="C1253" s="14"/>
      <c r="D1253" s="12"/>
    </row>
    <row r="1254" spans="2:4">
      <c r="B1254" s="12"/>
      <c r="C1254" s="14"/>
      <c r="D1254" s="12"/>
    </row>
    <row r="1255" spans="2:4">
      <c r="B1255" s="12"/>
      <c r="C1255" s="14"/>
      <c r="D1255" s="12"/>
    </row>
    <row r="1256" spans="2:4">
      <c r="B1256" s="12"/>
      <c r="C1256" s="14"/>
      <c r="D1256" s="12"/>
    </row>
    <row r="1257" spans="2:4">
      <c r="B1257" s="12"/>
      <c r="C1257" s="14"/>
      <c r="D1257" s="14"/>
    </row>
    <row r="1258" spans="2:4">
      <c r="B1258" s="12"/>
      <c r="C1258" s="14"/>
      <c r="D1258" s="12"/>
    </row>
    <row r="1259" spans="2:4">
      <c r="B1259" s="12"/>
      <c r="C1259" s="14"/>
      <c r="D1259" s="12"/>
    </row>
    <row r="1260" spans="2:4">
      <c r="B1260" s="12"/>
      <c r="C1260" s="14"/>
      <c r="D1260" s="12"/>
    </row>
    <row r="1261" spans="2:4">
      <c r="B1261" s="12"/>
      <c r="C1261" s="14"/>
      <c r="D1261" s="12"/>
    </row>
    <row r="1262" spans="2:4">
      <c r="B1262" s="12"/>
      <c r="C1262" s="14"/>
      <c r="D1262" s="14"/>
    </row>
    <row r="1263" spans="2:4">
      <c r="B1263" s="12"/>
      <c r="C1263" s="14"/>
      <c r="D1263" s="12"/>
    </row>
    <row r="1264" spans="2:4">
      <c r="B1264" s="12"/>
      <c r="C1264" s="14"/>
      <c r="D1264" s="12"/>
    </row>
    <row r="1265" spans="2:4">
      <c r="B1265" s="12"/>
      <c r="C1265" s="14"/>
      <c r="D1265" s="12"/>
    </row>
    <row r="1266" spans="2:4">
      <c r="B1266" s="12"/>
      <c r="C1266" s="14"/>
      <c r="D1266" s="12"/>
    </row>
    <row r="1267" spans="2:4">
      <c r="B1267" s="12"/>
      <c r="C1267" s="14"/>
      <c r="D1267" s="14"/>
    </row>
    <row r="1268" spans="2:4">
      <c r="B1268" s="12"/>
      <c r="C1268" s="14"/>
      <c r="D1268" s="12"/>
    </row>
    <row r="1269" spans="2:4">
      <c r="B1269" s="12"/>
      <c r="C1269" s="14"/>
      <c r="D1269" s="12"/>
    </row>
    <row r="1270" spans="2:4">
      <c r="B1270" s="12"/>
      <c r="C1270" s="14"/>
      <c r="D1270" s="12"/>
    </row>
    <row r="1271" spans="2:4">
      <c r="B1271" s="12"/>
      <c r="C1271" s="14"/>
      <c r="D1271" s="12"/>
    </row>
    <row r="1272" spans="2:4">
      <c r="B1272" s="12"/>
      <c r="C1272" s="14"/>
      <c r="D1272" s="14"/>
    </row>
    <row r="1273" spans="2:4">
      <c r="B1273" s="12"/>
      <c r="C1273" s="14"/>
      <c r="D1273" s="12"/>
    </row>
    <row r="1274" spans="2:4">
      <c r="B1274" s="12"/>
      <c r="C1274" s="14"/>
      <c r="D1274" s="12"/>
    </row>
    <row r="1275" spans="2:4">
      <c r="B1275" s="12"/>
      <c r="C1275" s="14"/>
      <c r="D1275" s="12"/>
    </row>
    <row r="1276" spans="2:4">
      <c r="B1276" s="12"/>
      <c r="C1276" s="14"/>
      <c r="D1276" s="12"/>
    </row>
    <row r="1277" spans="2:4">
      <c r="B1277" s="12"/>
      <c r="C1277" s="14"/>
      <c r="D1277" s="14"/>
    </row>
    <row r="1278" spans="2:4">
      <c r="B1278" s="12"/>
      <c r="C1278" s="14"/>
      <c r="D1278" s="12"/>
    </row>
    <row r="1279" spans="2:4">
      <c r="B1279" s="12"/>
      <c r="C1279" s="14"/>
      <c r="D1279" s="12"/>
    </row>
    <row r="1280" spans="2:4">
      <c r="B1280" s="12"/>
      <c r="C1280" s="14"/>
      <c r="D1280" s="12"/>
    </row>
    <row r="1281" spans="2:4">
      <c r="B1281" s="12"/>
      <c r="C1281" s="14"/>
      <c r="D1281" s="12"/>
    </row>
    <row r="1282" spans="2:4">
      <c r="B1282" s="12"/>
      <c r="C1282" s="14"/>
      <c r="D1282" s="14"/>
    </row>
    <row r="1283" spans="2:4">
      <c r="B1283" s="12"/>
      <c r="C1283" s="14"/>
      <c r="D1283" s="12"/>
    </row>
    <row r="1284" spans="2:4">
      <c r="B1284" s="12"/>
      <c r="C1284" s="14"/>
      <c r="D1284" s="12"/>
    </row>
    <row r="1285" spans="2:4">
      <c r="B1285" s="12"/>
      <c r="C1285" s="14"/>
      <c r="D1285" s="12"/>
    </row>
    <row r="1286" spans="2:4">
      <c r="B1286" s="12"/>
      <c r="C1286" s="14"/>
      <c r="D1286" s="12"/>
    </row>
    <row r="1287" spans="2:4">
      <c r="B1287" s="12"/>
      <c r="C1287" s="14"/>
      <c r="D1287" s="14"/>
    </row>
    <row r="1288" spans="2:4">
      <c r="B1288" s="12"/>
      <c r="C1288" s="14"/>
      <c r="D1288" s="12"/>
    </row>
    <row r="1289" spans="2:4">
      <c r="B1289" s="12"/>
      <c r="C1289" s="14"/>
      <c r="D1289" s="12"/>
    </row>
    <row r="1290" spans="2:4">
      <c r="B1290" s="12"/>
      <c r="C1290" s="14"/>
      <c r="D1290" s="12"/>
    </row>
    <row r="1291" spans="2:4">
      <c r="B1291" s="12"/>
      <c r="C1291" s="14"/>
      <c r="D1291" s="12"/>
    </row>
    <row r="1292" spans="2:4">
      <c r="B1292" s="12"/>
      <c r="C1292" s="14"/>
      <c r="D1292" s="14"/>
    </row>
    <row r="1293" spans="2:4">
      <c r="B1293" s="12"/>
      <c r="C1293" s="14"/>
      <c r="D1293" s="12"/>
    </row>
    <row r="1294" spans="2:4">
      <c r="B1294" s="12"/>
      <c r="C1294" s="14"/>
      <c r="D1294" s="12"/>
    </row>
    <row r="1295" spans="2:4">
      <c r="B1295" s="12"/>
      <c r="C1295" s="14"/>
      <c r="D1295" s="12"/>
    </row>
    <row r="1296" spans="2:4">
      <c r="B1296" s="12"/>
      <c r="C1296" s="14"/>
      <c r="D1296" s="12"/>
    </row>
    <row r="1297" spans="2:4">
      <c r="B1297" s="12"/>
      <c r="C1297" s="14"/>
      <c r="D1297" s="14"/>
    </row>
    <row r="1298" spans="2:4">
      <c r="B1298" s="12"/>
      <c r="C1298" s="14"/>
      <c r="D1298" s="12"/>
    </row>
    <row r="1299" spans="2:4">
      <c r="B1299" s="12"/>
      <c r="C1299" s="14"/>
      <c r="D1299" s="12"/>
    </row>
    <row r="1300" spans="2:4">
      <c r="B1300" s="12"/>
      <c r="C1300" s="14"/>
      <c r="D1300" s="12"/>
    </row>
    <row r="1301" spans="2:4">
      <c r="B1301" s="12"/>
      <c r="C1301" s="14"/>
      <c r="D1301" s="12"/>
    </row>
    <row r="1302" spans="2:4">
      <c r="B1302" s="12"/>
      <c r="C1302" s="14"/>
      <c r="D1302" s="14"/>
    </row>
    <row r="1303" spans="2:4">
      <c r="B1303" s="12"/>
      <c r="C1303" s="14"/>
      <c r="D1303" s="12"/>
    </row>
    <row r="1304" spans="2:4">
      <c r="B1304" s="12"/>
      <c r="C1304" s="14"/>
      <c r="D1304" s="12"/>
    </row>
    <row r="1305" spans="2:4">
      <c r="B1305" s="12"/>
      <c r="C1305" s="14"/>
      <c r="D1305" s="12"/>
    </row>
    <row r="1306" spans="2:4">
      <c r="B1306" s="12"/>
      <c r="C1306" s="14"/>
      <c r="D1306" s="12"/>
    </row>
    <row r="1307" spans="2:4">
      <c r="B1307" s="12"/>
      <c r="C1307" s="14"/>
      <c r="D1307" s="14"/>
    </row>
    <row r="1308" spans="2:4">
      <c r="B1308" s="12"/>
      <c r="C1308" s="14"/>
      <c r="D1308" s="12"/>
    </row>
    <row r="1309" spans="2:4">
      <c r="B1309" s="12"/>
      <c r="C1309" s="14"/>
      <c r="D1309" s="12"/>
    </row>
    <row r="1310" spans="2:4">
      <c r="B1310" s="12"/>
      <c r="C1310" s="14"/>
      <c r="D1310" s="12"/>
    </row>
    <row r="1311" spans="2:4">
      <c r="B1311" s="12"/>
      <c r="C1311" s="14"/>
      <c r="D1311" s="12"/>
    </row>
    <row r="1312" spans="2:4">
      <c r="B1312" s="12"/>
      <c r="C1312" s="14"/>
      <c r="D1312" s="14"/>
    </row>
    <row r="1313" spans="2:4">
      <c r="B1313" s="12"/>
      <c r="C1313" s="14"/>
      <c r="D1313" s="12"/>
    </row>
    <row r="1314" spans="2:4">
      <c r="B1314" s="12"/>
      <c r="C1314" s="14"/>
      <c r="D1314" s="12"/>
    </row>
    <row r="1315" spans="2:4">
      <c r="B1315" s="12"/>
      <c r="C1315" s="14"/>
      <c r="D1315" s="12"/>
    </row>
    <row r="1316" spans="2:4">
      <c r="B1316" s="12"/>
      <c r="C1316" s="14"/>
      <c r="D1316" s="12"/>
    </row>
    <row r="1317" spans="2:4">
      <c r="B1317" s="12"/>
      <c r="C1317" s="14"/>
      <c r="D1317" s="14"/>
    </row>
    <row r="1318" spans="2:4">
      <c r="B1318" s="12"/>
      <c r="C1318" s="14"/>
      <c r="D1318" s="12"/>
    </row>
    <row r="1319" spans="2:4">
      <c r="B1319" s="12"/>
      <c r="C1319" s="14"/>
      <c r="D1319" s="12"/>
    </row>
    <row r="1320" spans="2:4">
      <c r="B1320" s="12"/>
      <c r="C1320" s="14"/>
      <c r="D1320" s="12"/>
    </row>
    <row r="1321" spans="2:4">
      <c r="B1321" s="12"/>
      <c r="C1321" s="14"/>
      <c r="D1321" s="12"/>
    </row>
    <row r="1322" spans="2:4">
      <c r="B1322" s="12"/>
      <c r="C1322" s="14"/>
      <c r="D1322" s="14"/>
    </row>
    <row r="1323" spans="2:4">
      <c r="B1323" s="12"/>
      <c r="C1323" s="14"/>
      <c r="D1323" s="12"/>
    </row>
    <row r="1324" spans="2:4">
      <c r="B1324" s="12"/>
      <c r="C1324" s="14"/>
      <c r="D1324" s="12"/>
    </row>
    <row r="1325" spans="2:4">
      <c r="B1325" s="12"/>
      <c r="C1325" s="14"/>
      <c r="D1325" s="12"/>
    </row>
    <row r="1326" spans="2:4">
      <c r="B1326" s="12"/>
      <c r="C1326" s="14"/>
      <c r="D1326" s="12"/>
    </row>
    <row r="1327" spans="2:4">
      <c r="B1327" s="12"/>
      <c r="C1327" s="14"/>
      <c r="D1327" s="14"/>
    </row>
    <row r="1328" spans="2:4">
      <c r="B1328" s="12"/>
      <c r="C1328" s="14"/>
      <c r="D1328" s="12"/>
    </row>
    <row r="1329" spans="2:4">
      <c r="B1329" s="12"/>
      <c r="C1329" s="14"/>
      <c r="D1329" s="12"/>
    </row>
    <row r="1330" spans="2:4">
      <c r="B1330" s="12"/>
      <c r="C1330" s="14"/>
      <c r="D1330" s="12"/>
    </row>
    <row r="1331" spans="2:4">
      <c r="B1331" s="12"/>
      <c r="C1331" s="14"/>
      <c r="D1331" s="12"/>
    </row>
    <row r="1332" spans="2:4">
      <c r="B1332" s="12"/>
      <c r="C1332" s="14"/>
      <c r="D1332" s="14"/>
    </row>
    <row r="1333" spans="2:4">
      <c r="B1333" s="12"/>
      <c r="C1333" s="14"/>
      <c r="D1333" s="12"/>
    </row>
    <row r="1334" spans="2:4">
      <c r="B1334" s="12"/>
      <c r="C1334" s="14"/>
      <c r="D1334" s="12"/>
    </row>
    <row r="1335" spans="2:4">
      <c r="B1335" s="12"/>
      <c r="C1335" s="14"/>
      <c r="D1335" s="12"/>
    </row>
    <row r="1336" spans="2:4">
      <c r="B1336" s="12"/>
      <c r="C1336" s="14"/>
      <c r="D1336" s="12"/>
    </row>
    <row r="1337" spans="2:4">
      <c r="B1337" s="12"/>
      <c r="C1337" s="14"/>
      <c r="D1337" s="14"/>
    </row>
    <row r="1338" spans="2:4">
      <c r="B1338" s="12"/>
      <c r="C1338" s="14"/>
      <c r="D1338" s="12"/>
    </row>
    <row r="1339" spans="2:4">
      <c r="B1339" s="12"/>
      <c r="C1339" s="14"/>
      <c r="D1339" s="12"/>
    </row>
    <row r="1340" spans="2:4">
      <c r="B1340" s="12"/>
      <c r="C1340" s="14"/>
      <c r="D1340" s="12"/>
    </row>
    <row r="1341" spans="2:4">
      <c r="B1341" s="12"/>
      <c r="C1341" s="14"/>
      <c r="D1341" s="12"/>
    </row>
    <row r="1342" spans="2:4">
      <c r="B1342" s="12"/>
      <c r="C1342" s="14"/>
      <c r="D1342" s="14"/>
    </row>
    <row r="1343" spans="2:4">
      <c r="B1343" s="12"/>
      <c r="C1343" s="14"/>
      <c r="D1343" s="12"/>
    </row>
    <row r="1344" spans="2:4">
      <c r="B1344" s="12"/>
      <c r="C1344" s="14"/>
      <c r="D1344" s="12"/>
    </row>
    <row r="1345" spans="2:4">
      <c r="B1345" s="12"/>
      <c r="C1345" s="14"/>
      <c r="D1345" s="12"/>
    </row>
    <row r="1346" spans="2:4">
      <c r="B1346" s="12"/>
      <c r="C1346" s="14"/>
      <c r="D1346" s="12"/>
    </row>
    <row r="1347" spans="2:4">
      <c r="B1347" s="12"/>
      <c r="C1347" s="14"/>
      <c r="D1347" s="14"/>
    </row>
    <row r="1348" spans="2:4">
      <c r="B1348" s="12"/>
      <c r="C1348" s="14"/>
      <c r="D1348" s="12"/>
    </row>
    <row r="1349" spans="2:4">
      <c r="B1349" s="12"/>
      <c r="C1349" s="14"/>
      <c r="D1349" s="12"/>
    </row>
    <row r="1350" spans="2:4">
      <c r="B1350" s="12"/>
      <c r="C1350" s="14"/>
      <c r="D1350" s="12"/>
    </row>
    <row r="1351" spans="2:4">
      <c r="B1351" s="12"/>
      <c r="C1351" s="14"/>
      <c r="D1351" s="12"/>
    </row>
    <row r="1352" spans="2:4">
      <c r="B1352" s="12"/>
      <c r="C1352" s="14"/>
      <c r="D1352" s="14"/>
    </row>
    <row r="1353" spans="2:4">
      <c r="B1353" s="12"/>
      <c r="C1353" s="14"/>
      <c r="D1353" s="12"/>
    </row>
    <row r="1354" spans="2:4">
      <c r="B1354" s="12"/>
      <c r="C1354" s="14"/>
      <c r="D1354" s="12"/>
    </row>
    <row r="1355" spans="2:4">
      <c r="B1355" s="12"/>
      <c r="C1355" s="14"/>
      <c r="D1355" s="12"/>
    </row>
    <row r="1356" spans="2:4">
      <c r="B1356" s="12"/>
      <c r="C1356" s="14"/>
      <c r="D1356" s="12"/>
    </row>
    <row r="1357" spans="2:4">
      <c r="B1357" s="12"/>
      <c r="C1357" s="14"/>
      <c r="D1357" s="14"/>
    </row>
    <row r="1358" spans="2:4">
      <c r="B1358" s="12"/>
      <c r="C1358" s="14"/>
      <c r="D1358" s="12"/>
    </row>
    <row r="1359" spans="2:4">
      <c r="B1359" s="12"/>
      <c r="C1359" s="14"/>
      <c r="D1359" s="12"/>
    </row>
    <row r="1360" spans="2:4">
      <c r="B1360" s="12"/>
      <c r="C1360" s="14"/>
      <c r="D1360" s="12"/>
    </row>
    <row r="1361" spans="2:4">
      <c r="B1361" s="12"/>
      <c r="C1361" s="14"/>
      <c r="D1361" s="12"/>
    </row>
    <row r="1362" spans="2:4">
      <c r="B1362" s="12"/>
      <c r="C1362" s="14"/>
      <c r="D1362" s="14"/>
    </row>
    <row r="1363" spans="2:4">
      <c r="B1363" s="12"/>
      <c r="C1363" s="14"/>
      <c r="D1363" s="12"/>
    </row>
    <row r="1364" spans="2:4">
      <c r="B1364" s="12"/>
      <c r="C1364" s="14"/>
      <c r="D1364" s="12"/>
    </row>
    <row r="1365" spans="2:4">
      <c r="B1365" s="12"/>
      <c r="C1365" s="14"/>
      <c r="D1365" s="12"/>
    </row>
    <row r="1366" spans="2:4">
      <c r="B1366" s="12"/>
      <c r="C1366" s="14"/>
      <c r="D1366" s="12"/>
    </row>
    <row r="1367" spans="2:4">
      <c r="B1367" s="12"/>
      <c r="C1367" s="14"/>
      <c r="D1367" s="14"/>
    </row>
    <row r="1368" spans="2:4">
      <c r="B1368" s="12"/>
      <c r="C1368" s="14"/>
      <c r="D1368" s="12"/>
    </row>
    <row r="1369" spans="2:4">
      <c r="B1369" s="12"/>
      <c r="C1369" s="14"/>
      <c r="D1369" s="12"/>
    </row>
    <row r="1370" spans="2:4">
      <c r="B1370" s="12"/>
      <c r="C1370" s="14"/>
      <c r="D1370" s="12"/>
    </row>
    <row r="1371" spans="2:4">
      <c r="B1371" s="12"/>
      <c r="C1371" s="14"/>
      <c r="D1371" s="12"/>
    </row>
    <row r="1372" spans="2:4">
      <c r="B1372" s="12"/>
      <c r="C1372" s="14"/>
      <c r="D1372" s="14"/>
    </row>
    <row r="1373" spans="2:4">
      <c r="B1373" s="12"/>
      <c r="C1373" s="14"/>
      <c r="D1373" s="12"/>
    </row>
    <row r="1374" spans="2:4">
      <c r="B1374" s="12"/>
      <c r="C1374" s="14"/>
      <c r="D1374" s="12"/>
    </row>
    <row r="1375" spans="2:4">
      <c r="B1375" s="12"/>
      <c r="C1375" s="14"/>
      <c r="D1375" s="12"/>
    </row>
    <row r="1376" spans="2:4">
      <c r="B1376" s="12"/>
      <c r="C1376" s="14"/>
      <c r="D1376" s="12"/>
    </row>
    <row r="1377" spans="2:4">
      <c r="B1377" s="12"/>
      <c r="C1377" s="14"/>
      <c r="D1377" s="14"/>
    </row>
    <row r="1378" spans="2:4">
      <c r="B1378" s="12"/>
      <c r="C1378" s="14"/>
      <c r="D1378" s="12"/>
    </row>
    <row r="1379" spans="2:4">
      <c r="B1379" s="12"/>
      <c r="C1379" s="14"/>
      <c r="D1379" s="12"/>
    </row>
    <row r="1380" spans="2:4">
      <c r="B1380" s="12"/>
      <c r="C1380" s="14"/>
      <c r="D1380" s="12"/>
    </row>
    <row r="1381" spans="2:4">
      <c r="B1381" s="12"/>
      <c r="C1381" s="14"/>
      <c r="D1381" s="12"/>
    </row>
    <row r="1382" spans="2:4">
      <c r="B1382" s="12"/>
      <c r="C1382" s="14"/>
      <c r="D1382" s="14"/>
    </row>
    <row r="1383" spans="2:4">
      <c r="B1383" s="12"/>
      <c r="C1383" s="14"/>
      <c r="D1383" s="12"/>
    </row>
    <row r="1384" spans="2:4">
      <c r="B1384" s="12"/>
      <c r="C1384" s="14"/>
      <c r="D1384" s="12"/>
    </row>
    <row r="1385" spans="2:4">
      <c r="B1385" s="12"/>
      <c r="C1385" s="14"/>
      <c r="D1385" s="12"/>
    </row>
    <row r="1386" spans="2:4">
      <c r="B1386" s="12"/>
      <c r="C1386" s="14"/>
      <c r="D1386" s="12"/>
    </row>
    <row r="1387" spans="2:4">
      <c r="B1387" s="12"/>
      <c r="C1387" s="14"/>
      <c r="D1387" s="14"/>
    </row>
    <row r="1388" spans="2:4">
      <c r="B1388" s="12"/>
      <c r="C1388" s="14"/>
      <c r="D1388" s="12"/>
    </row>
    <row r="1389" spans="2:4">
      <c r="B1389" s="12"/>
      <c r="C1389" s="14"/>
      <c r="D1389" s="12"/>
    </row>
    <row r="1390" spans="2:4">
      <c r="B1390" s="12"/>
      <c r="C1390" s="14"/>
      <c r="D1390" s="12"/>
    </row>
    <row r="1391" spans="2:4">
      <c r="B1391" s="12"/>
      <c r="C1391" s="14"/>
      <c r="D1391" s="12"/>
    </row>
    <row r="1392" spans="2:4">
      <c r="B1392" s="12"/>
      <c r="C1392" s="14"/>
      <c r="D1392" s="14"/>
    </row>
    <row r="1393" spans="2:4">
      <c r="B1393" s="12"/>
      <c r="C1393" s="14"/>
      <c r="D1393" s="12"/>
    </row>
    <row r="1394" spans="2:4">
      <c r="B1394" s="12"/>
      <c r="C1394" s="14"/>
      <c r="D1394" s="12"/>
    </row>
    <row r="1395" spans="2:4">
      <c r="B1395" s="12"/>
      <c r="C1395" s="14"/>
      <c r="D1395" s="12"/>
    </row>
    <row r="1396" spans="2:4">
      <c r="B1396" s="12"/>
      <c r="C1396" s="14"/>
      <c r="D1396" s="12"/>
    </row>
    <row r="1397" spans="2:4">
      <c r="B1397" s="12"/>
      <c r="C1397" s="14"/>
      <c r="D1397" s="14"/>
    </row>
    <row r="1398" spans="2:4">
      <c r="B1398" s="12"/>
      <c r="C1398" s="14"/>
      <c r="D1398" s="12"/>
    </row>
    <row r="1399" spans="2:4">
      <c r="B1399" s="12"/>
      <c r="C1399" s="14"/>
      <c r="D1399" s="12"/>
    </row>
    <row r="1400" spans="2:4">
      <c r="B1400" s="12"/>
      <c r="C1400" s="14"/>
      <c r="D1400" s="12"/>
    </row>
    <row r="1401" spans="2:4">
      <c r="B1401" s="12"/>
      <c r="C1401" s="14"/>
      <c r="D1401" s="12"/>
    </row>
    <row r="1402" spans="2:4">
      <c r="B1402" s="12"/>
      <c r="C1402" s="14"/>
      <c r="D1402" s="14"/>
    </row>
    <row r="1403" spans="2:4">
      <c r="B1403" s="12"/>
      <c r="C1403" s="14"/>
      <c r="D1403" s="12"/>
    </row>
    <row r="1404" spans="2:4">
      <c r="B1404" s="12"/>
      <c r="C1404" s="14"/>
      <c r="D1404" s="12"/>
    </row>
    <row r="1405" spans="2:4">
      <c r="B1405" s="12"/>
      <c r="C1405" s="14"/>
      <c r="D1405" s="12"/>
    </row>
    <row r="1406" spans="2:4">
      <c r="B1406" s="12"/>
      <c r="C1406" s="14"/>
      <c r="D1406" s="12"/>
    </row>
    <row r="1407" spans="2:4">
      <c r="B1407" s="12"/>
      <c r="C1407" s="14"/>
      <c r="D1407" s="14"/>
    </row>
    <row r="1408" spans="2:4">
      <c r="B1408" s="12"/>
      <c r="C1408" s="14"/>
      <c r="D1408" s="12"/>
    </row>
    <row r="1409" spans="2:4">
      <c r="B1409" s="12"/>
      <c r="C1409" s="14"/>
      <c r="D1409" s="12"/>
    </row>
    <row r="1410" spans="2:4">
      <c r="B1410" s="12"/>
      <c r="C1410" s="14"/>
      <c r="D1410" s="12"/>
    </row>
    <row r="1411" spans="2:4">
      <c r="B1411" s="12"/>
      <c r="C1411" s="14"/>
      <c r="D1411" s="12"/>
    </row>
    <row r="1412" spans="2:4">
      <c r="B1412" s="12"/>
      <c r="C1412" s="14"/>
      <c r="D1412" s="14"/>
    </row>
    <row r="1413" spans="2:4">
      <c r="B1413" s="12"/>
      <c r="C1413" s="14"/>
      <c r="D1413" s="12"/>
    </row>
    <row r="1414" spans="2:4">
      <c r="B1414" s="12"/>
      <c r="C1414" s="14"/>
      <c r="D1414" s="12"/>
    </row>
    <row r="1415" spans="2:4">
      <c r="B1415" s="12"/>
      <c r="C1415" s="14"/>
      <c r="D1415" s="12"/>
    </row>
    <row r="1416" spans="2:4">
      <c r="B1416" s="12"/>
      <c r="C1416" s="14"/>
      <c r="D1416" s="12"/>
    </row>
    <row r="1417" spans="2:4">
      <c r="B1417" s="12"/>
      <c r="C1417" s="14"/>
      <c r="D1417" s="14"/>
    </row>
    <row r="1418" spans="2:4">
      <c r="B1418" s="12"/>
      <c r="C1418" s="14"/>
      <c r="D1418" s="12"/>
    </row>
    <row r="1419" spans="2:4">
      <c r="B1419" s="12"/>
      <c r="C1419" s="14"/>
      <c r="D1419" s="12"/>
    </row>
    <row r="1420" spans="2:4">
      <c r="B1420" s="12"/>
      <c r="C1420" s="14"/>
      <c r="D1420" s="12"/>
    </row>
    <row r="1421" spans="2:4">
      <c r="B1421" s="12"/>
      <c r="C1421" s="14"/>
      <c r="D1421" s="12"/>
    </row>
    <row r="1422" spans="2:4">
      <c r="B1422" s="12"/>
      <c r="C1422" s="14"/>
      <c r="D1422" s="14"/>
    </row>
    <row r="1423" spans="2:4">
      <c r="B1423" s="12"/>
      <c r="C1423" s="14"/>
      <c r="D1423" s="12"/>
    </row>
    <row r="1424" spans="2:4">
      <c r="B1424" s="12"/>
      <c r="C1424" s="14"/>
      <c r="D1424" s="12"/>
    </row>
    <row r="1425" spans="2:4">
      <c r="B1425" s="12"/>
      <c r="C1425" s="14"/>
      <c r="D1425" s="12"/>
    </row>
    <row r="1426" spans="2:4">
      <c r="B1426" s="12"/>
      <c r="C1426" s="14"/>
      <c r="D1426" s="12"/>
    </row>
    <row r="1427" spans="2:4">
      <c r="B1427" s="12"/>
      <c r="C1427" s="14"/>
      <c r="D1427" s="14"/>
    </row>
    <row r="1428" spans="2:4">
      <c r="B1428" s="12"/>
      <c r="C1428" s="14"/>
      <c r="D1428" s="12"/>
    </row>
    <row r="1429" spans="2:4">
      <c r="B1429" s="12"/>
      <c r="C1429" s="14"/>
      <c r="D1429" s="12"/>
    </row>
    <row r="1430" spans="2:4">
      <c r="B1430" s="12"/>
      <c r="C1430" s="14"/>
      <c r="D1430" s="12"/>
    </row>
    <row r="1431" spans="2:4">
      <c r="B1431" s="12"/>
      <c r="C1431" s="14"/>
      <c r="D1431" s="12"/>
    </row>
    <row r="1432" spans="2:4">
      <c r="B1432" s="12"/>
      <c r="C1432" s="14"/>
      <c r="D1432" s="14"/>
    </row>
    <row r="1433" spans="2:4">
      <c r="B1433" s="12"/>
      <c r="C1433" s="14"/>
      <c r="D1433" s="12"/>
    </row>
    <row r="1434" spans="2:4">
      <c r="B1434" s="12"/>
      <c r="C1434" s="14"/>
      <c r="D1434" s="12"/>
    </row>
    <row r="1435" spans="2:4">
      <c r="B1435" s="12"/>
      <c r="C1435" s="14"/>
      <c r="D1435" s="12"/>
    </row>
    <row r="1436" spans="2:4">
      <c r="B1436" s="12"/>
      <c r="C1436" s="14"/>
      <c r="D1436" s="12"/>
    </row>
    <row r="1437" spans="2:4">
      <c r="B1437" s="12"/>
      <c r="C1437" s="14"/>
      <c r="D1437" s="14"/>
    </row>
    <row r="1438" spans="2:4">
      <c r="B1438" s="12"/>
      <c r="C1438" s="14"/>
      <c r="D1438" s="12"/>
    </row>
    <row r="1439" spans="2:4">
      <c r="B1439" s="12"/>
      <c r="C1439" s="14"/>
      <c r="D1439" s="12"/>
    </row>
    <row r="1440" spans="2:4">
      <c r="B1440" s="12"/>
      <c r="C1440" s="14"/>
      <c r="D1440" s="12"/>
    </row>
    <row r="1441" spans="2:4">
      <c r="B1441" s="12"/>
      <c r="C1441" s="14"/>
      <c r="D1441" s="12"/>
    </row>
    <row r="1442" spans="2:4">
      <c r="B1442" s="12"/>
      <c r="C1442" s="14"/>
      <c r="D1442" s="14"/>
    </row>
    <row r="1443" spans="2:4">
      <c r="B1443" s="12"/>
      <c r="C1443" s="14"/>
      <c r="D1443" s="12"/>
    </row>
    <row r="1444" spans="2:4">
      <c r="B1444" s="12"/>
      <c r="C1444" s="14"/>
      <c r="D1444" s="12"/>
    </row>
    <row r="1445" spans="2:4">
      <c r="B1445" s="12"/>
      <c r="C1445" s="14"/>
      <c r="D1445" s="12"/>
    </row>
    <row r="1446" spans="2:4">
      <c r="B1446" s="12"/>
      <c r="C1446" s="14"/>
      <c r="D1446" s="12"/>
    </row>
    <row r="1447" spans="2:4">
      <c r="B1447" s="12"/>
      <c r="C1447" s="14"/>
      <c r="D1447" s="14"/>
    </row>
    <row r="1448" spans="2:4">
      <c r="B1448" s="12"/>
      <c r="C1448" s="14"/>
      <c r="D1448" s="12"/>
    </row>
    <row r="1449" spans="2:4">
      <c r="B1449" s="12"/>
      <c r="C1449" s="14"/>
      <c r="D1449" s="12"/>
    </row>
    <row r="1450" spans="2:4">
      <c r="B1450" s="12"/>
      <c r="C1450" s="14"/>
      <c r="D1450" s="12"/>
    </row>
    <row r="1451" spans="2:4">
      <c r="B1451" s="12"/>
      <c r="C1451" s="14"/>
      <c r="D1451" s="12"/>
    </row>
    <row r="1452" spans="2:4">
      <c r="B1452" s="12"/>
      <c r="C1452" s="14"/>
      <c r="D1452" s="14"/>
    </row>
    <row r="1453" spans="2:4">
      <c r="B1453" s="12"/>
      <c r="C1453" s="14"/>
      <c r="D1453" s="12"/>
    </row>
    <row r="1454" spans="2:4">
      <c r="B1454" s="12"/>
      <c r="C1454" s="14"/>
      <c r="D1454" s="12"/>
    </row>
    <row r="1455" spans="2:4">
      <c r="B1455" s="12"/>
      <c r="C1455" s="14"/>
      <c r="D1455" s="12"/>
    </row>
    <row r="1456" spans="2:4">
      <c r="B1456" s="12"/>
      <c r="C1456" s="14"/>
      <c r="D1456" s="12"/>
    </row>
    <row r="1457" spans="2:4">
      <c r="B1457" s="12"/>
      <c r="C1457" s="14"/>
      <c r="D1457" s="14"/>
    </row>
    <row r="1458" spans="2:4">
      <c r="B1458" s="12"/>
      <c r="C1458" s="14"/>
      <c r="D1458" s="12"/>
    </row>
    <row r="1459" spans="2:4">
      <c r="B1459" s="12"/>
      <c r="C1459" s="14"/>
      <c r="D1459" s="12"/>
    </row>
    <row r="1460" spans="2:4">
      <c r="B1460" s="12"/>
      <c r="C1460" s="14"/>
      <c r="D1460" s="12"/>
    </row>
    <row r="1461" spans="2:4">
      <c r="B1461" s="12"/>
      <c r="C1461" s="14"/>
      <c r="D1461" s="12"/>
    </row>
    <row r="1462" spans="2:4">
      <c r="B1462" s="12"/>
      <c r="C1462" s="14"/>
      <c r="D1462" s="14"/>
    </row>
    <row r="1463" spans="2:4">
      <c r="B1463" s="12"/>
      <c r="C1463" s="14"/>
      <c r="D1463" s="12"/>
    </row>
    <row r="1464" spans="2:4">
      <c r="B1464" s="12"/>
      <c r="C1464" s="14"/>
      <c r="D1464" s="12"/>
    </row>
    <row r="1465" spans="2:4">
      <c r="B1465" s="12"/>
      <c r="C1465" s="14"/>
      <c r="D1465" s="12"/>
    </row>
    <row r="1466" spans="2:4">
      <c r="B1466" s="12"/>
      <c r="C1466" s="14"/>
      <c r="D1466" s="12"/>
    </row>
    <row r="1467" spans="2:4">
      <c r="B1467" s="12"/>
      <c r="C1467" s="14"/>
      <c r="D1467" s="14"/>
    </row>
    <row r="1468" spans="2:4">
      <c r="B1468" s="12"/>
      <c r="C1468" s="14"/>
      <c r="D1468" s="12"/>
    </row>
    <row r="1469" spans="2:4">
      <c r="B1469" s="12"/>
      <c r="C1469" s="14"/>
      <c r="D1469" s="12"/>
    </row>
    <row r="1470" spans="2:4">
      <c r="B1470" s="12"/>
      <c r="C1470" s="14"/>
      <c r="D1470" s="12"/>
    </row>
    <row r="1471" spans="2:4">
      <c r="B1471" s="12"/>
      <c r="C1471" s="14"/>
      <c r="D1471" s="12"/>
    </row>
    <row r="1472" spans="2:4">
      <c r="B1472" s="12"/>
      <c r="C1472" s="14"/>
      <c r="D1472" s="14"/>
    </row>
    <row r="1473" spans="2:4">
      <c r="B1473" s="12"/>
      <c r="C1473" s="14"/>
      <c r="D1473" s="12"/>
    </row>
    <row r="1474" spans="2:4">
      <c r="B1474" s="12"/>
      <c r="C1474" s="14"/>
      <c r="D1474" s="12"/>
    </row>
    <row r="1475" spans="2:4">
      <c r="B1475" s="12"/>
      <c r="C1475" s="14"/>
      <c r="D1475" s="12"/>
    </row>
    <row r="1476" spans="2:4">
      <c r="B1476" s="12"/>
      <c r="C1476" s="14"/>
      <c r="D1476" s="12"/>
    </row>
    <row r="1477" spans="2:4">
      <c r="B1477" s="12"/>
      <c r="C1477" s="14"/>
      <c r="D1477" s="14"/>
    </row>
    <row r="1478" spans="2:4">
      <c r="B1478" s="12"/>
      <c r="C1478" s="14"/>
      <c r="D1478" s="12"/>
    </row>
    <row r="1479" spans="2:4">
      <c r="B1479" s="12"/>
      <c r="C1479" s="14"/>
      <c r="D1479" s="12"/>
    </row>
    <row r="1480" spans="2:4">
      <c r="B1480" s="12"/>
      <c r="C1480" s="14"/>
      <c r="D1480" s="12"/>
    </row>
    <row r="1481" spans="2:4">
      <c r="B1481" s="12"/>
      <c r="C1481" s="14"/>
      <c r="D1481" s="12"/>
    </row>
    <row r="1482" spans="2:4">
      <c r="B1482" s="12"/>
      <c r="C1482" s="14"/>
      <c r="D1482" s="14"/>
    </row>
    <row r="1483" spans="2:4">
      <c r="B1483" s="12"/>
      <c r="C1483" s="14"/>
      <c r="D1483" s="12"/>
    </row>
    <row r="1484" spans="2:4">
      <c r="B1484" s="12"/>
      <c r="C1484" s="14"/>
      <c r="D1484" s="12"/>
    </row>
    <row r="1485" spans="2:4">
      <c r="B1485" s="12"/>
      <c r="C1485" s="14"/>
      <c r="D1485" s="12"/>
    </row>
    <row r="1486" spans="2:4">
      <c r="B1486" s="12"/>
      <c r="C1486" s="14"/>
      <c r="D1486" s="12"/>
    </row>
    <row r="1487" spans="2:4">
      <c r="B1487" s="12"/>
      <c r="C1487" s="14"/>
      <c r="D1487" s="14"/>
    </row>
    <row r="1488" spans="2:4">
      <c r="B1488" s="12"/>
      <c r="C1488" s="14"/>
      <c r="D1488" s="12"/>
    </row>
    <row r="1489" spans="2:4">
      <c r="B1489" s="12"/>
      <c r="C1489" s="14"/>
      <c r="D1489" s="12"/>
    </row>
    <row r="1490" spans="2:4">
      <c r="B1490" s="12"/>
      <c r="C1490" s="14"/>
      <c r="D1490" s="12"/>
    </row>
    <row r="1491" spans="2:4">
      <c r="B1491" s="12"/>
      <c r="C1491" s="14"/>
      <c r="D1491" s="12"/>
    </row>
    <row r="1492" spans="2:4">
      <c r="B1492" s="12"/>
      <c r="C1492" s="14"/>
      <c r="D1492" s="14"/>
    </row>
    <row r="1493" spans="2:4">
      <c r="B1493" s="12"/>
      <c r="C1493" s="14"/>
      <c r="D1493" s="12"/>
    </row>
    <row r="1494" spans="2:4">
      <c r="B1494" s="12"/>
      <c r="C1494" s="14"/>
      <c r="D1494" s="12"/>
    </row>
    <row r="1495" spans="2:4">
      <c r="B1495" s="12"/>
      <c r="C1495" s="14"/>
      <c r="D1495" s="12"/>
    </row>
    <row r="1496" spans="2:4">
      <c r="B1496" s="12"/>
      <c r="C1496" s="14"/>
      <c r="D1496" s="12"/>
    </row>
    <row r="1497" spans="2:4">
      <c r="B1497" s="12"/>
      <c r="C1497" s="14"/>
      <c r="D1497" s="14"/>
    </row>
    <row r="1498" spans="2:4">
      <c r="B1498" s="12"/>
      <c r="C1498" s="14"/>
      <c r="D1498" s="12"/>
    </row>
    <row r="1499" spans="2:4">
      <c r="B1499" s="12"/>
      <c r="C1499" s="14"/>
      <c r="D1499" s="12"/>
    </row>
    <row r="1500" spans="2:4">
      <c r="B1500" s="12"/>
      <c r="C1500" s="14"/>
      <c r="D1500" s="12"/>
    </row>
    <row r="1501" spans="2:4">
      <c r="B1501" s="12"/>
      <c r="C1501" s="14"/>
      <c r="D1501" s="12"/>
    </row>
    <row r="1502" spans="2:4">
      <c r="B1502" s="12"/>
      <c r="C1502" s="14"/>
      <c r="D1502" s="14"/>
    </row>
    <row r="1503" spans="2:4">
      <c r="B1503" s="12"/>
      <c r="C1503" s="14"/>
      <c r="D1503" s="12"/>
    </row>
    <row r="1504" spans="2:4">
      <c r="B1504" s="12"/>
      <c r="C1504" s="14"/>
      <c r="D1504" s="12"/>
    </row>
    <row r="1505" spans="2:4">
      <c r="B1505" s="12"/>
      <c r="C1505" s="14"/>
      <c r="D1505" s="12"/>
    </row>
    <row r="1506" spans="2:4">
      <c r="B1506" s="12"/>
      <c r="C1506" s="14"/>
      <c r="D1506" s="12"/>
    </row>
    <row r="1507" spans="2:4">
      <c r="B1507" s="12"/>
      <c r="C1507" s="14"/>
      <c r="D1507" s="14"/>
    </row>
    <row r="1508" spans="2:4">
      <c r="B1508" s="12"/>
      <c r="C1508" s="14"/>
      <c r="D1508" s="12"/>
    </row>
    <row r="1509" spans="2:4">
      <c r="B1509" s="12"/>
      <c r="C1509" s="14"/>
      <c r="D1509" s="12"/>
    </row>
    <row r="1510" spans="2:4">
      <c r="B1510" s="12"/>
      <c r="C1510" s="14"/>
      <c r="D1510" s="12"/>
    </row>
    <row r="1511" spans="2:4">
      <c r="B1511" s="12"/>
      <c r="C1511" s="14"/>
      <c r="D1511" s="12"/>
    </row>
    <row r="1512" spans="2:4">
      <c r="B1512" s="12"/>
      <c r="C1512" s="14"/>
      <c r="D1512" s="14"/>
    </row>
    <row r="1513" spans="2:4">
      <c r="B1513" s="12"/>
      <c r="C1513" s="14"/>
      <c r="D1513" s="12"/>
    </row>
    <row r="1514" spans="2:4">
      <c r="B1514" s="12"/>
      <c r="C1514" s="14"/>
      <c r="D1514" s="12"/>
    </row>
    <row r="1515" spans="2:4">
      <c r="B1515" s="12"/>
      <c r="C1515" s="14"/>
      <c r="D1515" s="12"/>
    </row>
    <row r="1516" spans="2:4">
      <c r="B1516" s="12"/>
      <c r="C1516" s="14"/>
      <c r="D1516" s="12"/>
    </row>
    <row r="1517" spans="2:4">
      <c r="B1517" s="12"/>
      <c r="C1517" s="14"/>
      <c r="D1517" s="14"/>
    </row>
    <row r="1518" spans="2:4">
      <c r="B1518" s="12"/>
      <c r="C1518" s="14"/>
      <c r="D1518" s="12"/>
    </row>
    <row r="1519" spans="2:4">
      <c r="B1519" s="12"/>
      <c r="C1519" s="14"/>
      <c r="D1519" s="12"/>
    </row>
    <row r="1520" spans="2:4">
      <c r="B1520" s="12"/>
      <c r="C1520" s="14"/>
      <c r="D1520" s="12"/>
    </row>
    <row r="1521" spans="2:4">
      <c r="B1521" s="12"/>
      <c r="C1521" s="14"/>
      <c r="D1521" s="12"/>
    </row>
    <row r="1522" spans="2:4">
      <c r="B1522" s="12"/>
      <c r="C1522" s="14"/>
      <c r="D1522" s="14"/>
    </row>
    <row r="1523" spans="2:4">
      <c r="B1523" s="12"/>
      <c r="C1523" s="14"/>
      <c r="D1523" s="12"/>
    </row>
    <row r="1524" spans="2:4">
      <c r="B1524" s="12"/>
      <c r="C1524" s="14"/>
      <c r="D1524" s="12"/>
    </row>
    <row r="1525" spans="2:4">
      <c r="B1525" s="12"/>
      <c r="C1525" s="14"/>
      <c r="D1525" s="12"/>
    </row>
    <row r="1526" spans="2:4">
      <c r="B1526" s="12"/>
      <c r="C1526" s="14"/>
      <c r="D1526" s="12"/>
    </row>
    <row r="1527" spans="2:4">
      <c r="B1527" s="12"/>
      <c r="C1527" s="14"/>
      <c r="D1527" s="14"/>
    </row>
    <row r="1528" spans="2:4">
      <c r="B1528" s="12"/>
      <c r="C1528" s="14"/>
      <c r="D1528" s="12"/>
    </row>
    <row r="1529" spans="2:4">
      <c r="B1529" s="12"/>
      <c r="C1529" s="14"/>
      <c r="D1529" s="12"/>
    </row>
    <row r="1530" spans="2:4">
      <c r="B1530" s="12"/>
      <c r="C1530" s="14"/>
      <c r="D1530" s="12"/>
    </row>
    <row r="1531" spans="2:4">
      <c r="B1531" s="12"/>
      <c r="C1531" s="14"/>
      <c r="D1531" s="12"/>
    </row>
    <row r="1532" spans="2:4">
      <c r="B1532" s="12"/>
      <c r="C1532" s="14"/>
      <c r="D1532" s="14"/>
    </row>
    <row r="1533" spans="2:4">
      <c r="B1533" s="12"/>
      <c r="C1533" s="14"/>
      <c r="D1533" s="12"/>
    </row>
    <row r="1534" spans="2:4">
      <c r="B1534" s="12"/>
      <c r="C1534" s="14"/>
      <c r="D1534" s="12"/>
    </row>
    <row r="1535" spans="2:4">
      <c r="B1535" s="12"/>
      <c r="C1535" s="14"/>
      <c r="D1535" s="12"/>
    </row>
    <row r="1536" spans="2:4">
      <c r="B1536" s="12"/>
      <c r="C1536" s="14"/>
      <c r="D1536" s="12"/>
    </row>
    <row r="1537" spans="2:4">
      <c r="B1537" s="12"/>
      <c r="C1537" s="14"/>
      <c r="D1537" s="14"/>
    </row>
    <row r="1538" spans="2:4">
      <c r="B1538" s="12"/>
      <c r="C1538" s="14"/>
      <c r="D1538" s="12"/>
    </row>
    <row r="1539" spans="2:4">
      <c r="B1539" s="12"/>
      <c r="C1539" s="14"/>
      <c r="D1539" s="12"/>
    </row>
    <row r="1540" spans="2:4">
      <c r="B1540" s="12"/>
      <c r="C1540" s="14"/>
      <c r="D1540" s="12"/>
    </row>
    <row r="1541" spans="2:4">
      <c r="B1541" s="12"/>
      <c r="C1541" s="14"/>
      <c r="D1541" s="12"/>
    </row>
    <row r="1542" spans="2:4">
      <c r="B1542" s="12"/>
      <c r="C1542" s="14"/>
      <c r="D1542" s="14"/>
    </row>
    <row r="1543" spans="2:4">
      <c r="B1543" s="12"/>
      <c r="C1543" s="14"/>
      <c r="D1543" s="12"/>
    </row>
    <row r="1544" spans="2:4">
      <c r="B1544" s="12"/>
      <c r="C1544" s="14"/>
      <c r="D1544" s="12"/>
    </row>
    <row r="1545" spans="2:4">
      <c r="B1545" s="12"/>
      <c r="C1545" s="14"/>
      <c r="D1545" s="12"/>
    </row>
    <row r="1546" spans="2:4">
      <c r="B1546" s="12"/>
      <c r="C1546" s="14"/>
      <c r="D1546" s="12"/>
    </row>
    <row r="1547" spans="2:4">
      <c r="B1547" s="12"/>
      <c r="C1547" s="14"/>
      <c r="D1547" s="14"/>
    </row>
    <row r="1548" spans="2:4">
      <c r="B1548" s="12"/>
      <c r="C1548" s="14"/>
      <c r="D1548" s="12"/>
    </row>
    <row r="1549" spans="2:4">
      <c r="B1549" s="12"/>
      <c r="C1549" s="14"/>
      <c r="D1549" s="12"/>
    </row>
    <row r="1550" spans="2:4">
      <c r="B1550" s="12"/>
      <c r="C1550" s="14"/>
      <c r="D1550" s="12"/>
    </row>
    <row r="1551" spans="2:4">
      <c r="B1551" s="12"/>
      <c r="C1551" s="14"/>
      <c r="D1551" s="12"/>
    </row>
    <row r="1552" spans="2:4">
      <c r="B1552" s="12"/>
      <c r="C1552" s="14"/>
      <c r="D1552" s="14"/>
    </row>
    <row r="1553" spans="2:4">
      <c r="B1553" s="12"/>
      <c r="C1553" s="14"/>
      <c r="D1553" s="12"/>
    </row>
    <row r="1554" spans="2:4">
      <c r="B1554" s="12"/>
      <c r="C1554" s="14"/>
      <c r="D1554" s="12"/>
    </row>
    <row r="1555" spans="2:4">
      <c r="B1555" s="12"/>
      <c r="C1555" s="14"/>
      <c r="D1555" s="12"/>
    </row>
    <row r="1556" spans="2:4">
      <c r="B1556" s="12"/>
      <c r="C1556" s="14"/>
      <c r="D1556" s="12"/>
    </row>
    <row r="1557" spans="2:4">
      <c r="B1557" s="12"/>
      <c r="C1557" s="14"/>
      <c r="D1557" s="14"/>
    </row>
    <row r="1558" spans="2:4">
      <c r="B1558" s="12"/>
      <c r="C1558" s="14"/>
      <c r="D1558" s="12"/>
    </row>
    <row r="1559" spans="2:4">
      <c r="B1559" s="12"/>
      <c r="C1559" s="14"/>
      <c r="D1559" s="12"/>
    </row>
    <row r="1560" spans="2:4">
      <c r="B1560" s="12"/>
      <c r="C1560" s="14"/>
      <c r="D1560" s="12"/>
    </row>
    <row r="1561" spans="2:4">
      <c r="B1561" s="12"/>
      <c r="C1561" s="14"/>
      <c r="D1561" s="12"/>
    </row>
    <row r="1562" spans="2:4">
      <c r="B1562" s="12"/>
      <c r="C1562" s="14"/>
      <c r="D1562" s="14"/>
    </row>
    <row r="1563" spans="2:4">
      <c r="B1563" s="12"/>
      <c r="C1563" s="14"/>
      <c r="D1563" s="12"/>
    </row>
    <row r="1564" spans="2:4">
      <c r="B1564" s="12"/>
      <c r="C1564" s="14"/>
      <c r="D1564" s="12"/>
    </row>
    <row r="1565" spans="2:4">
      <c r="B1565" s="12"/>
      <c r="C1565" s="14"/>
      <c r="D1565" s="12"/>
    </row>
    <row r="1566" spans="2:4">
      <c r="B1566" s="12"/>
      <c r="C1566" s="14"/>
      <c r="D1566" s="12"/>
    </row>
    <row r="1567" spans="2:4">
      <c r="B1567" s="12"/>
      <c r="C1567" s="14"/>
      <c r="D1567" s="14"/>
    </row>
    <row r="1568" spans="2:4">
      <c r="B1568" s="12"/>
      <c r="C1568" s="14"/>
      <c r="D1568" s="12"/>
    </row>
    <row r="1569" spans="2:4">
      <c r="B1569" s="12"/>
      <c r="C1569" s="14"/>
      <c r="D1569" s="12"/>
    </row>
    <row r="1570" spans="2:4">
      <c r="B1570" s="12"/>
      <c r="C1570" s="14"/>
      <c r="D1570" s="12"/>
    </row>
    <row r="1571" spans="2:4">
      <c r="B1571" s="12"/>
      <c r="C1571" s="14"/>
      <c r="D1571" s="12"/>
    </row>
    <row r="1572" spans="2:4">
      <c r="B1572" s="12"/>
      <c r="C1572" s="14"/>
      <c r="D1572" s="14"/>
    </row>
    <row r="1573" spans="2:4">
      <c r="B1573" s="12"/>
      <c r="C1573" s="14"/>
      <c r="D1573" s="12"/>
    </row>
    <row r="1574" spans="2:4">
      <c r="B1574" s="12"/>
      <c r="C1574" s="14"/>
      <c r="D1574" s="12"/>
    </row>
    <row r="1575" spans="2:4">
      <c r="B1575" s="12"/>
      <c r="C1575" s="14"/>
      <c r="D1575" s="12"/>
    </row>
    <row r="1576" spans="2:4">
      <c r="B1576" s="12"/>
      <c r="C1576" s="14"/>
      <c r="D1576" s="12"/>
    </row>
    <row r="1577" spans="2:4">
      <c r="B1577" s="12"/>
      <c r="C1577" s="14"/>
      <c r="D1577" s="14"/>
    </row>
    <row r="1578" spans="2:4">
      <c r="B1578" s="12"/>
      <c r="C1578" s="14"/>
      <c r="D1578" s="12"/>
    </row>
    <row r="1579" spans="2:4">
      <c r="B1579" s="12"/>
      <c r="C1579" s="14"/>
      <c r="D1579" s="12"/>
    </row>
    <row r="1580" spans="2:4">
      <c r="B1580" s="12"/>
      <c r="C1580" s="14"/>
      <c r="D1580" s="12"/>
    </row>
    <row r="1581" spans="2:4">
      <c r="B1581" s="12"/>
      <c r="C1581" s="14"/>
      <c r="D1581" s="12"/>
    </row>
    <row r="1582" spans="2:4">
      <c r="B1582" s="12"/>
      <c r="C1582" s="14"/>
      <c r="D1582" s="14"/>
    </row>
    <row r="1583" spans="2:4">
      <c r="B1583" s="12"/>
      <c r="C1583" s="14"/>
      <c r="D1583" s="12"/>
    </row>
    <row r="1584" spans="2:4">
      <c r="B1584" s="12"/>
      <c r="C1584" s="14"/>
      <c r="D1584" s="12"/>
    </row>
    <row r="1585" spans="2:4">
      <c r="B1585" s="12"/>
      <c r="C1585" s="14"/>
      <c r="D1585" s="12"/>
    </row>
    <row r="1586" spans="2:4">
      <c r="B1586" s="12"/>
      <c r="C1586" s="14"/>
      <c r="D1586" s="12"/>
    </row>
    <row r="1587" spans="2:4">
      <c r="B1587" s="12"/>
      <c r="C1587" s="14"/>
      <c r="D1587" s="14"/>
    </row>
    <row r="1588" spans="2:4">
      <c r="B1588" s="12"/>
      <c r="C1588" s="14"/>
      <c r="D1588" s="12"/>
    </row>
    <row r="1589" spans="2:4">
      <c r="B1589" s="12"/>
      <c r="C1589" s="14"/>
      <c r="D1589" s="12"/>
    </row>
    <row r="1590" spans="2:4">
      <c r="B1590" s="12"/>
      <c r="C1590" s="14"/>
      <c r="D1590" s="12"/>
    </row>
    <row r="1591" spans="2:4">
      <c r="B1591" s="12"/>
      <c r="C1591" s="14"/>
      <c r="D1591" s="12"/>
    </row>
    <row r="1592" spans="2:4">
      <c r="B1592" s="12"/>
      <c r="C1592" s="14"/>
      <c r="D1592" s="14"/>
    </row>
    <row r="1593" spans="2:4">
      <c r="B1593" s="12"/>
      <c r="C1593" s="14"/>
      <c r="D1593" s="12"/>
    </row>
    <row r="1594" spans="2:4">
      <c r="B1594" s="12"/>
      <c r="C1594" s="14"/>
      <c r="D1594" s="12"/>
    </row>
    <row r="1595" spans="2:4">
      <c r="B1595" s="12"/>
      <c r="C1595" s="14"/>
      <c r="D1595" s="12"/>
    </row>
    <row r="1596" spans="2:4">
      <c r="B1596" s="12"/>
      <c r="C1596" s="14"/>
      <c r="D1596" s="12"/>
    </row>
    <row r="1597" spans="2:4">
      <c r="B1597" s="12"/>
      <c r="C1597" s="14"/>
      <c r="D1597" s="14"/>
    </row>
    <row r="1598" spans="2:4">
      <c r="B1598" s="12"/>
      <c r="C1598" s="14"/>
      <c r="D1598" s="12"/>
    </row>
    <row r="1599" spans="2:4">
      <c r="B1599" s="12"/>
      <c r="C1599" s="14"/>
      <c r="D1599" s="12"/>
    </row>
    <row r="1600" spans="2:4">
      <c r="B1600" s="12"/>
      <c r="C1600" s="14"/>
      <c r="D1600" s="12"/>
    </row>
    <row r="1601" spans="2:4">
      <c r="B1601" s="12"/>
      <c r="C1601" s="14"/>
      <c r="D1601" s="12"/>
    </row>
    <row r="1602" spans="2:4">
      <c r="B1602" s="12"/>
      <c r="C1602" s="14"/>
      <c r="D1602" s="14"/>
    </row>
    <row r="1603" spans="2:4">
      <c r="B1603" s="12"/>
      <c r="C1603" s="14"/>
      <c r="D1603" s="12"/>
    </row>
    <row r="1604" spans="2:4">
      <c r="B1604" s="12"/>
      <c r="C1604" s="14"/>
      <c r="D1604" s="12"/>
    </row>
    <row r="1605" spans="2:4">
      <c r="B1605" s="12"/>
      <c r="C1605" s="14"/>
      <c r="D1605" s="12"/>
    </row>
    <row r="1606" spans="2:4">
      <c r="B1606" s="12"/>
      <c r="C1606" s="14"/>
      <c r="D1606" s="12"/>
    </row>
    <row r="1607" spans="2:4">
      <c r="B1607" s="12"/>
      <c r="C1607" s="14"/>
      <c r="D1607" s="14"/>
    </row>
    <row r="1608" spans="2:4">
      <c r="B1608" s="12"/>
      <c r="C1608" s="14"/>
      <c r="D1608" s="12"/>
    </row>
    <row r="1609" spans="2:4">
      <c r="B1609" s="12"/>
      <c r="C1609" s="14"/>
      <c r="D1609" s="12"/>
    </row>
    <row r="1610" spans="2:4">
      <c r="B1610" s="12"/>
      <c r="C1610" s="14"/>
      <c r="D1610" s="12"/>
    </row>
    <row r="1611" spans="2:4">
      <c r="B1611" s="12"/>
      <c r="C1611" s="14"/>
      <c r="D1611" s="12"/>
    </row>
    <row r="1612" spans="2:4">
      <c r="B1612" s="12"/>
      <c r="C1612" s="14"/>
      <c r="D1612" s="14"/>
    </row>
    <row r="1613" spans="2:4">
      <c r="B1613" s="12"/>
      <c r="C1613" s="14"/>
      <c r="D1613" s="12"/>
    </row>
    <row r="1614" spans="2:4">
      <c r="B1614" s="12"/>
      <c r="C1614" s="14"/>
      <c r="D1614" s="12"/>
    </row>
    <row r="1615" spans="2:4">
      <c r="B1615" s="12"/>
      <c r="C1615" s="14"/>
      <c r="D1615" s="12"/>
    </row>
    <row r="1616" spans="2:4">
      <c r="B1616" s="12"/>
      <c r="C1616" s="14"/>
      <c r="D1616" s="12"/>
    </row>
    <row r="1617" spans="2:4">
      <c r="B1617" s="12"/>
      <c r="C1617" s="14"/>
      <c r="D1617" s="14"/>
    </row>
    <row r="1618" spans="2:4">
      <c r="B1618" s="12"/>
      <c r="C1618" s="14"/>
      <c r="D1618" s="12"/>
    </row>
    <row r="1619" spans="2:4">
      <c r="B1619" s="12"/>
      <c r="C1619" s="14"/>
      <c r="D1619" s="12"/>
    </row>
    <row r="1620" spans="2:4">
      <c r="B1620" s="12"/>
      <c r="C1620" s="14"/>
      <c r="D1620" s="12"/>
    </row>
    <row r="1621" spans="2:4">
      <c r="B1621" s="12"/>
      <c r="C1621" s="14"/>
      <c r="D1621" s="12"/>
    </row>
    <row r="1622" spans="2:4">
      <c r="B1622" s="12"/>
      <c r="C1622" s="14"/>
      <c r="D1622" s="14"/>
    </row>
    <row r="1623" spans="2:4">
      <c r="B1623" s="12"/>
      <c r="C1623" s="14"/>
      <c r="D1623" s="12"/>
    </row>
    <row r="1624" spans="2:4">
      <c r="B1624" s="12"/>
      <c r="C1624" s="14"/>
      <c r="D1624" s="12"/>
    </row>
    <row r="1625" spans="2:4">
      <c r="B1625" s="12"/>
      <c r="C1625" s="14"/>
      <c r="D1625" s="12"/>
    </row>
    <row r="1626" spans="2:4">
      <c r="B1626" s="12"/>
      <c r="C1626" s="14"/>
      <c r="D1626" s="12"/>
    </row>
    <row r="1627" spans="2:4">
      <c r="B1627" s="12"/>
      <c r="C1627" s="14"/>
      <c r="D1627" s="14"/>
    </row>
    <row r="1628" spans="2:4">
      <c r="B1628" s="12"/>
      <c r="C1628" s="14"/>
      <c r="D1628" s="12"/>
    </row>
    <row r="1629" spans="2:4">
      <c r="B1629" s="12"/>
      <c r="C1629" s="14"/>
      <c r="D1629" s="12"/>
    </row>
    <row r="1630" spans="2:4">
      <c r="B1630" s="12"/>
      <c r="C1630" s="14"/>
      <c r="D1630" s="12"/>
    </row>
    <row r="1631" spans="2:4">
      <c r="B1631" s="12"/>
      <c r="C1631" s="14"/>
      <c r="D1631" s="12"/>
    </row>
    <row r="1632" spans="2:4">
      <c r="B1632" s="12"/>
      <c r="C1632" s="14"/>
      <c r="D1632" s="14"/>
    </row>
    <row r="1633" spans="2:4">
      <c r="B1633" s="12"/>
      <c r="C1633" s="14"/>
      <c r="D1633" s="12"/>
    </row>
    <row r="1634" spans="2:4">
      <c r="B1634" s="12"/>
      <c r="C1634" s="14"/>
      <c r="D1634" s="12"/>
    </row>
    <row r="1635" spans="2:4">
      <c r="B1635" s="12"/>
      <c r="C1635" s="14"/>
      <c r="D1635" s="12"/>
    </row>
    <row r="1636" spans="2:4">
      <c r="B1636" s="12"/>
      <c r="C1636" s="14"/>
      <c r="D1636" s="12"/>
    </row>
    <row r="1637" spans="2:4">
      <c r="B1637" s="12"/>
      <c r="C1637" s="14"/>
      <c r="D1637" s="14"/>
    </row>
    <row r="1638" spans="2:4">
      <c r="B1638" s="12"/>
      <c r="C1638" s="14"/>
      <c r="D1638" s="12"/>
    </row>
    <row r="1639" spans="2:4">
      <c r="B1639" s="12"/>
      <c r="C1639" s="14"/>
      <c r="D1639" s="12"/>
    </row>
    <row r="1640" spans="2:4">
      <c r="B1640" s="12"/>
      <c r="C1640" s="14"/>
      <c r="D1640" s="12"/>
    </row>
    <row r="1641" spans="2:4">
      <c r="B1641" s="12"/>
      <c r="C1641" s="14"/>
      <c r="D1641" s="12"/>
    </row>
    <row r="1642" spans="2:4">
      <c r="B1642" s="12"/>
      <c r="C1642" s="14"/>
      <c r="D1642" s="14"/>
    </row>
    <row r="1643" spans="2:4">
      <c r="B1643" s="12"/>
      <c r="C1643" s="14"/>
      <c r="D1643" s="12"/>
    </row>
    <row r="1644" spans="2:4">
      <c r="B1644" s="12"/>
      <c r="C1644" s="14"/>
      <c r="D1644" s="12"/>
    </row>
    <row r="1645" spans="2:4">
      <c r="B1645" s="12"/>
      <c r="C1645" s="14"/>
      <c r="D1645" s="12"/>
    </row>
    <row r="1646" spans="2:4">
      <c r="B1646" s="12"/>
      <c r="C1646" s="14"/>
      <c r="D1646" s="12"/>
    </row>
    <row r="1647" spans="2:4">
      <c r="B1647" s="12"/>
      <c r="C1647" s="14"/>
      <c r="D1647" s="14"/>
    </row>
    <row r="1648" spans="2:4">
      <c r="B1648" s="12"/>
      <c r="C1648" s="14"/>
      <c r="D1648" s="12"/>
    </row>
    <row r="1649" spans="2:4">
      <c r="B1649" s="12"/>
      <c r="C1649" s="14"/>
      <c r="D1649" s="12"/>
    </row>
    <row r="1650" spans="2:4">
      <c r="B1650" s="12"/>
      <c r="C1650" s="14"/>
      <c r="D1650" s="12"/>
    </row>
    <row r="1651" spans="2:4">
      <c r="B1651" s="12"/>
      <c r="C1651" s="14"/>
      <c r="D1651" s="12"/>
    </row>
    <row r="1652" spans="2:4">
      <c r="B1652" s="12"/>
      <c r="C1652" s="14"/>
      <c r="D1652" s="14"/>
    </row>
    <row r="1653" spans="2:4">
      <c r="B1653" s="12"/>
      <c r="C1653" s="14"/>
      <c r="D1653" s="12"/>
    </row>
    <row r="1654" spans="2:4">
      <c r="B1654" s="12"/>
      <c r="C1654" s="14"/>
      <c r="D1654" s="12"/>
    </row>
    <row r="1655" spans="2:4">
      <c r="B1655" s="12"/>
      <c r="C1655" s="14"/>
      <c r="D1655" s="12"/>
    </row>
    <row r="1656" spans="2:4">
      <c r="B1656" s="12"/>
      <c r="C1656" s="14"/>
      <c r="D1656" s="12"/>
    </row>
    <row r="1657" spans="2:4">
      <c r="B1657" s="12"/>
      <c r="C1657" s="14"/>
      <c r="D1657" s="14"/>
    </row>
    <row r="1658" spans="2:4">
      <c r="B1658" s="12"/>
      <c r="C1658" s="14"/>
      <c r="D1658" s="12"/>
    </row>
    <row r="1659" spans="2:4">
      <c r="B1659" s="12"/>
      <c r="C1659" s="14"/>
      <c r="D1659" s="12"/>
    </row>
    <row r="1660" spans="2:4">
      <c r="B1660" s="12"/>
      <c r="C1660" s="14"/>
      <c r="D1660" s="12"/>
    </row>
    <row r="1661" spans="2:4">
      <c r="B1661" s="12"/>
      <c r="C1661" s="14"/>
      <c r="D1661" s="12"/>
    </row>
    <row r="1662" spans="2:4">
      <c r="B1662" s="12"/>
      <c r="C1662" s="14"/>
      <c r="D1662" s="14"/>
    </row>
    <row r="1663" spans="2:4">
      <c r="B1663" s="12"/>
      <c r="C1663" s="14"/>
      <c r="D1663" s="12"/>
    </row>
    <row r="1664" spans="2:4">
      <c r="B1664" s="12"/>
      <c r="C1664" s="14"/>
      <c r="D1664" s="12"/>
    </row>
    <row r="1665" spans="2:4">
      <c r="B1665" s="12"/>
      <c r="C1665" s="14"/>
      <c r="D1665" s="12"/>
    </row>
    <row r="1666" spans="2:4">
      <c r="B1666" s="12"/>
      <c r="C1666" s="14"/>
      <c r="D1666" s="12"/>
    </row>
    <row r="1667" spans="2:4">
      <c r="B1667" s="12"/>
      <c r="C1667" s="14"/>
      <c r="D1667" s="14"/>
    </row>
    <row r="1668" spans="2:4">
      <c r="B1668" s="12"/>
      <c r="C1668" s="14"/>
      <c r="D1668" s="12"/>
    </row>
    <row r="1669" spans="2:4">
      <c r="B1669" s="12"/>
      <c r="C1669" s="14"/>
      <c r="D1669" s="12"/>
    </row>
    <row r="1670" spans="2:4">
      <c r="B1670" s="12"/>
      <c r="C1670" s="14"/>
      <c r="D1670" s="12"/>
    </row>
    <row r="1671" spans="2:4">
      <c r="B1671" s="12"/>
      <c r="C1671" s="14"/>
      <c r="D1671" s="12"/>
    </row>
    <row r="1672" spans="2:4">
      <c r="B1672" s="12"/>
      <c r="C1672" s="14"/>
      <c r="D1672" s="14"/>
    </row>
    <row r="1673" spans="2:4">
      <c r="B1673" s="12"/>
      <c r="C1673" s="14"/>
      <c r="D1673" s="12"/>
    </row>
    <row r="1674" spans="2:4">
      <c r="B1674" s="12"/>
      <c r="C1674" s="14"/>
      <c r="D1674" s="12"/>
    </row>
    <row r="1675" spans="2:4">
      <c r="B1675" s="12"/>
      <c r="C1675" s="14"/>
      <c r="D1675" s="12"/>
    </row>
    <row r="1676" spans="2:4">
      <c r="B1676" s="12"/>
      <c r="C1676" s="14"/>
      <c r="D1676" s="12"/>
    </row>
    <row r="1677" spans="2:4">
      <c r="B1677" s="12"/>
      <c r="C1677" s="14"/>
      <c r="D1677" s="14"/>
    </row>
    <row r="1678" spans="2:4">
      <c r="B1678" s="12"/>
      <c r="C1678" s="14"/>
      <c r="D1678" s="12"/>
    </row>
    <row r="1679" spans="2:4">
      <c r="B1679" s="12"/>
      <c r="C1679" s="14"/>
      <c r="D1679" s="12"/>
    </row>
    <row r="1680" spans="2:4">
      <c r="B1680" s="12"/>
      <c r="C1680" s="14"/>
      <c r="D1680" s="12"/>
    </row>
    <row r="1681" spans="2:4">
      <c r="B1681" s="12"/>
      <c r="C1681" s="14"/>
      <c r="D1681" s="12"/>
    </row>
    <row r="1682" spans="2:4">
      <c r="B1682" s="12"/>
      <c r="C1682" s="14"/>
      <c r="D1682" s="14"/>
    </row>
    <row r="1683" spans="2:4">
      <c r="B1683" s="12"/>
      <c r="C1683" s="14"/>
      <c r="D1683" s="12"/>
    </row>
    <row r="1684" spans="2:4">
      <c r="B1684" s="12"/>
      <c r="C1684" s="14"/>
      <c r="D1684" s="12"/>
    </row>
    <row r="1685" spans="2:4">
      <c r="B1685" s="12"/>
      <c r="C1685" s="14"/>
      <c r="D1685" s="12"/>
    </row>
    <row r="1686" spans="2:4">
      <c r="B1686" s="12"/>
      <c r="C1686" s="14"/>
      <c r="D1686" s="12"/>
    </row>
    <row r="1687" spans="2:4">
      <c r="B1687" s="12"/>
      <c r="C1687" s="14"/>
      <c r="D1687" s="14"/>
    </row>
    <row r="1688" spans="2:4">
      <c r="B1688" s="12"/>
      <c r="C1688" s="14"/>
      <c r="D1688" s="12"/>
    </row>
    <row r="1689" spans="2:4">
      <c r="B1689" s="12"/>
      <c r="C1689" s="14"/>
      <c r="D1689" s="12"/>
    </row>
    <row r="1690" spans="2:4">
      <c r="B1690" s="12"/>
      <c r="C1690" s="14"/>
      <c r="D1690" s="12"/>
    </row>
    <row r="1691" spans="2:4">
      <c r="B1691" s="12"/>
      <c r="C1691" s="14"/>
      <c r="D1691" s="12"/>
    </row>
    <row r="1692" spans="2:4">
      <c r="B1692" s="12"/>
      <c r="C1692" s="14"/>
      <c r="D1692" s="14"/>
    </row>
    <row r="1693" spans="2:4">
      <c r="B1693" s="12"/>
      <c r="C1693" s="14"/>
      <c r="D1693" s="12"/>
    </row>
    <row r="1694" spans="2:4">
      <c r="B1694" s="12"/>
      <c r="C1694" s="14"/>
      <c r="D1694" s="12"/>
    </row>
    <row r="1695" spans="2:4">
      <c r="B1695" s="12"/>
      <c r="C1695" s="14"/>
      <c r="D1695" s="12"/>
    </row>
    <row r="1696" spans="2:4">
      <c r="B1696" s="12"/>
      <c r="C1696" s="14"/>
      <c r="D1696" s="12"/>
    </row>
    <row r="1697" spans="2:4">
      <c r="B1697" s="12"/>
      <c r="C1697" s="14"/>
      <c r="D1697" s="14"/>
    </row>
    <row r="1698" spans="2:4">
      <c r="B1698" s="12"/>
      <c r="C1698" s="14"/>
      <c r="D1698" s="12"/>
    </row>
    <row r="1699" spans="2:4">
      <c r="B1699" s="12"/>
      <c r="C1699" s="14"/>
      <c r="D1699" s="12"/>
    </row>
    <row r="1700" spans="2:4">
      <c r="B1700" s="12"/>
      <c r="C1700" s="14"/>
      <c r="D1700" s="12"/>
    </row>
    <row r="1701" spans="2:4">
      <c r="B1701" s="12"/>
      <c r="C1701" s="14"/>
      <c r="D1701" s="12"/>
    </row>
    <row r="1702" spans="2:4">
      <c r="B1702" s="12"/>
      <c r="C1702" s="14"/>
      <c r="D1702" s="14"/>
    </row>
    <row r="1703" spans="2:4">
      <c r="B1703" s="12"/>
      <c r="C1703" s="14"/>
      <c r="D1703" s="12"/>
    </row>
    <row r="1704" spans="2:4">
      <c r="B1704" s="12"/>
      <c r="C1704" s="14"/>
      <c r="D1704" s="12"/>
    </row>
    <row r="1705" spans="2:4">
      <c r="B1705" s="12"/>
      <c r="C1705" s="14"/>
      <c r="D1705" s="12"/>
    </row>
    <row r="1706" spans="2:4">
      <c r="B1706" s="12"/>
      <c r="C1706" s="14"/>
      <c r="D1706" s="12"/>
    </row>
    <row r="1707" spans="2:4">
      <c r="B1707" s="12"/>
      <c r="C1707" s="14"/>
      <c r="D1707" s="14"/>
    </row>
    <row r="1708" spans="2:4">
      <c r="B1708" s="12"/>
      <c r="C1708" s="14"/>
      <c r="D1708" s="12"/>
    </row>
    <row r="1709" spans="2:4">
      <c r="B1709" s="12"/>
      <c r="C1709" s="14"/>
      <c r="D1709" s="12"/>
    </row>
    <row r="1710" spans="2:4">
      <c r="B1710" s="12"/>
      <c r="C1710" s="14"/>
      <c r="D1710" s="12"/>
    </row>
    <row r="1711" spans="2:4">
      <c r="B1711" s="12"/>
      <c r="C1711" s="14"/>
      <c r="D1711" s="12"/>
    </row>
    <row r="1712" spans="2:4">
      <c r="B1712" s="12"/>
      <c r="C1712" s="14"/>
      <c r="D1712" s="14"/>
    </row>
    <row r="1713" spans="2:4">
      <c r="B1713" s="12"/>
      <c r="C1713" s="14"/>
      <c r="D1713" s="12"/>
    </row>
    <row r="1714" spans="2:4">
      <c r="B1714" s="12"/>
      <c r="C1714" s="14"/>
      <c r="D1714" s="12"/>
    </row>
    <row r="1715" spans="2:4">
      <c r="B1715" s="12"/>
      <c r="C1715" s="14"/>
      <c r="D1715" s="12"/>
    </row>
    <row r="1716" spans="2:4">
      <c r="B1716" s="12"/>
      <c r="C1716" s="14"/>
      <c r="D1716" s="12"/>
    </row>
    <row r="1717" spans="2:4">
      <c r="B1717" s="12"/>
      <c r="C1717" s="14"/>
      <c r="D1717" s="14"/>
    </row>
    <row r="1718" spans="2:4">
      <c r="B1718" s="12"/>
      <c r="C1718" s="14"/>
      <c r="D1718" s="12"/>
    </row>
    <row r="1719" spans="2:4">
      <c r="B1719" s="12"/>
      <c r="C1719" s="14"/>
      <c r="D1719" s="12"/>
    </row>
    <row r="1720" spans="2:4">
      <c r="B1720" s="12"/>
      <c r="C1720" s="14"/>
      <c r="D1720" s="12"/>
    </row>
    <row r="1721" spans="2:4">
      <c r="B1721" s="12"/>
      <c r="C1721" s="14"/>
      <c r="D1721" s="12"/>
    </row>
    <row r="1722" spans="2:4">
      <c r="B1722" s="12"/>
      <c r="C1722" s="14"/>
      <c r="D1722" s="14"/>
    </row>
    <row r="1723" spans="2:4">
      <c r="B1723" s="12"/>
      <c r="C1723" s="14"/>
      <c r="D1723" s="12"/>
    </row>
    <row r="1724" spans="2:4">
      <c r="B1724" s="12"/>
      <c r="C1724" s="14"/>
      <c r="D1724" s="12"/>
    </row>
    <row r="1725" spans="2:4">
      <c r="B1725" s="12"/>
      <c r="C1725" s="14"/>
      <c r="D1725" s="12"/>
    </row>
    <row r="1726" spans="2:4">
      <c r="B1726" s="12"/>
      <c r="C1726" s="14"/>
      <c r="D1726" s="12"/>
    </row>
    <row r="1727" spans="2:4">
      <c r="B1727" s="12"/>
      <c r="C1727" s="14"/>
      <c r="D1727" s="14"/>
    </row>
    <row r="1728" spans="2:4">
      <c r="B1728" s="12"/>
      <c r="C1728" s="14"/>
      <c r="D1728" s="12"/>
    </row>
    <row r="1729" spans="2:4">
      <c r="B1729" s="12"/>
      <c r="C1729" s="14"/>
      <c r="D1729" s="12"/>
    </row>
    <row r="1730" spans="2:4">
      <c r="B1730" s="12"/>
      <c r="C1730" s="14"/>
      <c r="D1730" s="12"/>
    </row>
    <row r="1731" spans="2:4">
      <c r="B1731" s="12"/>
      <c r="C1731" s="14"/>
      <c r="D1731" s="12"/>
    </row>
    <row r="1732" spans="2:4">
      <c r="B1732" s="12"/>
      <c r="C1732" s="14"/>
      <c r="D1732" s="14"/>
    </row>
    <row r="1733" spans="2:4">
      <c r="B1733" s="12"/>
      <c r="C1733" s="14"/>
      <c r="D1733" s="12"/>
    </row>
    <row r="1734" spans="2:4">
      <c r="B1734" s="12"/>
      <c r="C1734" s="14"/>
      <c r="D1734" s="12"/>
    </row>
    <row r="1735" spans="2:4">
      <c r="B1735" s="12"/>
      <c r="C1735" s="14"/>
      <c r="D1735" s="12"/>
    </row>
    <row r="1736" spans="2:4">
      <c r="B1736" s="12"/>
      <c r="C1736" s="14"/>
      <c r="D1736" s="12"/>
    </row>
    <row r="1737" spans="2:4">
      <c r="B1737" s="12"/>
      <c r="C1737" s="14"/>
      <c r="D1737" s="14"/>
    </row>
    <row r="1738" spans="2:4">
      <c r="B1738" s="12"/>
      <c r="C1738" s="14"/>
      <c r="D1738" s="12"/>
    </row>
    <row r="1739" spans="2:4">
      <c r="B1739" s="12"/>
      <c r="C1739" s="14"/>
      <c r="D1739" s="12"/>
    </row>
    <row r="1740" spans="2:4">
      <c r="B1740" s="12"/>
      <c r="C1740" s="14"/>
      <c r="D1740" s="12"/>
    </row>
    <row r="1741" spans="2:4">
      <c r="B1741" s="12"/>
      <c r="C1741" s="14"/>
      <c r="D1741" s="12"/>
    </row>
    <row r="1742" spans="2:4">
      <c r="B1742" s="12"/>
      <c r="C1742" s="14"/>
      <c r="D1742" s="14"/>
    </row>
    <row r="1743" spans="2:4">
      <c r="B1743" s="12"/>
      <c r="C1743" s="14"/>
      <c r="D1743" s="12"/>
    </row>
    <row r="1744" spans="2:4">
      <c r="B1744" s="12"/>
      <c r="C1744" s="14"/>
      <c r="D1744" s="12"/>
    </row>
    <row r="1745" spans="2:4">
      <c r="B1745" s="12"/>
      <c r="C1745" s="14"/>
      <c r="D1745" s="12"/>
    </row>
    <row r="1746" spans="2:4">
      <c r="B1746" s="12"/>
      <c r="C1746" s="14"/>
      <c r="D1746" s="12"/>
    </row>
    <row r="1747" spans="2:4">
      <c r="B1747" s="12"/>
      <c r="C1747" s="14"/>
      <c r="D1747" s="14"/>
    </row>
    <row r="1748" spans="2:4">
      <c r="B1748" s="12"/>
      <c r="C1748" s="14"/>
      <c r="D1748" s="12"/>
    </row>
    <row r="1749" spans="2:4">
      <c r="B1749" s="12"/>
      <c r="C1749" s="14"/>
      <c r="D1749" s="12"/>
    </row>
    <row r="1750" spans="2:4">
      <c r="B1750" s="12"/>
      <c r="C1750" s="14"/>
      <c r="D1750" s="12"/>
    </row>
    <row r="1751" spans="2:4">
      <c r="B1751" s="12"/>
      <c r="C1751" s="14"/>
      <c r="D1751" s="12"/>
    </row>
    <row r="1752" spans="2:4">
      <c r="B1752" s="12"/>
      <c r="C1752" s="14"/>
      <c r="D1752" s="14"/>
    </row>
    <row r="1753" spans="2:4">
      <c r="B1753" s="12"/>
      <c r="C1753" s="14"/>
      <c r="D1753" s="12"/>
    </row>
    <row r="1754" spans="2:4">
      <c r="B1754" s="12"/>
      <c r="C1754" s="14"/>
      <c r="D1754" s="12"/>
    </row>
    <row r="1755" spans="2:4">
      <c r="B1755" s="12"/>
      <c r="C1755" s="14"/>
      <c r="D1755" s="12"/>
    </row>
    <row r="1756" spans="2:4">
      <c r="B1756" s="12"/>
      <c r="C1756" s="14"/>
      <c r="D1756" s="12"/>
    </row>
    <row r="1757" spans="2:4">
      <c r="B1757" s="12"/>
      <c r="C1757" s="14"/>
      <c r="D1757" s="14"/>
    </row>
    <row r="1758" spans="2:4">
      <c r="B1758" s="12"/>
      <c r="C1758" s="14"/>
      <c r="D1758" s="12"/>
    </row>
    <row r="1759" spans="2:4">
      <c r="B1759" s="12"/>
      <c r="C1759" s="14"/>
      <c r="D1759" s="12"/>
    </row>
    <row r="1760" spans="2:4">
      <c r="B1760" s="12"/>
      <c r="C1760" s="14"/>
      <c r="D1760" s="12"/>
    </row>
    <row r="1761" spans="2:4">
      <c r="B1761" s="12"/>
      <c r="C1761" s="14"/>
      <c r="D1761" s="12"/>
    </row>
    <row r="1762" spans="2:4">
      <c r="B1762" s="12"/>
      <c r="C1762" s="14"/>
      <c r="D1762" s="14"/>
    </row>
    <row r="1763" spans="2:4">
      <c r="B1763" s="12"/>
      <c r="C1763" s="14"/>
      <c r="D1763" s="12"/>
    </row>
    <row r="1764" spans="2:4">
      <c r="B1764" s="12"/>
      <c r="C1764" s="14"/>
      <c r="D1764" s="12"/>
    </row>
    <row r="1765" spans="2:4">
      <c r="B1765" s="12"/>
      <c r="C1765" s="14"/>
      <c r="D1765" s="12"/>
    </row>
    <row r="1766" spans="2:4">
      <c r="B1766" s="12"/>
      <c r="C1766" s="14"/>
      <c r="D1766" s="12"/>
    </row>
    <row r="1767" spans="2:4">
      <c r="B1767" s="12"/>
      <c r="C1767" s="14"/>
      <c r="D1767" s="14"/>
    </row>
    <row r="1768" spans="2:4">
      <c r="B1768" s="12"/>
      <c r="C1768" s="14"/>
      <c r="D1768" s="12"/>
    </row>
    <row r="1769" spans="2:4">
      <c r="B1769" s="12"/>
      <c r="C1769" s="14"/>
      <c r="D1769" s="12"/>
    </row>
    <row r="1770" spans="2:4">
      <c r="B1770" s="12"/>
      <c r="C1770" s="14"/>
      <c r="D1770" s="12"/>
    </row>
    <row r="1771" spans="2:4">
      <c r="B1771" s="12"/>
      <c r="C1771" s="14"/>
      <c r="D1771" s="12"/>
    </row>
    <row r="1772" spans="2:4">
      <c r="B1772" s="12"/>
      <c r="C1772" s="14"/>
      <c r="D1772" s="14"/>
    </row>
    <row r="1773" spans="2:4">
      <c r="B1773" s="12"/>
      <c r="C1773" s="14"/>
      <c r="D1773" s="12"/>
    </row>
    <row r="1774" spans="2:4">
      <c r="B1774" s="12"/>
      <c r="C1774" s="14"/>
      <c r="D1774" s="12"/>
    </row>
    <row r="1775" spans="2:4">
      <c r="B1775" s="12"/>
      <c r="C1775" s="14"/>
      <c r="D1775" s="12"/>
    </row>
    <row r="1776" spans="2:4">
      <c r="B1776" s="12"/>
      <c r="C1776" s="14"/>
      <c r="D1776" s="12"/>
    </row>
    <row r="1777" spans="2:4">
      <c r="B1777" s="12"/>
      <c r="C1777" s="14"/>
      <c r="D1777" s="14"/>
    </row>
    <row r="1778" spans="2:4">
      <c r="B1778" s="12"/>
      <c r="C1778" s="14"/>
      <c r="D1778" s="12"/>
    </row>
    <row r="1779" spans="2:4">
      <c r="B1779" s="12"/>
      <c r="C1779" s="14"/>
      <c r="D1779" s="12"/>
    </row>
    <row r="1780" spans="2:4">
      <c r="B1780" s="12"/>
      <c r="C1780" s="14"/>
      <c r="D1780" s="12"/>
    </row>
    <row r="1781" spans="2:4">
      <c r="B1781" s="12"/>
      <c r="C1781" s="14"/>
      <c r="D1781" s="12"/>
    </row>
    <row r="1782" spans="2:4">
      <c r="B1782" s="12"/>
      <c r="C1782" s="14"/>
      <c r="D1782" s="14"/>
    </row>
    <row r="1783" spans="2:4">
      <c r="B1783" s="12"/>
      <c r="C1783" s="14"/>
      <c r="D1783" s="12"/>
    </row>
    <row r="1784" spans="2:4">
      <c r="B1784" s="12"/>
      <c r="C1784" s="14"/>
      <c r="D1784" s="12"/>
    </row>
    <row r="1785" spans="2:4">
      <c r="B1785" s="12"/>
      <c r="C1785" s="14"/>
      <c r="D1785" s="12"/>
    </row>
    <row r="1786" spans="2:4">
      <c r="B1786" s="12"/>
      <c r="C1786" s="14"/>
      <c r="D1786" s="12"/>
    </row>
  </sheetData>
  <mergeCells count="718">
    <mergeCell ref="B1772:B1776"/>
    <mergeCell ref="D1773:D1776"/>
    <mergeCell ref="B1777:B1781"/>
    <mergeCell ref="D1778:D1781"/>
    <mergeCell ref="B1782:B1786"/>
    <mergeCell ref="D1783:D1786"/>
    <mergeCell ref="B1757:B1761"/>
    <mergeCell ref="D1758:D1761"/>
    <mergeCell ref="B1762:B1766"/>
    <mergeCell ref="D1763:D1766"/>
    <mergeCell ref="B1767:B1771"/>
    <mergeCell ref="D1768:D1771"/>
    <mergeCell ref="B1742:B1746"/>
    <mergeCell ref="D1743:D1746"/>
    <mergeCell ref="B1747:B1751"/>
    <mergeCell ref="D1748:D1751"/>
    <mergeCell ref="B1752:B1756"/>
    <mergeCell ref="D1753:D1756"/>
    <mergeCell ref="B1727:B1731"/>
    <mergeCell ref="D1728:D1731"/>
    <mergeCell ref="B1732:B1736"/>
    <mergeCell ref="D1733:D1736"/>
    <mergeCell ref="B1737:B1741"/>
    <mergeCell ref="D1738:D1741"/>
    <mergeCell ref="B1712:B1716"/>
    <mergeCell ref="D1713:D1716"/>
    <mergeCell ref="B1717:B1721"/>
    <mergeCell ref="D1718:D1721"/>
    <mergeCell ref="B1722:B1726"/>
    <mergeCell ref="D1723:D1726"/>
    <mergeCell ref="B1697:B1701"/>
    <mergeCell ref="D1698:D1701"/>
    <mergeCell ref="B1702:B1706"/>
    <mergeCell ref="D1703:D1706"/>
    <mergeCell ref="B1707:B1711"/>
    <mergeCell ref="D1708:D1711"/>
    <mergeCell ref="B1682:B1686"/>
    <mergeCell ref="D1683:D1686"/>
    <mergeCell ref="B1687:B1691"/>
    <mergeCell ref="D1688:D1691"/>
    <mergeCell ref="B1692:B1696"/>
    <mergeCell ref="D1693:D1696"/>
    <mergeCell ref="B1667:B1671"/>
    <mergeCell ref="D1668:D1671"/>
    <mergeCell ref="B1672:B1676"/>
    <mergeCell ref="D1673:D1676"/>
    <mergeCell ref="B1677:B1681"/>
    <mergeCell ref="D1678:D1681"/>
    <mergeCell ref="B1652:B1656"/>
    <mergeCell ref="D1653:D1656"/>
    <mergeCell ref="B1657:B1661"/>
    <mergeCell ref="D1658:D1661"/>
    <mergeCell ref="B1662:B1666"/>
    <mergeCell ref="D1663:D1666"/>
    <mergeCell ref="B1637:B1641"/>
    <mergeCell ref="D1638:D1641"/>
    <mergeCell ref="B1642:B1646"/>
    <mergeCell ref="D1643:D1646"/>
    <mergeCell ref="B1647:B1651"/>
    <mergeCell ref="D1648:D1651"/>
    <mergeCell ref="B1622:B1626"/>
    <mergeCell ref="D1623:D1626"/>
    <mergeCell ref="B1627:B1631"/>
    <mergeCell ref="D1628:D1631"/>
    <mergeCell ref="B1632:B1636"/>
    <mergeCell ref="D1633:D1636"/>
    <mergeCell ref="B1607:B1611"/>
    <mergeCell ref="D1608:D1611"/>
    <mergeCell ref="B1612:B1616"/>
    <mergeCell ref="D1613:D1616"/>
    <mergeCell ref="B1617:B1621"/>
    <mergeCell ref="D1618:D1621"/>
    <mergeCell ref="B1592:B1596"/>
    <mergeCell ref="D1593:D1596"/>
    <mergeCell ref="B1597:B1601"/>
    <mergeCell ref="D1598:D1601"/>
    <mergeCell ref="B1602:B1606"/>
    <mergeCell ref="D1603:D1606"/>
    <mergeCell ref="B1577:B1581"/>
    <mergeCell ref="D1578:D1581"/>
    <mergeCell ref="B1582:B1586"/>
    <mergeCell ref="D1583:D1586"/>
    <mergeCell ref="B1587:B1591"/>
    <mergeCell ref="D1588:D1591"/>
    <mergeCell ref="B1562:B1566"/>
    <mergeCell ref="D1563:D1566"/>
    <mergeCell ref="B1567:B1571"/>
    <mergeCell ref="D1568:D1571"/>
    <mergeCell ref="B1572:B1576"/>
    <mergeCell ref="D1573:D1576"/>
    <mergeCell ref="B1547:B1551"/>
    <mergeCell ref="D1548:D1551"/>
    <mergeCell ref="B1552:B1556"/>
    <mergeCell ref="D1553:D1556"/>
    <mergeCell ref="B1557:B1561"/>
    <mergeCell ref="D1558:D1561"/>
    <mergeCell ref="B1532:B1536"/>
    <mergeCell ref="D1533:D1536"/>
    <mergeCell ref="B1537:B1541"/>
    <mergeCell ref="D1538:D1541"/>
    <mergeCell ref="B1542:B1546"/>
    <mergeCell ref="D1543:D1546"/>
    <mergeCell ref="B1517:B1521"/>
    <mergeCell ref="D1518:D1521"/>
    <mergeCell ref="B1522:B1526"/>
    <mergeCell ref="D1523:D1526"/>
    <mergeCell ref="B1527:B1531"/>
    <mergeCell ref="D1528:D1531"/>
    <mergeCell ref="B1502:B1506"/>
    <mergeCell ref="D1503:D1506"/>
    <mergeCell ref="B1507:B1511"/>
    <mergeCell ref="D1508:D1511"/>
    <mergeCell ref="B1512:B1516"/>
    <mergeCell ref="D1513:D1516"/>
    <mergeCell ref="B1487:B1491"/>
    <mergeCell ref="D1488:D1491"/>
    <mergeCell ref="B1492:B1496"/>
    <mergeCell ref="D1493:D1496"/>
    <mergeCell ref="B1497:B1501"/>
    <mergeCell ref="D1498:D1501"/>
    <mergeCell ref="B1472:B1476"/>
    <mergeCell ref="D1473:D1476"/>
    <mergeCell ref="B1477:B1481"/>
    <mergeCell ref="D1478:D1481"/>
    <mergeCell ref="B1482:B1486"/>
    <mergeCell ref="D1483:D1486"/>
    <mergeCell ref="B1457:B1461"/>
    <mergeCell ref="D1458:D1461"/>
    <mergeCell ref="B1462:B1466"/>
    <mergeCell ref="D1463:D1466"/>
    <mergeCell ref="B1467:B1471"/>
    <mergeCell ref="D1468:D1471"/>
    <mergeCell ref="B1442:B1446"/>
    <mergeCell ref="D1443:D1446"/>
    <mergeCell ref="B1447:B1451"/>
    <mergeCell ref="D1448:D1451"/>
    <mergeCell ref="B1452:B1456"/>
    <mergeCell ref="D1453:D1456"/>
    <mergeCell ref="B1427:B1431"/>
    <mergeCell ref="D1428:D1431"/>
    <mergeCell ref="B1432:B1436"/>
    <mergeCell ref="D1433:D1436"/>
    <mergeCell ref="B1437:B1441"/>
    <mergeCell ref="D1438:D1441"/>
    <mergeCell ref="B1412:B1416"/>
    <mergeCell ref="D1413:D1416"/>
    <mergeCell ref="B1417:B1421"/>
    <mergeCell ref="D1418:D1421"/>
    <mergeCell ref="B1422:B1426"/>
    <mergeCell ref="D1423:D1426"/>
    <mergeCell ref="B1397:B1401"/>
    <mergeCell ref="D1398:D1401"/>
    <mergeCell ref="B1402:B1406"/>
    <mergeCell ref="D1403:D1406"/>
    <mergeCell ref="B1407:B1411"/>
    <mergeCell ref="D1408:D1411"/>
    <mergeCell ref="B1382:B1386"/>
    <mergeCell ref="D1383:D1386"/>
    <mergeCell ref="B1387:B1391"/>
    <mergeCell ref="D1388:D1391"/>
    <mergeCell ref="B1392:B1396"/>
    <mergeCell ref="D1393:D1396"/>
    <mergeCell ref="B1367:B1371"/>
    <mergeCell ref="D1368:D1371"/>
    <mergeCell ref="B1372:B1376"/>
    <mergeCell ref="D1373:D1376"/>
    <mergeCell ref="B1377:B1381"/>
    <mergeCell ref="D1378:D1381"/>
    <mergeCell ref="B1352:B1356"/>
    <mergeCell ref="D1353:D1356"/>
    <mergeCell ref="B1357:B1361"/>
    <mergeCell ref="D1358:D1361"/>
    <mergeCell ref="B1362:B1366"/>
    <mergeCell ref="D1363:D1366"/>
    <mergeCell ref="B1337:B1341"/>
    <mergeCell ref="D1338:D1341"/>
    <mergeCell ref="B1342:B1346"/>
    <mergeCell ref="D1343:D1346"/>
    <mergeCell ref="B1347:B1351"/>
    <mergeCell ref="D1348:D1351"/>
    <mergeCell ref="B1322:B1326"/>
    <mergeCell ref="D1323:D1326"/>
    <mergeCell ref="B1327:B1331"/>
    <mergeCell ref="D1328:D1331"/>
    <mergeCell ref="B1332:B1336"/>
    <mergeCell ref="D1333:D1336"/>
    <mergeCell ref="B1307:B1311"/>
    <mergeCell ref="D1308:D1311"/>
    <mergeCell ref="B1312:B1316"/>
    <mergeCell ref="D1313:D1316"/>
    <mergeCell ref="B1317:B1321"/>
    <mergeCell ref="D1318:D1321"/>
    <mergeCell ref="B1292:B1296"/>
    <mergeCell ref="D1293:D1296"/>
    <mergeCell ref="B1297:B1301"/>
    <mergeCell ref="D1298:D1301"/>
    <mergeCell ref="B1302:B1306"/>
    <mergeCell ref="D1303:D1306"/>
    <mergeCell ref="B1277:B1281"/>
    <mergeCell ref="D1278:D1281"/>
    <mergeCell ref="B1282:B1286"/>
    <mergeCell ref="D1283:D1286"/>
    <mergeCell ref="B1287:B1291"/>
    <mergeCell ref="D1288:D1291"/>
    <mergeCell ref="B1262:B1266"/>
    <mergeCell ref="D1263:D1266"/>
    <mergeCell ref="B1267:B1271"/>
    <mergeCell ref="D1268:D1271"/>
    <mergeCell ref="B1272:B1276"/>
    <mergeCell ref="D1273:D1276"/>
    <mergeCell ref="B1247:B1251"/>
    <mergeCell ref="D1248:D1251"/>
    <mergeCell ref="B1252:B1256"/>
    <mergeCell ref="D1253:D1256"/>
    <mergeCell ref="B1257:B1261"/>
    <mergeCell ref="D1258:D1261"/>
    <mergeCell ref="B1232:B1236"/>
    <mergeCell ref="D1233:D1236"/>
    <mergeCell ref="B1237:B1241"/>
    <mergeCell ref="D1238:D1241"/>
    <mergeCell ref="B1242:B1246"/>
    <mergeCell ref="D1243:D1246"/>
    <mergeCell ref="B1217:B1221"/>
    <mergeCell ref="D1218:D1221"/>
    <mergeCell ref="B1222:B1226"/>
    <mergeCell ref="D1223:D1226"/>
    <mergeCell ref="B1227:B1231"/>
    <mergeCell ref="D1228:D1231"/>
    <mergeCell ref="B1202:B1206"/>
    <mergeCell ref="D1203:D1206"/>
    <mergeCell ref="B1207:B1211"/>
    <mergeCell ref="D1208:D1211"/>
    <mergeCell ref="B1212:B1216"/>
    <mergeCell ref="D1213:D1216"/>
    <mergeCell ref="B1187:B1191"/>
    <mergeCell ref="D1188:D1191"/>
    <mergeCell ref="B1192:B1196"/>
    <mergeCell ref="D1193:D1196"/>
    <mergeCell ref="B1197:B1201"/>
    <mergeCell ref="D1198:D1201"/>
    <mergeCell ref="B1172:B1176"/>
    <mergeCell ref="D1173:D1176"/>
    <mergeCell ref="B1177:B1181"/>
    <mergeCell ref="D1178:D1181"/>
    <mergeCell ref="B1182:B1186"/>
    <mergeCell ref="D1183:D1186"/>
    <mergeCell ref="B1157:B1161"/>
    <mergeCell ref="D1158:D1161"/>
    <mergeCell ref="B1162:B1166"/>
    <mergeCell ref="D1163:D1166"/>
    <mergeCell ref="B1167:B1171"/>
    <mergeCell ref="D1168:D1171"/>
    <mergeCell ref="B1142:B1146"/>
    <mergeCell ref="D1143:D1146"/>
    <mergeCell ref="B1147:B1151"/>
    <mergeCell ref="D1148:D1151"/>
    <mergeCell ref="B1152:B1156"/>
    <mergeCell ref="D1153:D1156"/>
    <mergeCell ref="B1127:B1131"/>
    <mergeCell ref="D1128:D1131"/>
    <mergeCell ref="B1132:B1136"/>
    <mergeCell ref="D1133:D1136"/>
    <mergeCell ref="B1137:B1141"/>
    <mergeCell ref="D1138:D1141"/>
    <mergeCell ref="B1112:B1116"/>
    <mergeCell ref="D1113:D1116"/>
    <mergeCell ref="B1117:B1121"/>
    <mergeCell ref="D1118:D1121"/>
    <mergeCell ref="B1122:B1126"/>
    <mergeCell ref="D1123:D1126"/>
    <mergeCell ref="B1097:B1101"/>
    <mergeCell ref="D1098:D1101"/>
    <mergeCell ref="B1102:B1106"/>
    <mergeCell ref="D1103:D1106"/>
    <mergeCell ref="B1107:B1111"/>
    <mergeCell ref="D1108:D1111"/>
    <mergeCell ref="B1082:B1086"/>
    <mergeCell ref="D1083:D1086"/>
    <mergeCell ref="B1087:B1091"/>
    <mergeCell ref="D1088:D1091"/>
    <mergeCell ref="B1092:B1096"/>
    <mergeCell ref="D1093:D1096"/>
    <mergeCell ref="B1067:B1071"/>
    <mergeCell ref="D1068:D1071"/>
    <mergeCell ref="B1072:B1076"/>
    <mergeCell ref="D1073:D1076"/>
    <mergeCell ref="B1077:B1081"/>
    <mergeCell ref="D1078:D1081"/>
    <mergeCell ref="B1052:B1056"/>
    <mergeCell ref="D1053:D1056"/>
    <mergeCell ref="B1057:B1061"/>
    <mergeCell ref="D1058:D1061"/>
    <mergeCell ref="B1062:B1066"/>
    <mergeCell ref="D1063:D1066"/>
    <mergeCell ref="B1037:B1041"/>
    <mergeCell ref="D1038:D1041"/>
    <mergeCell ref="B1042:B1046"/>
    <mergeCell ref="D1043:D1046"/>
    <mergeCell ref="B1047:B1051"/>
    <mergeCell ref="D1048:D1051"/>
    <mergeCell ref="B1022:B1026"/>
    <mergeCell ref="D1023:D1026"/>
    <mergeCell ref="B1027:B1031"/>
    <mergeCell ref="D1028:D1031"/>
    <mergeCell ref="B1032:B1036"/>
    <mergeCell ref="D1033:D1036"/>
    <mergeCell ref="B1007:B1011"/>
    <mergeCell ref="D1008:D1011"/>
    <mergeCell ref="B1012:B1016"/>
    <mergeCell ref="D1013:D1016"/>
    <mergeCell ref="B1017:B1021"/>
    <mergeCell ref="D1018:D1021"/>
    <mergeCell ref="B992:B996"/>
    <mergeCell ref="D993:D996"/>
    <mergeCell ref="B997:B1001"/>
    <mergeCell ref="D998:D1001"/>
    <mergeCell ref="B1002:B1006"/>
    <mergeCell ref="D1003:D1006"/>
    <mergeCell ref="B977:B981"/>
    <mergeCell ref="D978:D981"/>
    <mergeCell ref="B982:B986"/>
    <mergeCell ref="D983:D986"/>
    <mergeCell ref="B987:B991"/>
    <mergeCell ref="D988:D991"/>
    <mergeCell ref="B962:B966"/>
    <mergeCell ref="D963:D966"/>
    <mergeCell ref="B967:B971"/>
    <mergeCell ref="D968:D971"/>
    <mergeCell ref="B972:B976"/>
    <mergeCell ref="D973:D976"/>
    <mergeCell ref="B947:B951"/>
    <mergeCell ref="D948:D951"/>
    <mergeCell ref="B952:B956"/>
    <mergeCell ref="D953:D956"/>
    <mergeCell ref="B957:B961"/>
    <mergeCell ref="D958:D961"/>
    <mergeCell ref="B932:B936"/>
    <mergeCell ref="D933:D936"/>
    <mergeCell ref="B937:B941"/>
    <mergeCell ref="D938:D941"/>
    <mergeCell ref="B942:B946"/>
    <mergeCell ref="D943:D946"/>
    <mergeCell ref="B917:B921"/>
    <mergeCell ref="D918:D921"/>
    <mergeCell ref="B922:B926"/>
    <mergeCell ref="D923:D926"/>
    <mergeCell ref="B927:B931"/>
    <mergeCell ref="D928:D931"/>
    <mergeCell ref="B902:B906"/>
    <mergeCell ref="D903:D906"/>
    <mergeCell ref="B907:B911"/>
    <mergeCell ref="D908:D911"/>
    <mergeCell ref="B912:B916"/>
    <mergeCell ref="D913:D916"/>
    <mergeCell ref="B887:B891"/>
    <mergeCell ref="D888:D891"/>
    <mergeCell ref="B892:B896"/>
    <mergeCell ref="D893:D896"/>
    <mergeCell ref="B897:B901"/>
    <mergeCell ref="D898:D901"/>
    <mergeCell ref="B872:B876"/>
    <mergeCell ref="D873:D876"/>
    <mergeCell ref="B877:B881"/>
    <mergeCell ref="D878:D881"/>
    <mergeCell ref="B882:B886"/>
    <mergeCell ref="D883:D886"/>
    <mergeCell ref="B857:B861"/>
    <mergeCell ref="D858:D861"/>
    <mergeCell ref="B862:B866"/>
    <mergeCell ref="D863:D866"/>
    <mergeCell ref="B867:B871"/>
    <mergeCell ref="D868:D871"/>
    <mergeCell ref="B842:B846"/>
    <mergeCell ref="D843:D846"/>
    <mergeCell ref="B847:B851"/>
    <mergeCell ref="D848:D851"/>
    <mergeCell ref="B852:B856"/>
    <mergeCell ref="D853:D856"/>
    <mergeCell ref="B827:B831"/>
    <mergeCell ref="D828:D831"/>
    <mergeCell ref="B832:B836"/>
    <mergeCell ref="D833:D836"/>
    <mergeCell ref="B837:B841"/>
    <mergeCell ref="D838:D841"/>
    <mergeCell ref="B812:B816"/>
    <mergeCell ref="D813:D816"/>
    <mergeCell ref="B817:B821"/>
    <mergeCell ref="D818:D821"/>
    <mergeCell ref="B822:B826"/>
    <mergeCell ref="D823:D826"/>
    <mergeCell ref="B797:B801"/>
    <mergeCell ref="D798:D801"/>
    <mergeCell ref="B802:B806"/>
    <mergeCell ref="D803:D806"/>
    <mergeCell ref="B807:B811"/>
    <mergeCell ref="D808:D811"/>
    <mergeCell ref="B782:B786"/>
    <mergeCell ref="D783:D786"/>
    <mergeCell ref="B787:B791"/>
    <mergeCell ref="D788:D791"/>
    <mergeCell ref="B792:B796"/>
    <mergeCell ref="D793:D796"/>
    <mergeCell ref="B767:B771"/>
    <mergeCell ref="D768:D771"/>
    <mergeCell ref="B772:B776"/>
    <mergeCell ref="D773:D776"/>
    <mergeCell ref="B777:B781"/>
    <mergeCell ref="D778:D781"/>
    <mergeCell ref="B752:B756"/>
    <mergeCell ref="D753:D756"/>
    <mergeCell ref="B757:B761"/>
    <mergeCell ref="D758:D761"/>
    <mergeCell ref="B762:B766"/>
    <mergeCell ref="D763:D766"/>
    <mergeCell ref="B737:B741"/>
    <mergeCell ref="D738:D741"/>
    <mergeCell ref="B742:B746"/>
    <mergeCell ref="D743:D746"/>
    <mergeCell ref="B747:B751"/>
    <mergeCell ref="D748:D751"/>
    <mergeCell ref="B722:B726"/>
    <mergeCell ref="D723:D726"/>
    <mergeCell ref="B727:B731"/>
    <mergeCell ref="D728:D731"/>
    <mergeCell ref="B732:B736"/>
    <mergeCell ref="D733:D736"/>
    <mergeCell ref="B707:B711"/>
    <mergeCell ref="D708:D711"/>
    <mergeCell ref="B712:B716"/>
    <mergeCell ref="D713:D716"/>
    <mergeCell ref="B717:B721"/>
    <mergeCell ref="D718:D721"/>
    <mergeCell ref="B692:B696"/>
    <mergeCell ref="D693:D696"/>
    <mergeCell ref="B697:B701"/>
    <mergeCell ref="D698:D701"/>
    <mergeCell ref="B702:B706"/>
    <mergeCell ref="D703:D706"/>
    <mergeCell ref="B677:B681"/>
    <mergeCell ref="D678:D681"/>
    <mergeCell ref="B682:B686"/>
    <mergeCell ref="D683:D686"/>
    <mergeCell ref="B687:B691"/>
    <mergeCell ref="D688:D691"/>
    <mergeCell ref="B662:B666"/>
    <mergeCell ref="D663:D666"/>
    <mergeCell ref="B667:B671"/>
    <mergeCell ref="D668:D671"/>
    <mergeCell ref="B672:B676"/>
    <mergeCell ref="D673:D676"/>
    <mergeCell ref="B647:B651"/>
    <mergeCell ref="D648:D651"/>
    <mergeCell ref="B652:B656"/>
    <mergeCell ref="D653:D656"/>
    <mergeCell ref="B657:B661"/>
    <mergeCell ref="D658:D661"/>
    <mergeCell ref="B632:B636"/>
    <mergeCell ref="D633:D636"/>
    <mergeCell ref="B637:B641"/>
    <mergeCell ref="D638:D641"/>
    <mergeCell ref="B642:B646"/>
    <mergeCell ref="D643:D646"/>
    <mergeCell ref="B617:B621"/>
    <mergeCell ref="D618:D621"/>
    <mergeCell ref="B622:B626"/>
    <mergeCell ref="D623:D626"/>
    <mergeCell ref="B627:B631"/>
    <mergeCell ref="D628:D631"/>
    <mergeCell ref="B602:B606"/>
    <mergeCell ref="D603:D606"/>
    <mergeCell ref="B607:B611"/>
    <mergeCell ref="D608:D611"/>
    <mergeCell ref="B612:B616"/>
    <mergeCell ref="D613:D616"/>
    <mergeCell ref="B587:B591"/>
    <mergeCell ref="D588:D591"/>
    <mergeCell ref="B592:B596"/>
    <mergeCell ref="D593:D596"/>
    <mergeCell ref="B597:B601"/>
    <mergeCell ref="D598:D601"/>
    <mergeCell ref="B572:B576"/>
    <mergeCell ref="D573:D576"/>
    <mergeCell ref="B577:B581"/>
    <mergeCell ref="D578:D581"/>
    <mergeCell ref="B582:B586"/>
    <mergeCell ref="D583:D586"/>
    <mergeCell ref="B557:B561"/>
    <mergeCell ref="D558:D561"/>
    <mergeCell ref="B562:B566"/>
    <mergeCell ref="D563:D566"/>
    <mergeCell ref="B567:B571"/>
    <mergeCell ref="D568:D571"/>
    <mergeCell ref="B542:B546"/>
    <mergeCell ref="D543:D546"/>
    <mergeCell ref="B547:B551"/>
    <mergeCell ref="D548:D551"/>
    <mergeCell ref="B552:B556"/>
    <mergeCell ref="D553:D556"/>
    <mergeCell ref="B527:B531"/>
    <mergeCell ref="D528:D531"/>
    <mergeCell ref="B532:B536"/>
    <mergeCell ref="D533:D536"/>
    <mergeCell ref="B537:B541"/>
    <mergeCell ref="D538:D541"/>
    <mergeCell ref="B512:B516"/>
    <mergeCell ref="D513:D516"/>
    <mergeCell ref="B517:B521"/>
    <mergeCell ref="D518:D521"/>
    <mergeCell ref="B522:B526"/>
    <mergeCell ref="D523:D526"/>
    <mergeCell ref="B497:B501"/>
    <mergeCell ref="D498:D501"/>
    <mergeCell ref="B502:B506"/>
    <mergeCell ref="D503:D506"/>
    <mergeCell ref="B507:B511"/>
    <mergeCell ref="D508:D511"/>
    <mergeCell ref="B482:B486"/>
    <mergeCell ref="D483:D486"/>
    <mergeCell ref="B487:B491"/>
    <mergeCell ref="D488:D491"/>
    <mergeCell ref="B492:B496"/>
    <mergeCell ref="D493:D496"/>
    <mergeCell ref="B467:B471"/>
    <mergeCell ref="D468:D471"/>
    <mergeCell ref="B472:B476"/>
    <mergeCell ref="D473:D476"/>
    <mergeCell ref="B477:B481"/>
    <mergeCell ref="D478:D481"/>
    <mergeCell ref="B452:B456"/>
    <mergeCell ref="D453:D456"/>
    <mergeCell ref="B457:B461"/>
    <mergeCell ref="D458:D461"/>
    <mergeCell ref="B462:B466"/>
    <mergeCell ref="D463:D466"/>
    <mergeCell ref="B437:B441"/>
    <mergeCell ref="D438:D441"/>
    <mergeCell ref="B442:B446"/>
    <mergeCell ref="D443:D446"/>
    <mergeCell ref="B447:B451"/>
    <mergeCell ref="D448:D451"/>
    <mergeCell ref="B422:B426"/>
    <mergeCell ref="D423:D426"/>
    <mergeCell ref="B427:B431"/>
    <mergeCell ref="D428:D431"/>
    <mergeCell ref="B432:B436"/>
    <mergeCell ref="D433:D436"/>
    <mergeCell ref="B407:B411"/>
    <mergeCell ref="D408:D411"/>
    <mergeCell ref="B412:B416"/>
    <mergeCell ref="D413:D416"/>
    <mergeCell ref="B417:B421"/>
    <mergeCell ref="D418:D421"/>
    <mergeCell ref="B392:B396"/>
    <mergeCell ref="D393:D396"/>
    <mergeCell ref="B397:B401"/>
    <mergeCell ref="D398:D401"/>
    <mergeCell ref="B402:B406"/>
    <mergeCell ref="D403:D406"/>
    <mergeCell ref="B377:B381"/>
    <mergeCell ref="D378:D381"/>
    <mergeCell ref="B382:B386"/>
    <mergeCell ref="D383:D386"/>
    <mergeCell ref="B387:B391"/>
    <mergeCell ref="D388:D391"/>
    <mergeCell ref="B362:B366"/>
    <mergeCell ref="D363:D366"/>
    <mergeCell ref="B367:B371"/>
    <mergeCell ref="D368:D371"/>
    <mergeCell ref="B372:B376"/>
    <mergeCell ref="D373:D376"/>
    <mergeCell ref="B347:B351"/>
    <mergeCell ref="D348:D351"/>
    <mergeCell ref="B352:B356"/>
    <mergeCell ref="D353:D356"/>
    <mergeCell ref="B357:B361"/>
    <mergeCell ref="D358:D361"/>
    <mergeCell ref="B332:B336"/>
    <mergeCell ref="D333:D336"/>
    <mergeCell ref="B337:B341"/>
    <mergeCell ref="D338:D341"/>
    <mergeCell ref="B342:B346"/>
    <mergeCell ref="D343:D346"/>
    <mergeCell ref="B317:B321"/>
    <mergeCell ref="D318:D321"/>
    <mergeCell ref="B322:B326"/>
    <mergeCell ref="D323:D326"/>
    <mergeCell ref="B327:B331"/>
    <mergeCell ref="D328:D331"/>
    <mergeCell ref="B302:B306"/>
    <mergeCell ref="D303:D306"/>
    <mergeCell ref="B307:B311"/>
    <mergeCell ref="D308:D311"/>
    <mergeCell ref="B312:B316"/>
    <mergeCell ref="D313:D316"/>
    <mergeCell ref="B287:B291"/>
    <mergeCell ref="D288:D291"/>
    <mergeCell ref="B292:B296"/>
    <mergeCell ref="D293:D296"/>
    <mergeCell ref="B297:B301"/>
    <mergeCell ref="D298:D301"/>
    <mergeCell ref="B272:B276"/>
    <mergeCell ref="D273:D276"/>
    <mergeCell ref="B277:B281"/>
    <mergeCell ref="D278:D281"/>
    <mergeCell ref="B282:B286"/>
    <mergeCell ref="D283:D286"/>
    <mergeCell ref="B257:B261"/>
    <mergeCell ref="D258:D261"/>
    <mergeCell ref="B262:B266"/>
    <mergeCell ref="D263:D266"/>
    <mergeCell ref="B267:B271"/>
    <mergeCell ref="D268:D271"/>
    <mergeCell ref="B242:B246"/>
    <mergeCell ref="D243:D246"/>
    <mergeCell ref="B247:B251"/>
    <mergeCell ref="D248:D251"/>
    <mergeCell ref="B252:B256"/>
    <mergeCell ref="D253:D256"/>
    <mergeCell ref="B227:B231"/>
    <mergeCell ref="D228:D231"/>
    <mergeCell ref="B232:B236"/>
    <mergeCell ref="D233:D236"/>
    <mergeCell ref="B237:B241"/>
    <mergeCell ref="D238:D241"/>
    <mergeCell ref="B212:B216"/>
    <mergeCell ref="D213:D216"/>
    <mergeCell ref="B217:B221"/>
    <mergeCell ref="D218:D221"/>
    <mergeCell ref="B222:B226"/>
    <mergeCell ref="D223:D226"/>
    <mergeCell ref="B197:B201"/>
    <mergeCell ref="D198:D201"/>
    <mergeCell ref="B202:B206"/>
    <mergeCell ref="D203:D206"/>
    <mergeCell ref="B207:B211"/>
    <mergeCell ref="D208:D211"/>
    <mergeCell ref="B182:B186"/>
    <mergeCell ref="D183:D186"/>
    <mergeCell ref="B187:B191"/>
    <mergeCell ref="D188:D191"/>
    <mergeCell ref="B192:B196"/>
    <mergeCell ref="D193:D196"/>
    <mergeCell ref="B167:B171"/>
    <mergeCell ref="D168:D171"/>
    <mergeCell ref="B172:B176"/>
    <mergeCell ref="D173:D176"/>
    <mergeCell ref="B177:B181"/>
    <mergeCell ref="D178:D181"/>
    <mergeCell ref="B152:B156"/>
    <mergeCell ref="D153:D156"/>
    <mergeCell ref="B157:B161"/>
    <mergeCell ref="D158:D161"/>
    <mergeCell ref="B162:B166"/>
    <mergeCell ref="D163:D166"/>
    <mergeCell ref="B137:B141"/>
    <mergeCell ref="D138:D141"/>
    <mergeCell ref="B142:B146"/>
    <mergeCell ref="D143:D146"/>
    <mergeCell ref="B147:B151"/>
    <mergeCell ref="D148:D151"/>
    <mergeCell ref="B122:B126"/>
    <mergeCell ref="D123:D126"/>
    <mergeCell ref="B127:B131"/>
    <mergeCell ref="D128:D131"/>
    <mergeCell ref="B132:B136"/>
    <mergeCell ref="D133:D136"/>
    <mergeCell ref="B107:B111"/>
    <mergeCell ref="D108:D111"/>
    <mergeCell ref="B112:B116"/>
    <mergeCell ref="D113:D116"/>
    <mergeCell ref="B117:B121"/>
    <mergeCell ref="D118:D121"/>
    <mergeCell ref="B92:B96"/>
    <mergeCell ref="D93:D96"/>
    <mergeCell ref="B97:B101"/>
    <mergeCell ref="D98:D101"/>
    <mergeCell ref="B102:B106"/>
    <mergeCell ref="D103:D106"/>
    <mergeCell ref="B42:B46"/>
    <mergeCell ref="D43:D46"/>
    <mergeCell ref="B47:B51"/>
    <mergeCell ref="D48:D51"/>
    <mergeCell ref="B52:B56"/>
    <mergeCell ref="D53:D56"/>
    <mergeCell ref="B57:B61"/>
    <mergeCell ref="D58:D61"/>
    <mergeCell ref="B62:B66"/>
    <mergeCell ref="D63:D66"/>
    <mergeCell ref="B67:B71"/>
    <mergeCell ref="D68:D71"/>
    <mergeCell ref="B72:B76"/>
    <mergeCell ref="D73:D76"/>
    <mergeCell ref="B77:B81"/>
    <mergeCell ref="D78:D81"/>
    <mergeCell ref="B82:B86"/>
    <mergeCell ref="D83:D86"/>
    <mergeCell ref="B87:B91"/>
    <mergeCell ref="D88:D91"/>
    <mergeCell ref="B32:B36"/>
    <mergeCell ref="D33:D36"/>
    <mergeCell ref="B37:B41"/>
    <mergeCell ref="D38:D41"/>
    <mergeCell ref="B22:B26"/>
    <mergeCell ref="D23:D26"/>
    <mergeCell ref="D18:D21"/>
    <mergeCell ref="B27:B31"/>
    <mergeCell ref="D28:D31"/>
    <mergeCell ref="B12:B16"/>
    <mergeCell ref="D13:D16"/>
    <mergeCell ref="B17:B21"/>
    <mergeCell ref="D3:D6"/>
    <mergeCell ref="B2:B6"/>
    <mergeCell ref="B7:B11"/>
    <mergeCell ref="D8:D11"/>
    <mergeCell ref="E3:E6"/>
    <mergeCell ref="E8:E11"/>
    <mergeCell ref="E13:E16"/>
    <mergeCell ref="E18:E21"/>
  </mergeCells>
  <phoneticPr fontId="5"/>
  <conditionalFormatting sqref="B1:B1048576">
    <cfRule type="expression" dxfId="7" priority="8" stopIfTrue="1">
      <formula>OFFSET($F$1,ROW()+2,0,1,1)="White"</formula>
    </cfRule>
    <cfRule type="expression" dxfId="6" priority="7" stopIfTrue="1">
      <formula>OFFSET($F$1,ROW()+2,0,1,1)="Blue"</formula>
    </cfRule>
    <cfRule type="expression" dxfId="5" priority="6" stopIfTrue="1">
      <formula>OFFSET($F$1,ROW()+2,0,1,1)="Black"</formula>
    </cfRule>
    <cfRule type="expression" dxfId="4" priority="5" stopIfTrue="1">
      <formula>OFFSET($F$1,ROW()+2,0,1,1)="Red"</formula>
    </cfRule>
    <cfRule type="expression" dxfId="3" priority="4" stopIfTrue="1">
      <formula>OFFSET($F$1,ROW()+2,0,1,1)="Green"</formula>
    </cfRule>
    <cfRule type="expression" dxfId="2" priority="3" stopIfTrue="1">
      <formula>OFFSET($F$1,ROW()+2,0,1,1)="Colorless"</formula>
    </cfRule>
    <cfRule type="expression" dxfId="1" priority="2" stopIfTrue="1">
      <formula>OFFSET($F$1,ROW()+2,0,1,1)="Land"</formula>
    </cfRule>
    <cfRule type="expression" dxfId="0" priority="1" stopIfTrue="1">
      <formula>OFFSET($F$1,ROW()+2,0,1,1)="multi"</formula>
    </cfRule>
  </conditionalFormatting>
  <pageMargins left="0.7" right="0.7" top="0.75" bottom="0.75" header="0.3" footer="0.3"/>
  <pageSetup paperSize="9"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sheetPr codeName="Sheet2"/>
  <dimension ref="A1:C207"/>
  <sheetViews>
    <sheetView zoomScaleNormal="100" workbookViewId="0"/>
  </sheetViews>
  <sheetFormatPr defaultRowHeight="11.25"/>
  <cols>
    <col min="1" max="16384" width="9" style="7"/>
  </cols>
  <sheetData>
    <row r="1" spans="1:3">
      <c r="A1" s="7" t="s">
        <v>1</v>
      </c>
      <c r="B1" s="7">
        <v>2.5</v>
      </c>
      <c r="C1" s="6" t="s">
        <v>2</v>
      </c>
    </row>
    <row r="2" spans="1:3">
      <c r="A2" s="7" t="s">
        <v>3</v>
      </c>
      <c r="B2" s="7">
        <v>2</v>
      </c>
      <c r="C2" s="6" t="s">
        <v>4</v>
      </c>
    </row>
    <row r="3" spans="1:3">
      <c r="A3" s="7" t="s">
        <v>5</v>
      </c>
      <c r="B3" s="7">
        <v>4</v>
      </c>
      <c r="C3" s="6" t="s">
        <v>6</v>
      </c>
    </row>
    <row r="4" spans="1:3">
      <c r="A4" s="7" t="s">
        <v>7</v>
      </c>
      <c r="B4" s="7">
        <v>3.5</v>
      </c>
      <c r="C4" s="6" t="s">
        <v>8</v>
      </c>
    </row>
    <row r="5" spans="1:3">
      <c r="A5" s="7" t="s">
        <v>9</v>
      </c>
      <c r="B5" s="7">
        <v>4</v>
      </c>
      <c r="C5" s="6" t="s">
        <v>10</v>
      </c>
    </row>
    <row r="6" spans="1:3">
      <c r="A6" s="7" t="s">
        <v>11</v>
      </c>
      <c r="B6" s="7">
        <v>2.5</v>
      </c>
      <c r="C6" s="6" t="s">
        <v>12</v>
      </c>
    </row>
    <row r="7" spans="1:3">
      <c r="A7" s="7" t="s">
        <v>13</v>
      </c>
      <c r="B7" s="7">
        <v>2</v>
      </c>
      <c r="C7" s="7" t="s">
        <v>14</v>
      </c>
    </row>
    <row r="8" spans="1:3">
      <c r="A8" s="7" t="s">
        <v>15</v>
      </c>
      <c r="B8" s="7">
        <v>0</v>
      </c>
      <c r="C8" s="7" t="s">
        <v>16</v>
      </c>
    </row>
    <row r="9" spans="1:3">
      <c r="A9" s="7" t="s">
        <v>17</v>
      </c>
      <c r="B9" s="7">
        <v>2</v>
      </c>
      <c r="C9" s="6" t="s">
        <v>18</v>
      </c>
    </row>
    <row r="10" spans="1:3">
      <c r="A10" s="7" t="s">
        <v>19</v>
      </c>
      <c r="B10" s="7">
        <v>2</v>
      </c>
      <c r="C10" s="6" t="s">
        <v>20</v>
      </c>
    </row>
    <row r="11" spans="1:3">
      <c r="A11" s="7" t="s">
        <v>21</v>
      </c>
      <c r="B11" s="7">
        <v>2.5</v>
      </c>
      <c r="C11" s="6" t="s">
        <v>22</v>
      </c>
    </row>
    <row r="12" spans="1:3">
      <c r="A12" s="7" t="s">
        <v>23</v>
      </c>
      <c r="B12" s="7">
        <v>2.5</v>
      </c>
      <c r="C12" s="6" t="s">
        <v>24</v>
      </c>
    </row>
    <row r="13" spans="1:3">
      <c r="A13" s="7" t="s">
        <v>25</v>
      </c>
      <c r="B13" s="7">
        <v>1.5</v>
      </c>
      <c r="C13" s="6" t="s">
        <v>26</v>
      </c>
    </row>
    <row r="14" spans="1:3">
      <c r="A14" s="7" t="s">
        <v>27</v>
      </c>
      <c r="B14" s="7">
        <v>1.5</v>
      </c>
      <c r="C14" s="6" t="s">
        <v>28</v>
      </c>
    </row>
    <row r="15" spans="1:3">
      <c r="A15" s="7" t="s">
        <v>29</v>
      </c>
      <c r="B15" s="7">
        <v>1</v>
      </c>
      <c r="C15" s="6" t="s">
        <v>30</v>
      </c>
    </row>
    <row r="16" spans="1:3">
      <c r="A16" s="7" t="s">
        <v>31</v>
      </c>
      <c r="B16" s="7">
        <v>4.5</v>
      </c>
      <c r="C16" s="6" t="s">
        <v>32</v>
      </c>
    </row>
    <row r="17" spans="1:3">
      <c r="A17" s="7" t="s">
        <v>33</v>
      </c>
      <c r="B17" s="7">
        <v>1</v>
      </c>
      <c r="C17" s="6" t="s">
        <v>34</v>
      </c>
    </row>
    <row r="18" spans="1:3">
      <c r="A18" s="7" t="s">
        <v>35</v>
      </c>
      <c r="B18" s="7">
        <v>2.5</v>
      </c>
      <c r="C18" s="6" t="s">
        <v>36</v>
      </c>
    </row>
    <row r="19" spans="1:3">
      <c r="A19" s="7" t="s">
        <v>37</v>
      </c>
      <c r="B19" s="7">
        <v>2</v>
      </c>
      <c r="C19" s="6" t="s">
        <v>38</v>
      </c>
    </row>
    <row r="20" spans="1:3">
      <c r="A20" s="7" t="s">
        <v>39</v>
      </c>
      <c r="B20" s="7">
        <v>1</v>
      </c>
      <c r="C20" s="7" t="s">
        <v>40</v>
      </c>
    </row>
    <row r="21" spans="1:3">
      <c r="A21" s="7" t="s">
        <v>41</v>
      </c>
      <c r="B21" s="7">
        <v>1.5</v>
      </c>
      <c r="C21" s="6" t="s">
        <v>42</v>
      </c>
    </row>
    <row r="22" spans="1:3">
      <c r="A22" s="7" t="s">
        <v>43</v>
      </c>
      <c r="B22" s="7">
        <v>1.5</v>
      </c>
      <c r="C22" s="6" t="s">
        <v>44</v>
      </c>
    </row>
    <row r="23" spans="1:3">
      <c r="A23" s="7" t="s">
        <v>45</v>
      </c>
      <c r="B23" s="7">
        <v>1</v>
      </c>
      <c r="C23" s="6" t="s">
        <v>46</v>
      </c>
    </row>
    <row r="24" spans="1:3">
      <c r="A24" s="7" t="s">
        <v>47</v>
      </c>
      <c r="B24" s="7">
        <v>1</v>
      </c>
      <c r="C24" s="6" t="s">
        <v>48</v>
      </c>
    </row>
    <row r="25" spans="1:3">
      <c r="A25" s="7" t="s">
        <v>49</v>
      </c>
      <c r="B25" s="7">
        <v>1</v>
      </c>
      <c r="C25" s="6" t="s">
        <v>50</v>
      </c>
    </row>
    <row r="26" spans="1:3">
      <c r="A26" s="7" t="s">
        <v>51</v>
      </c>
      <c r="B26" s="7">
        <v>3</v>
      </c>
      <c r="C26" s="6" t="s">
        <v>52</v>
      </c>
    </row>
    <row r="27" spans="1:3">
      <c r="A27" s="7" t="s">
        <v>53</v>
      </c>
      <c r="B27" s="7">
        <v>3</v>
      </c>
      <c r="C27" s="6" t="s">
        <v>54</v>
      </c>
    </row>
    <row r="28" spans="1:3">
      <c r="A28" s="7" t="s">
        <v>55</v>
      </c>
      <c r="B28" s="7">
        <v>0</v>
      </c>
      <c r="C28" s="6" t="s">
        <v>56</v>
      </c>
    </row>
    <row r="29" spans="1:3">
      <c r="A29" s="7" t="s">
        <v>57</v>
      </c>
      <c r="B29" s="7">
        <v>3</v>
      </c>
      <c r="C29" s="6" t="s">
        <v>58</v>
      </c>
    </row>
    <row r="30" spans="1:3">
      <c r="A30" s="7" t="s">
        <v>59</v>
      </c>
      <c r="B30" s="7">
        <v>2</v>
      </c>
      <c r="C30" s="6" t="s">
        <v>60</v>
      </c>
    </row>
    <row r="31" spans="1:3">
      <c r="A31" s="7" t="s">
        <v>61</v>
      </c>
      <c r="B31" s="7">
        <v>2</v>
      </c>
      <c r="C31" s="6" t="s">
        <v>62</v>
      </c>
    </row>
    <row r="32" spans="1:3">
      <c r="A32" s="7" t="s">
        <v>63</v>
      </c>
      <c r="B32" s="7">
        <v>2.5</v>
      </c>
      <c r="C32" s="6" t="s">
        <v>64</v>
      </c>
    </row>
    <row r="33" spans="1:3">
      <c r="A33" s="7" t="s">
        <v>65</v>
      </c>
      <c r="B33" s="7">
        <v>3</v>
      </c>
      <c r="C33" s="6" t="s">
        <v>66</v>
      </c>
    </row>
    <row r="34" spans="1:3">
      <c r="A34" s="7" t="s">
        <v>67</v>
      </c>
      <c r="B34" s="7" t="s">
        <v>68</v>
      </c>
      <c r="C34" s="6" t="s">
        <v>69</v>
      </c>
    </row>
    <row r="35" spans="1:3">
      <c r="A35" s="7" t="s">
        <v>70</v>
      </c>
      <c r="B35" s="7">
        <v>1</v>
      </c>
      <c r="C35" s="6" t="s">
        <v>71</v>
      </c>
    </row>
    <row r="36" spans="1:3">
      <c r="A36" s="7" t="s">
        <v>72</v>
      </c>
      <c r="B36" s="7">
        <v>3</v>
      </c>
      <c r="C36" s="6" t="s">
        <v>73</v>
      </c>
    </row>
    <row r="37" spans="1:3">
      <c r="A37" s="7" t="s">
        <v>74</v>
      </c>
      <c r="B37" s="7">
        <v>2.5</v>
      </c>
      <c r="C37" s="6" t="s">
        <v>75</v>
      </c>
    </row>
    <row r="38" spans="1:3">
      <c r="A38" s="7" t="s">
        <v>76</v>
      </c>
      <c r="B38" s="7">
        <v>0.5</v>
      </c>
      <c r="C38" s="6" t="s">
        <v>77</v>
      </c>
    </row>
    <row r="39" spans="1:3">
      <c r="A39" s="7" t="s">
        <v>78</v>
      </c>
      <c r="B39" s="7">
        <v>0.5</v>
      </c>
      <c r="C39" s="6" t="s">
        <v>79</v>
      </c>
    </row>
    <row r="40" spans="1:3">
      <c r="A40" s="7" t="s">
        <v>80</v>
      </c>
      <c r="B40" s="7">
        <v>1.5</v>
      </c>
      <c r="C40" s="6" t="s">
        <v>81</v>
      </c>
    </row>
    <row r="41" spans="1:3">
      <c r="A41" s="7" t="s">
        <v>82</v>
      </c>
      <c r="B41" s="7">
        <v>1.5</v>
      </c>
      <c r="C41" s="6" t="s">
        <v>83</v>
      </c>
    </row>
    <row r="42" spans="1:3">
      <c r="A42" s="7" t="s">
        <v>84</v>
      </c>
      <c r="B42" s="7">
        <v>0.5</v>
      </c>
      <c r="C42" s="6" t="s">
        <v>85</v>
      </c>
    </row>
    <row r="43" spans="1:3">
      <c r="A43" s="7" t="s">
        <v>86</v>
      </c>
      <c r="B43" s="7">
        <v>4.5</v>
      </c>
      <c r="C43" s="6" t="s">
        <v>87</v>
      </c>
    </row>
    <row r="44" spans="1:3">
      <c r="A44" s="7" t="s">
        <v>88</v>
      </c>
      <c r="B44" s="7">
        <v>1.5</v>
      </c>
      <c r="C44" s="6" t="s">
        <v>89</v>
      </c>
    </row>
    <row r="45" spans="1:3">
      <c r="A45" s="7" t="s">
        <v>90</v>
      </c>
      <c r="B45" s="7">
        <v>1.5</v>
      </c>
      <c r="C45" s="6" t="s">
        <v>91</v>
      </c>
    </row>
    <row r="46" spans="1:3">
      <c r="A46" s="7" t="s">
        <v>92</v>
      </c>
      <c r="B46" s="7">
        <v>2</v>
      </c>
      <c r="C46" s="6" t="s">
        <v>93</v>
      </c>
    </row>
    <row r="47" spans="1:3">
      <c r="A47" s="7" t="s">
        <v>94</v>
      </c>
      <c r="B47" s="7">
        <v>2</v>
      </c>
      <c r="C47" s="6" t="s">
        <v>95</v>
      </c>
    </row>
    <row r="48" spans="1:3">
      <c r="A48" s="7" t="s">
        <v>96</v>
      </c>
      <c r="B48" s="7">
        <v>1.5</v>
      </c>
      <c r="C48" s="6" t="s">
        <v>97</v>
      </c>
    </row>
    <row r="49" spans="1:3">
      <c r="A49" s="7" t="s">
        <v>98</v>
      </c>
      <c r="B49" s="7">
        <v>2</v>
      </c>
      <c r="C49" s="6" t="s">
        <v>99</v>
      </c>
    </row>
    <row r="50" spans="1:3">
      <c r="A50" s="7" t="s">
        <v>100</v>
      </c>
      <c r="B50" s="7">
        <v>2.5</v>
      </c>
      <c r="C50" s="6" t="s">
        <v>101</v>
      </c>
    </row>
    <row r="51" spans="1:3">
      <c r="A51" s="7" t="s">
        <v>102</v>
      </c>
      <c r="B51" s="7">
        <v>2.5</v>
      </c>
      <c r="C51" s="6" t="s">
        <v>103</v>
      </c>
    </row>
    <row r="52" spans="1:3">
      <c r="A52" s="7" t="s">
        <v>104</v>
      </c>
      <c r="B52" s="7">
        <v>2</v>
      </c>
      <c r="C52" s="6" t="s">
        <v>105</v>
      </c>
    </row>
    <row r="53" spans="1:3">
      <c r="A53" s="7" t="s">
        <v>106</v>
      </c>
      <c r="B53" s="7">
        <v>2.5</v>
      </c>
      <c r="C53" s="7" t="s">
        <v>107</v>
      </c>
    </row>
    <row r="54" spans="1:3">
      <c r="A54" s="7" t="s">
        <v>108</v>
      </c>
      <c r="B54" s="7">
        <v>1.5</v>
      </c>
      <c r="C54" s="6" t="s">
        <v>109</v>
      </c>
    </row>
    <row r="55" spans="1:3">
      <c r="A55" s="7" t="s">
        <v>110</v>
      </c>
      <c r="B55" s="7">
        <v>0.5</v>
      </c>
      <c r="C55" s="6" t="s">
        <v>111</v>
      </c>
    </row>
    <row r="56" spans="1:3">
      <c r="A56" s="7" t="s">
        <v>112</v>
      </c>
      <c r="B56" s="7">
        <v>2</v>
      </c>
      <c r="C56" s="6" t="s">
        <v>113</v>
      </c>
    </row>
    <row r="57" spans="1:3">
      <c r="A57" s="7" t="s">
        <v>114</v>
      </c>
      <c r="B57" s="7">
        <v>0.5</v>
      </c>
      <c r="C57" s="6" t="s">
        <v>115</v>
      </c>
    </row>
    <row r="58" spans="1:3">
      <c r="A58" s="7" t="s">
        <v>116</v>
      </c>
      <c r="B58" s="7">
        <v>3</v>
      </c>
      <c r="C58" s="6" t="s">
        <v>117</v>
      </c>
    </row>
    <row r="59" spans="1:3">
      <c r="A59" s="7" t="s">
        <v>118</v>
      </c>
      <c r="B59" s="7">
        <v>4.5</v>
      </c>
      <c r="C59" s="6" t="s">
        <v>119</v>
      </c>
    </row>
    <row r="60" spans="1:3">
      <c r="A60" s="7" t="s">
        <v>120</v>
      </c>
      <c r="B60" s="7">
        <v>2.5</v>
      </c>
      <c r="C60" s="6" t="s">
        <v>121</v>
      </c>
    </row>
    <row r="61" spans="1:3">
      <c r="A61" s="7" t="s">
        <v>122</v>
      </c>
      <c r="B61" s="7">
        <v>1.5</v>
      </c>
      <c r="C61" s="6" t="s">
        <v>123</v>
      </c>
    </row>
    <row r="62" spans="1:3">
      <c r="A62" s="7" t="s">
        <v>124</v>
      </c>
      <c r="B62" s="7">
        <v>1</v>
      </c>
      <c r="C62" s="7" t="s">
        <v>125</v>
      </c>
    </row>
    <row r="63" spans="1:3">
      <c r="A63" s="7" t="s">
        <v>126</v>
      </c>
      <c r="B63" s="7">
        <v>1.5</v>
      </c>
      <c r="C63" s="6" t="s">
        <v>127</v>
      </c>
    </row>
    <row r="64" spans="1:3">
      <c r="A64" s="7" t="s">
        <v>128</v>
      </c>
      <c r="B64" s="7">
        <v>2.5</v>
      </c>
      <c r="C64" s="6" t="s">
        <v>129</v>
      </c>
    </row>
    <row r="65" spans="1:3">
      <c r="A65" s="7" t="s">
        <v>130</v>
      </c>
      <c r="B65" s="7">
        <v>1</v>
      </c>
      <c r="C65" s="6" t="s">
        <v>131</v>
      </c>
    </row>
    <row r="66" spans="1:3">
      <c r="A66" s="7" t="s">
        <v>132</v>
      </c>
      <c r="B66" s="7">
        <v>2.5</v>
      </c>
      <c r="C66" s="6" t="s">
        <v>133</v>
      </c>
    </row>
    <row r="67" spans="1:3">
      <c r="A67" s="7" t="s">
        <v>134</v>
      </c>
      <c r="B67" s="7">
        <v>3</v>
      </c>
      <c r="C67" s="6" t="s">
        <v>135</v>
      </c>
    </row>
    <row r="68" spans="1:3">
      <c r="A68" s="7" t="s">
        <v>136</v>
      </c>
      <c r="B68" s="7">
        <v>2.5</v>
      </c>
      <c r="C68" s="6" t="s">
        <v>312</v>
      </c>
    </row>
    <row r="69" spans="1:3">
      <c r="A69" s="7" t="s">
        <v>137</v>
      </c>
      <c r="B69" s="7">
        <v>1.5</v>
      </c>
      <c r="C69" s="6" t="s">
        <v>313</v>
      </c>
    </row>
    <row r="70" spans="1:3">
      <c r="A70" s="7" t="s">
        <v>138</v>
      </c>
      <c r="B70" s="7">
        <v>1.5</v>
      </c>
      <c r="C70" s="7" t="s">
        <v>314</v>
      </c>
    </row>
    <row r="71" spans="1:3">
      <c r="A71" s="7" t="s">
        <v>139</v>
      </c>
      <c r="B71" s="7">
        <v>2.5</v>
      </c>
      <c r="C71" s="6" t="s">
        <v>315</v>
      </c>
    </row>
    <row r="72" spans="1:3">
      <c r="A72" s="7" t="s">
        <v>140</v>
      </c>
      <c r="B72" s="7">
        <v>2.5</v>
      </c>
      <c r="C72" s="6" t="s">
        <v>316</v>
      </c>
    </row>
    <row r="73" spans="1:3">
      <c r="A73" s="7" t="s">
        <v>141</v>
      </c>
      <c r="B73" s="7">
        <v>3.5</v>
      </c>
      <c r="C73" s="6" t="s">
        <v>317</v>
      </c>
    </row>
    <row r="74" spans="1:3">
      <c r="A74" s="7" t="s">
        <v>142</v>
      </c>
      <c r="B74" s="7">
        <v>4</v>
      </c>
      <c r="C74" s="6" t="s">
        <v>318</v>
      </c>
    </row>
    <row r="75" spans="1:3">
      <c r="A75" s="7" t="s">
        <v>143</v>
      </c>
      <c r="B75" s="7">
        <v>2.5</v>
      </c>
      <c r="C75" s="6" t="s">
        <v>319</v>
      </c>
    </row>
    <row r="76" spans="1:3">
      <c r="A76" s="7" t="s">
        <v>144</v>
      </c>
      <c r="B76" s="7">
        <v>2.5</v>
      </c>
      <c r="C76" s="6" t="s">
        <v>320</v>
      </c>
    </row>
    <row r="77" spans="1:3">
      <c r="A77" s="7" t="s">
        <v>145</v>
      </c>
      <c r="B77" s="7">
        <v>1.5</v>
      </c>
      <c r="C77" s="6" t="s">
        <v>321</v>
      </c>
    </row>
    <row r="78" spans="1:3">
      <c r="A78" s="7" t="s">
        <v>146</v>
      </c>
      <c r="B78" s="7">
        <v>2</v>
      </c>
      <c r="C78" s="6" t="s">
        <v>322</v>
      </c>
    </row>
    <row r="79" spans="1:3">
      <c r="A79" s="7" t="s">
        <v>147</v>
      </c>
      <c r="B79" s="7">
        <v>2.5</v>
      </c>
      <c r="C79" s="6" t="s">
        <v>323</v>
      </c>
    </row>
    <row r="80" spans="1:3">
      <c r="A80" s="7" t="s">
        <v>0</v>
      </c>
      <c r="B80" s="7">
        <v>4</v>
      </c>
      <c r="C80" s="6" t="s">
        <v>324</v>
      </c>
    </row>
    <row r="81" spans="1:3">
      <c r="A81" s="7" t="s">
        <v>148</v>
      </c>
      <c r="B81" s="7">
        <v>1.5</v>
      </c>
      <c r="C81" s="6" t="s">
        <v>325</v>
      </c>
    </row>
    <row r="82" spans="1:3">
      <c r="A82" s="7" t="s">
        <v>149</v>
      </c>
      <c r="B82" s="7">
        <v>2.5</v>
      </c>
      <c r="C82" s="6" t="s">
        <v>326</v>
      </c>
    </row>
    <row r="83" spans="1:3">
      <c r="A83" s="7" t="s">
        <v>150</v>
      </c>
      <c r="B83" s="7">
        <v>2.5</v>
      </c>
      <c r="C83" s="6" t="s">
        <v>327</v>
      </c>
    </row>
    <row r="84" spans="1:3">
      <c r="A84" s="7" t="s">
        <v>151</v>
      </c>
      <c r="B84" s="7">
        <v>3.5</v>
      </c>
      <c r="C84" s="7" t="s">
        <v>328</v>
      </c>
    </row>
    <row r="85" spans="1:3">
      <c r="A85" s="7" t="s">
        <v>152</v>
      </c>
      <c r="B85" s="7">
        <v>4</v>
      </c>
      <c r="C85" s="6" t="s">
        <v>329</v>
      </c>
    </row>
    <row r="86" spans="1:3">
      <c r="A86" s="7" t="s">
        <v>153</v>
      </c>
      <c r="B86" s="7">
        <v>1</v>
      </c>
      <c r="C86" s="6" t="s">
        <v>330</v>
      </c>
    </row>
    <row r="87" spans="1:3">
      <c r="A87" s="7" t="s">
        <v>154</v>
      </c>
      <c r="B87" s="7">
        <v>2.5</v>
      </c>
      <c r="C87" s="6" t="s">
        <v>331</v>
      </c>
    </row>
    <row r="88" spans="1:3">
      <c r="A88" s="7" t="s">
        <v>155</v>
      </c>
      <c r="B88" s="7">
        <v>1</v>
      </c>
      <c r="C88" s="6" t="s">
        <v>332</v>
      </c>
    </row>
    <row r="89" spans="1:3">
      <c r="A89" s="7" t="s">
        <v>156</v>
      </c>
      <c r="B89" s="7">
        <v>2.5</v>
      </c>
      <c r="C89" s="6" t="s">
        <v>333</v>
      </c>
    </row>
    <row r="90" spans="1:3">
      <c r="A90" s="7" t="s">
        <v>157</v>
      </c>
      <c r="B90" s="7">
        <v>4</v>
      </c>
      <c r="C90" s="6" t="s">
        <v>334</v>
      </c>
    </row>
    <row r="91" spans="1:3">
      <c r="A91" s="7" t="s">
        <v>158</v>
      </c>
      <c r="B91" s="7">
        <v>1.5</v>
      </c>
      <c r="C91" s="6" t="s">
        <v>335</v>
      </c>
    </row>
    <row r="92" spans="1:3">
      <c r="A92" s="7" t="s">
        <v>159</v>
      </c>
      <c r="B92" s="7">
        <v>1</v>
      </c>
      <c r="C92" s="6" t="s">
        <v>336</v>
      </c>
    </row>
    <row r="93" spans="1:3">
      <c r="A93" s="7" t="s">
        <v>160</v>
      </c>
      <c r="B93" s="7">
        <v>3</v>
      </c>
      <c r="C93" s="6" t="s">
        <v>337</v>
      </c>
    </row>
    <row r="94" spans="1:3">
      <c r="A94" s="7" t="s">
        <v>161</v>
      </c>
      <c r="B94" s="7">
        <v>1.5</v>
      </c>
      <c r="C94" s="6" t="s">
        <v>338</v>
      </c>
    </row>
    <row r="95" spans="1:3">
      <c r="A95" s="7" t="s">
        <v>162</v>
      </c>
      <c r="B95" s="7">
        <v>2</v>
      </c>
      <c r="C95" s="6" t="s">
        <v>339</v>
      </c>
    </row>
    <row r="96" spans="1:3">
      <c r="A96" s="7" t="s">
        <v>163</v>
      </c>
      <c r="B96" s="7">
        <v>3</v>
      </c>
      <c r="C96" s="7" t="s">
        <v>340</v>
      </c>
    </row>
    <row r="97" spans="1:3">
      <c r="A97" s="7" t="s">
        <v>164</v>
      </c>
      <c r="B97" s="7">
        <v>1.5</v>
      </c>
      <c r="C97" s="7" t="s">
        <v>341</v>
      </c>
    </row>
    <row r="98" spans="1:3">
      <c r="A98" s="7" t="s">
        <v>165</v>
      </c>
      <c r="B98" s="7">
        <v>4</v>
      </c>
      <c r="C98" s="6" t="s">
        <v>342</v>
      </c>
    </row>
    <row r="99" spans="1:3">
      <c r="A99" s="7" t="s">
        <v>166</v>
      </c>
      <c r="B99" s="7">
        <v>1.5</v>
      </c>
      <c r="C99" s="7" t="s">
        <v>343</v>
      </c>
    </row>
    <row r="100" spans="1:3">
      <c r="A100" s="7" t="s">
        <v>167</v>
      </c>
      <c r="B100" s="7">
        <v>2</v>
      </c>
      <c r="C100" s="6" t="s">
        <v>344</v>
      </c>
    </row>
    <row r="101" spans="1:3">
      <c r="A101" s="7" t="s">
        <v>168</v>
      </c>
      <c r="B101" s="7">
        <v>1.5</v>
      </c>
      <c r="C101" s="6" t="s">
        <v>345</v>
      </c>
    </row>
    <row r="102" spans="1:3">
      <c r="A102" s="7" t="s">
        <v>169</v>
      </c>
      <c r="B102" s="7">
        <v>2</v>
      </c>
      <c r="C102" s="6" t="s">
        <v>346</v>
      </c>
    </row>
    <row r="103" spans="1:3">
      <c r="A103" s="7" t="s">
        <v>170</v>
      </c>
      <c r="B103" s="7">
        <v>3</v>
      </c>
      <c r="C103" s="6" t="s">
        <v>347</v>
      </c>
    </row>
    <row r="104" spans="1:3">
      <c r="A104" s="7" t="s">
        <v>171</v>
      </c>
      <c r="B104" s="7">
        <v>2.5</v>
      </c>
      <c r="C104" s="6" t="s">
        <v>348</v>
      </c>
    </row>
    <row r="105" spans="1:3">
      <c r="A105" s="7" t="s">
        <v>172</v>
      </c>
      <c r="B105" s="7">
        <v>4</v>
      </c>
      <c r="C105" s="6" t="s">
        <v>349</v>
      </c>
    </row>
    <row r="106" spans="1:3">
      <c r="A106" s="7" t="s">
        <v>173</v>
      </c>
      <c r="B106" s="7">
        <v>1.5</v>
      </c>
      <c r="C106" s="6" t="s">
        <v>350</v>
      </c>
    </row>
    <row r="107" spans="1:3">
      <c r="A107" s="7" t="s">
        <v>174</v>
      </c>
      <c r="B107" s="7">
        <v>1</v>
      </c>
      <c r="C107" s="6" t="s">
        <v>351</v>
      </c>
    </row>
    <row r="108" spans="1:3">
      <c r="A108" s="7" t="s">
        <v>175</v>
      </c>
      <c r="B108" s="7">
        <v>2</v>
      </c>
      <c r="C108" s="6" t="s">
        <v>352</v>
      </c>
    </row>
    <row r="109" spans="1:3">
      <c r="A109" s="7" t="s">
        <v>176</v>
      </c>
      <c r="B109" s="7">
        <v>2.5</v>
      </c>
      <c r="C109" s="6" t="s">
        <v>353</v>
      </c>
    </row>
    <row r="110" spans="1:3">
      <c r="A110" s="7" t="s">
        <v>177</v>
      </c>
      <c r="B110" s="7">
        <v>4</v>
      </c>
      <c r="C110" s="6" t="s">
        <v>354</v>
      </c>
    </row>
    <row r="111" spans="1:3">
      <c r="A111" s="7" t="s">
        <v>178</v>
      </c>
      <c r="B111" s="7">
        <v>3</v>
      </c>
      <c r="C111" s="6" t="s">
        <v>355</v>
      </c>
    </row>
    <row r="112" spans="1:3">
      <c r="A112" s="7" t="s">
        <v>179</v>
      </c>
      <c r="B112" s="7">
        <v>2</v>
      </c>
      <c r="C112" s="7" t="s">
        <v>356</v>
      </c>
    </row>
    <row r="113" spans="1:3">
      <c r="A113" s="7" t="s">
        <v>180</v>
      </c>
      <c r="B113" s="7">
        <v>1</v>
      </c>
      <c r="C113" s="7" t="s">
        <v>357</v>
      </c>
    </row>
    <row r="114" spans="1:3">
      <c r="A114" s="7" t="s">
        <v>181</v>
      </c>
      <c r="B114" s="7">
        <v>2</v>
      </c>
      <c r="C114" s="7" t="s">
        <v>358</v>
      </c>
    </row>
    <row r="115" spans="1:3">
      <c r="A115" s="7" t="s">
        <v>182</v>
      </c>
      <c r="B115" s="7">
        <v>2</v>
      </c>
      <c r="C115" s="6" t="s">
        <v>359</v>
      </c>
    </row>
    <row r="116" spans="1:3">
      <c r="A116" s="7" t="s">
        <v>183</v>
      </c>
      <c r="B116" s="7">
        <v>3</v>
      </c>
      <c r="C116" s="6" t="s">
        <v>360</v>
      </c>
    </row>
    <row r="117" spans="1:3">
      <c r="A117" s="7" t="s">
        <v>184</v>
      </c>
      <c r="B117" s="7">
        <v>3</v>
      </c>
      <c r="C117" s="6" t="s">
        <v>361</v>
      </c>
    </row>
    <row r="118" spans="1:3">
      <c r="A118" s="7" t="s">
        <v>185</v>
      </c>
      <c r="B118" s="7">
        <v>0</v>
      </c>
      <c r="C118" s="7" t="s">
        <v>362</v>
      </c>
    </row>
    <row r="119" spans="1:3">
      <c r="A119" s="7" t="s">
        <v>186</v>
      </c>
      <c r="B119" s="7">
        <v>3</v>
      </c>
      <c r="C119" s="6" t="s">
        <v>363</v>
      </c>
    </row>
    <row r="120" spans="1:3">
      <c r="A120" s="7" t="s">
        <v>187</v>
      </c>
      <c r="B120" s="7">
        <v>3</v>
      </c>
      <c r="C120" s="6" t="s">
        <v>364</v>
      </c>
    </row>
    <row r="121" spans="1:3">
      <c r="A121" s="7" t="s">
        <v>188</v>
      </c>
      <c r="B121" s="7">
        <v>2.5</v>
      </c>
      <c r="C121" s="6" t="s">
        <v>365</v>
      </c>
    </row>
    <row r="122" spans="1:3">
      <c r="A122" s="7" t="s">
        <v>189</v>
      </c>
      <c r="B122" s="7" t="s">
        <v>366</v>
      </c>
      <c r="C122" s="6" t="s">
        <v>367</v>
      </c>
    </row>
    <row r="123" spans="1:3">
      <c r="A123" s="7" t="s">
        <v>190</v>
      </c>
      <c r="B123" s="7">
        <v>4.5</v>
      </c>
      <c r="C123" s="6" t="s">
        <v>368</v>
      </c>
    </row>
    <row r="124" spans="1:3">
      <c r="A124" s="7" t="s">
        <v>191</v>
      </c>
      <c r="B124" s="7">
        <v>4</v>
      </c>
      <c r="C124" s="6" t="s">
        <v>369</v>
      </c>
    </row>
    <row r="125" spans="1:3">
      <c r="A125" s="7" t="s">
        <v>192</v>
      </c>
      <c r="B125" s="7">
        <v>2</v>
      </c>
      <c r="C125" s="6" t="s">
        <v>370</v>
      </c>
    </row>
    <row r="126" spans="1:3">
      <c r="A126" s="7" t="s">
        <v>193</v>
      </c>
      <c r="B126" s="7">
        <v>1</v>
      </c>
      <c r="C126" s="6" t="s">
        <v>371</v>
      </c>
    </row>
    <row r="127" spans="1:3">
      <c r="A127" s="7" t="s">
        <v>194</v>
      </c>
      <c r="B127" s="7">
        <v>3.5</v>
      </c>
      <c r="C127" s="6" t="s">
        <v>372</v>
      </c>
    </row>
    <row r="128" spans="1:3">
      <c r="A128" s="7" t="s">
        <v>195</v>
      </c>
      <c r="B128" s="7">
        <v>1.5</v>
      </c>
      <c r="C128" s="6" t="s">
        <v>373</v>
      </c>
    </row>
    <row r="129" spans="1:3">
      <c r="A129" s="7" t="s">
        <v>196</v>
      </c>
      <c r="B129" s="7">
        <v>3.5</v>
      </c>
      <c r="C129" s="6" t="s">
        <v>374</v>
      </c>
    </row>
    <row r="130" spans="1:3">
      <c r="A130" s="7" t="s">
        <v>197</v>
      </c>
      <c r="B130" s="7">
        <v>2</v>
      </c>
      <c r="C130" s="6" t="s">
        <v>375</v>
      </c>
    </row>
    <row r="131" spans="1:3">
      <c r="A131" s="7" t="s">
        <v>198</v>
      </c>
      <c r="B131" s="7">
        <v>1.5</v>
      </c>
      <c r="C131" s="6" t="s">
        <v>376</v>
      </c>
    </row>
    <row r="132" spans="1:3">
      <c r="A132" s="7" t="s">
        <v>199</v>
      </c>
      <c r="B132" s="7">
        <v>2</v>
      </c>
      <c r="C132" s="6" t="s">
        <v>377</v>
      </c>
    </row>
    <row r="133" spans="1:3">
      <c r="A133" s="7" t="s">
        <v>200</v>
      </c>
      <c r="B133" s="7">
        <v>3</v>
      </c>
      <c r="C133" s="6" t="s">
        <v>378</v>
      </c>
    </row>
    <row r="134" spans="1:3">
      <c r="A134" s="7" t="s">
        <v>201</v>
      </c>
      <c r="B134" s="7">
        <v>2.5</v>
      </c>
      <c r="C134" s="6" t="s">
        <v>379</v>
      </c>
    </row>
    <row r="135" spans="1:3">
      <c r="A135" s="7" t="s">
        <v>202</v>
      </c>
      <c r="B135" s="7">
        <v>2</v>
      </c>
      <c r="C135" s="6" t="s">
        <v>380</v>
      </c>
    </row>
    <row r="136" spans="1:3">
      <c r="A136" s="7" t="s">
        <v>203</v>
      </c>
      <c r="B136" s="7">
        <v>3</v>
      </c>
      <c r="C136" s="6" t="s">
        <v>381</v>
      </c>
    </row>
    <row r="137" spans="1:3">
      <c r="A137" s="7" t="s">
        <v>204</v>
      </c>
      <c r="B137" s="7">
        <v>2.5</v>
      </c>
      <c r="C137" s="6" t="s">
        <v>382</v>
      </c>
    </row>
    <row r="138" spans="1:3">
      <c r="A138" s="7" t="s">
        <v>205</v>
      </c>
      <c r="B138" s="7">
        <v>2.5</v>
      </c>
      <c r="C138" s="6" t="s">
        <v>383</v>
      </c>
    </row>
    <row r="139" spans="1:3">
      <c r="A139" s="7" t="s">
        <v>206</v>
      </c>
      <c r="B139" s="7">
        <v>3.5</v>
      </c>
      <c r="C139" s="6" t="s">
        <v>384</v>
      </c>
    </row>
    <row r="140" spans="1:3">
      <c r="A140" s="7" t="s">
        <v>207</v>
      </c>
      <c r="B140" s="7">
        <v>1.5</v>
      </c>
      <c r="C140" s="6" t="s">
        <v>385</v>
      </c>
    </row>
    <row r="141" spans="1:3">
      <c r="A141" s="7" t="s">
        <v>208</v>
      </c>
      <c r="B141" s="7">
        <v>1</v>
      </c>
      <c r="C141" s="6" t="s">
        <v>386</v>
      </c>
    </row>
    <row r="142" spans="1:3">
      <c r="A142" s="7" t="s">
        <v>209</v>
      </c>
      <c r="B142" s="7">
        <v>4.5</v>
      </c>
      <c r="C142" s="6" t="s">
        <v>452</v>
      </c>
    </row>
    <row r="143" spans="1:3">
      <c r="A143" s="7" t="s">
        <v>210</v>
      </c>
      <c r="B143" s="7" t="s">
        <v>211</v>
      </c>
      <c r="C143" s="6" t="s">
        <v>388</v>
      </c>
    </row>
    <row r="144" spans="1:3">
      <c r="A144" s="7" t="s">
        <v>212</v>
      </c>
      <c r="B144" s="7">
        <v>2.5</v>
      </c>
      <c r="C144" s="6" t="s">
        <v>389</v>
      </c>
    </row>
    <row r="145" spans="1:3">
      <c r="A145" s="7" t="s">
        <v>213</v>
      </c>
      <c r="B145" s="7">
        <v>0.5</v>
      </c>
      <c r="C145" s="6" t="s">
        <v>390</v>
      </c>
    </row>
    <row r="146" spans="1:3">
      <c r="A146" s="7" t="s">
        <v>214</v>
      </c>
      <c r="B146" s="7">
        <v>2.5</v>
      </c>
      <c r="C146" s="6" t="s">
        <v>391</v>
      </c>
    </row>
    <row r="147" spans="1:3">
      <c r="A147" s="7" t="s">
        <v>215</v>
      </c>
      <c r="B147" s="7">
        <v>2</v>
      </c>
      <c r="C147" s="6" t="s">
        <v>392</v>
      </c>
    </row>
    <row r="148" spans="1:3">
      <c r="A148" s="7" t="s">
        <v>216</v>
      </c>
      <c r="B148" s="7">
        <v>2</v>
      </c>
      <c r="C148" s="6" t="s">
        <v>393</v>
      </c>
    </row>
    <row r="149" spans="1:3">
      <c r="A149" s="7" t="s">
        <v>217</v>
      </c>
      <c r="B149" s="7">
        <v>3</v>
      </c>
      <c r="C149" s="6" t="s">
        <v>394</v>
      </c>
    </row>
    <row r="150" spans="1:3">
      <c r="A150" s="7" t="s">
        <v>218</v>
      </c>
      <c r="B150" s="7">
        <v>4.5</v>
      </c>
      <c r="C150" s="6" t="s">
        <v>395</v>
      </c>
    </row>
    <row r="151" spans="1:3">
      <c r="A151" s="7" t="s">
        <v>219</v>
      </c>
      <c r="B151" s="7">
        <v>2.5</v>
      </c>
      <c r="C151" s="6" t="s">
        <v>396</v>
      </c>
    </row>
    <row r="152" spans="1:3">
      <c r="A152" s="7" t="s">
        <v>220</v>
      </c>
      <c r="B152" s="7">
        <v>2.5</v>
      </c>
      <c r="C152" s="6" t="s">
        <v>397</v>
      </c>
    </row>
    <row r="153" spans="1:3">
      <c r="A153" s="7" t="s">
        <v>221</v>
      </c>
      <c r="B153" s="7">
        <v>2.5</v>
      </c>
      <c r="C153" s="6" t="s">
        <v>398</v>
      </c>
    </row>
    <row r="154" spans="1:3">
      <c r="A154" s="7" t="s">
        <v>222</v>
      </c>
      <c r="B154" s="7">
        <v>3</v>
      </c>
      <c r="C154" s="6" t="s">
        <v>399</v>
      </c>
    </row>
    <row r="155" spans="1:3">
      <c r="A155" s="7" t="s">
        <v>223</v>
      </c>
      <c r="B155" s="7">
        <v>2</v>
      </c>
      <c r="C155" s="6" t="s">
        <v>400</v>
      </c>
    </row>
    <row r="156" spans="1:3">
      <c r="A156" s="7" t="s">
        <v>224</v>
      </c>
      <c r="B156" s="7">
        <v>3</v>
      </c>
      <c r="C156" s="6" t="s">
        <v>401</v>
      </c>
    </row>
    <row r="157" spans="1:3">
      <c r="A157" s="7" t="s">
        <v>225</v>
      </c>
      <c r="B157" s="7">
        <v>1.5</v>
      </c>
      <c r="C157" s="6" t="s">
        <v>402</v>
      </c>
    </row>
    <row r="158" spans="1:3">
      <c r="A158" s="7" t="s">
        <v>226</v>
      </c>
      <c r="B158" s="7">
        <v>2.5</v>
      </c>
      <c r="C158" s="6" t="s">
        <v>403</v>
      </c>
    </row>
    <row r="159" spans="1:3">
      <c r="A159" s="7" t="s">
        <v>227</v>
      </c>
      <c r="B159" s="7">
        <v>3.5</v>
      </c>
      <c r="C159" s="6" t="s">
        <v>404</v>
      </c>
    </row>
    <row r="160" spans="1:3">
      <c r="A160" s="7" t="s">
        <v>228</v>
      </c>
      <c r="B160" s="7">
        <v>3.5</v>
      </c>
      <c r="C160" s="6" t="s">
        <v>405</v>
      </c>
    </row>
    <row r="161" spans="1:3">
      <c r="A161" s="7" t="s">
        <v>229</v>
      </c>
      <c r="B161" s="7">
        <v>0</v>
      </c>
      <c r="C161" s="6" t="s">
        <v>406</v>
      </c>
    </row>
    <row r="162" spans="1:3">
      <c r="A162" s="7" t="s">
        <v>230</v>
      </c>
      <c r="B162" s="7">
        <v>1</v>
      </c>
      <c r="C162" s="6" t="s">
        <v>407</v>
      </c>
    </row>
    <row r="163" spans="1:3">
      <c r="A163" s="7" t="s">
        <v>231</v>
      </c>
      <c r="B163" s="7">
        <v>1.5</v>
      </c>
      <c r="C163" s="6" t="s">
        <v>408</v>
      </c>
    </row>
    <row r="164" spans="1:3">
      <c r="A164" s="7" t="s">
        <v>232</v>
      </c>
      <c r="B164" s="7">
        <v>2.5</v>
      </c>
      <c r="C164" s="6" t="s">
        <v>409</v>
      </c>
    </row>
    <row r="165" spans="1:3">
      <c r="A165" s="7" t="s">
        <v>233</v>
      </c>
      <c r="B165" s="7">
        <v>2.5</v>
      </c>
      <c r="C165" s="6" t="s">
        <v>410</v>
      </c>
    </row>
    <row r="166" spans="1:3">
      <c r="A166" s="7" t="s">
        <v>234</v>
      </c>
      <c r="B166" s="7">
        <v>3</v>
      </c>
      <c r="C166" s="6" t="s">
        <v>411</v>
      </c>
    </row>
    <row r="167" spans="1:3">
      <c r="A167" s="7" t="s">
        <v>235</v>
      </c>
      <c r="B167" s="7">
        <v>1.5</v>
      </c>
      <c r="C167" s="6" t="s">
        <v>412</v>
      </c>
    </row>
    <row r="168" spans="1:3">
      <c r="A168" s="7" t="s">
        <v>236</v>
      </c>
      <c r="B168" s="7">
        <v>1</v>
      </c>
      <c r="C168" s="6" t="s">
        <v>413</v>
      </c>
    </row>
    <row r="169" spans="1:3">
      <c r="A169" s="7" t="s">
        <v>237</v>
      </c>
      <c r="B169" s="7">
        <v>1.5</v>
      </c>
      <c r="C169" s="6" t="s">
        <v>414</v>
      </c>
    </row>
    <row r="170" spans="1:3">
      <c r="A170" s="7" t="s">
        <v>238</v>
      </c>
      <c r="B170" s="7">
        <v>1.5</v>
      </c>
      <c r="C170" s="6" t="s">
        <v>415</v>
      </c>
    </row>
    <row r="171" spans="1:3">
      <c r="A171" s="7" t="s">
        <v>453</v>
      </c>
      <c r="B171" s="7">
        <v>2.5</v>
      </c>
      <c r="C171" s="6" t="s">
        <v>416</v>
      </c>
    </row>
    <row r="172" spans="1:3">
      <c r="A172" s="7" t="s">
        <v>209</v>
      </c>
      <c r="B172" s="7">
        <v>4.5</v>
      </c>
      <c r="C172" s="6" t="s">
        <v>387</v>
      </c>
    </row>
    <row r="173" spans="1:3">
      <c r="A173" s="7" t="s">
        <v>240</v>
      </c>
      <c r="B173" s="7">
        <v>3</v>
      </c>
      <c r="C173" s="6" t="s">
        <v>417</v>
      </c>
    </row>
    <row r="174" spans="1:3">
      <c r="A174" s="7" t="s">
        <v>241</v>
      </c>
      <c r="B174" s="7">
        <v>2.5</v>
      </c>
      <c r="C174" s="6" t="s">
        <v>418</v>
      </c>
    </row>
    <row r="175" spans="1:3">
      <c r="A175" s="7" t="s">
        <v>242</v>
      </c>
      <c r="B175" s="7">
        <v>4</v>
      </c>
      <c r="C175" s="6" t="s">
        <v>419</v>
      </c>
    </row>
    <row r="176" spans="1:3">
      <c r="A176" s="7" t="s">
        <v>243</v>
      </c>
      <c r="B176" s="7">
        <v>3</v>
      </c>
      <c r="C176" s="6" t="s">
        <v>420</v>
      </c>
    </row>
    <row r="177" spans="1:3">
      <c r="A177" s="7" t="s">
        <v>244</v>
      </c>
      <c r="B177" s="7">
        <v>2</v>
      </c>
      <c r="C177" s="6" t="s">
        <v>421</v>
      </c>
    </row>
    <row r="178" spans="1:3">
      <c r="A178" s="7" t="s">
        <v>219</v>
      </c>
      <c r="B178" s="7">
        <v>2.5</v>
      </c>
      <c r="C178" s="6" t="s">
        <v>396</v>
      </c>
    </row>
    <row r="179" spans="1:3">
      <c r="A179" s="7" t="s">
        <v>245</v>
      </c>
      <c r="B179" s="7">
        <v>3</v>
      </c>
      <c r="C179" s="6" t="s">
        <v>422</v>
      </c>
    </row>
    <row r="180" spans="1:3">
      <c r="A180" s="7" t="s">
        <v>221</v>
      </c>
      <c r="B180" s="7">
        <v>2.5</v>
      </c>
      <c r="C180" s="6" t="s">
        <v>398</v>
      </c>
    </row>
    <row r="181" spans="1:3">
      <c r="A181" s="7" t="s">
        <v>246</v>
      </c>
      <c r="B181" s="7">
        <v>3.5</v>
      </c>
      <c r="C181" s="6" t="s">
        <v>423</v>
      </c>
    </row>
    <row r="182" spans="1:3">
      <c r="A182" s="7" t="s">
        <v>247</v>
      </c>
      <c r="B182" s="7">
        <v>3</v>
      </c>
      <c r="C182" s="6" t="s">
        <v>424</v>
      </c>
    </row>
    <row r="183" spans="1:3">
      <c r="A183" s="7" t="s">
        <v>248</v>
      </c>
      <c r="B183" s="7">
        <v>0.5</v>
      </c>
      <c r="C183" s="6" t="s">
        <v>425</v>
      </c>
    </row>
    <row r="184" spans="1:3">
      <c r="A184" s="7" t="s">
        <v>249</v>
      </c>
      <c r="B184" s="7">
        <v>1.5</v>
      </c>
      <c r="C184" s="6" t="s">
        <v>426</v>
      </c>
    </row>
    <row r="185" spans="1:3">
      <c r="A185" s="7" t="s">
        <v>250</v>
      </c>
      <c r="B185" s="7">
        <v>2</v>
      </c>
      <c r="C185" s="6" t="s">
        <v>427</v>
      </c>
    </row>
    <row r="186" spans="1:3">
      <c r="A186" s="7" t="s">
        <v>251</v>
      </c>
      <c r="B186" s="7">
        <v>1.5</v>
      </c>
      <c r="C186" s="7" t="s">
        <v>428</v>
      </c>
    </row>
    <row r="187" spans="1:3">
      <c r="A187" s="7" t="s">
        <v>252</v>
      </c>
      <c r="B187" s="7">
        <v>2.5</v>
      </c>
      <c r="C187" s="6" t="s">
        <v>429</v>
      </c>
    </row>
    <row r="188" spans="1:3">
      <c r="A188" s="7" t="s">
        <v>253</v>
      </c>
      <c r="B188" s="7">
        <v>2</v>
      </c>
      <c r="C188" s="6" t="s">
        <v>430</v>
      </c>
    </row>
    <row r="189" spans="1:3">
      <c r="A189" s="7" t="s">
        <v>254</v>
      </c>
      <c r="B189" s="7">
        <v>1</v>
      </c>
      <c r="C189" s="6" t="s">
        <v>431</v>
      </c>
    </row>
    <row r="190" spans="1:3">
      <c r="A190" s="7" t="s">
        <v>255</v>
      </c>
      <c r="B190" s="7">
        <v>1</v>
      </c>
      <c r="C190" s="6" t="s">
        <v>432</v>
      </c>
    </row>
    <row r="191" spans="1:3">
      <c r="A191" s="7" t="s">
        <v>256</v>
      </c>
      <c r="B191" s="7">
        <v>2.5</v>
      </c>
      <c r="C191" s="6" t="s">
        <v>433</v>
      </c>
    </row>
    <row r="192" spans="1:3">
      <c r="A192" s="7" t="s">
        <v>257</v>
      </c>
      <c r="B192" s="7">
        <v>1.5</v>
      </c>
      <c r="C192" s="6" t="s">
        <v>434</v>
      </c>
    </row>
    <row r="193" spans="1:3">
      <c r="A193" s="7" t="s">
        <v>258</v>
      </c>
      <c r="B193" s="7">
        <v>1.5</v>
      </c>
      <c r="C193" s="6" t="s">
        <v>435</v>
      </c>
    </row>
    <row r="194" spans="1:3">
      <c r="A194" s="7" t="s">
        <v>259</v>
      </c>
      <c r="B194" s="7">
        <v>3.5</v>
      </c>
      <c r="C194" s="6" t="s">
        <v>436</v>
      </c>
    </row>
    <row r="195" spans="1:3">
      <c r="A195" s="7" t="s">
        <v>260</v>
      </c>
      <c r="B195" s="7">
        <v>2.5</v>
      </c>
      <c r="C195" s="6" t="s">
        <v>437</v>
      </c>
    </row>
    <row r="196" spans="1:3">
      <c r="A196" s="7" t="s">
        <v>261</v>
      </c>
      <c r="B196" s="7">
        <v>4</v>
      </c>
      <c r="C196" s="6" t="s">
        <v>438</v>
      </c>
    </row>
    <row r="197" spans="1:3">
      <c r="A197" s="7" t="s">
        <v>262</v>
      </c>
      <c r="B197" s="7">
        <v>3</v>
      </c>
      <c r="C197" s="6" t="s">
        <v>439</v>
      </c>
    </row>
    <row r="198" spans="1:3">
      <c r="A198" s="7" t="s">
        <v>263</v>
      </c>
      <c r="B198" s="7">
        <v>4</v>
      </c>
      <c r="C198" s="6" t="s">
        <v>440</v>
      </c>
    </row>
    <row r="199" spans="1:3">
      <c r="A199" s="7" t="s">
        <v>264</v>
      </c>
      <c r="B199" s="7">
        <v>3</v>
      </c>
      <c r="C199" s="6" t="s">
        <v>441</v>
      </c>
    </row>
    <row r="200" spans="1:3">
      <c r="A200" s="7" t="s">
        <v>265</v>
      </c>
      <c r="B200" s="7">
        <v>2.5</v>
      </c>
      <c r="C200" s="6" t="s">
        <v>442</v>
      </c>
    </row>
    <row r="201" spans="1:3">
      <c r="A201" s="7" t="s">
        <v>266</v>
      </c>
      <c r="B201" s="7">
        <v>3</v>
      </c>
      <c r="C201" s="6" t="s">
        <v>443</v>
      </c>
    </row>
    <row r="202" spans="1:3">
      <c r="A202" s="7" t="s">
        <v>267</v>
      </c>
      <c r="B202" s="7">
        <v>4</v>
      </c>
      <c r="C202" s="6" t="s">
        <v>444</v>
      </c>
    </row>
    <row r="203" spans="1:3">
      <c r="A203" s="7" t="s">
        <v>268</v>
      </c>
      <c r="B203" s="7">
        <v>4.5</v>
      </c>
      <c r="C203" s="6" t="s">
        <v>445</v>
      </c>
    </row>
    <row r="204" spans="1:3">
      <c r="A204" s="7" t="s">
        <v>269</v>
      </c>
      <c r="B204" s="7">
        <v>4.5</v>
      </c>
      <c r="C204" s="6" t="s">
        <v>446</v>
      </c>
    </row>
    <row r="205" spans="1:3">
      <c r="A205" s="7" t="s">
        <v>270</v>
      </c>
      <c r="B205" s="7">
        <v>1</v>
      </c>
      <c r="C205" s="6" t="s">
        <v>447</v>
      </c>
    </row>
    <row r="206" spans="1:3">
      <c r="A206" s="7" t="s">
        <v>271</v>
      </c>
      <c r="B206" s="7">
        <v>2.5</v>
      </c>
      <c r="C206" s="7" t="s">
        <v>448</v>
      </c>
    </row>
    <row r="207" spans="1:3">
      <c r="A207" s="7" t="s">
        <v>449</v>
      </c>
      <c r="B207" s="7">
        <v>0</v>
      </c>
      <c r="C207" s="6" t="s">
        <v>450</v>
      </c>
    </row>
  </sheetData>
  <phoneticPr fontId="5"/>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3"/>
  <dimension ref="A1:C205"/>
  <sheetViews>
    <sheetView workbookViewId="0">
      <selection activeCell="D45" sqref="D45"/>
    </sheetView>
  </sheetViews>
  <sheetFormatPr defaultRowHeight="11.25"/>
  <cols>
    <col min="1" max="16384" width="9" style="1"/>
  </cols>
  <sheetData>
    <row r="1" spans="1:3">
      <c r="A1" s="1">
        <v>1</v>
      </c>
      <c r="B1" s="1" t="s">
        <v>239</v>
      </c>
      <c r="C1" s="1">
        <v>1.9</v>
      </c>
    </row>
    <row r="2" spans="1:3">
      <c r="A2" s="1">
        <v>2</v>
      </c>
      <c r="B2" s="1" t="s">
        <v>209</v>
      </c>
      <c r="C2" s="1">
        <v>10</v>
      </c>
    </row>
    <row r="3" spans="1:3">
      <c r="A3" s="1">
        <v>3</v>
      </c>
      <c r="B3" s="1" t="s">
        <v>240</v>
      </c>
      <c r="C3" s="1">
        <v>9.5</v>
      </c>
    </row>
    <row r="4" spans="1:3">
      <c r="A4" s="1">
        <v>4</v>
      </c>
      <c r="B4" s="1" t="s">
        <v>241</v>
      </c>
      <c r="C4" s="1">
        <v>1.7</v>
      </c>
    </row>
    <row r="5" spans="1:3">
      <c r="A5" s="1">
        <v>5</v>
      </c>
      <c r="B5" s="1" t="s">
        <v>242</v>
      </c>
      <c r="C5" s="1">
        <v>9.6999999999999993</v>
      </c>
    </row>
    <row r="6" spans="1:3">
      <c r="A6" s="1">
        <v>6</v>
      </c>
      <c r="B6" s="2" t="s">
        <v>451</v>
      </c>
      <c r="C6" s="1">
        <v>10</v>
      </c>
    </row>
    <row r="7" spans="1:3">
      <c r="A7" s="1">
        <v>7</v>
      </c>
      <c r="B7" s="1" t="s">
        <v>244</v>
      </c>
      <c r="C7" s="1">
        <v>5.4</v>
      </c>
    </row>
    <row r="8" spans="1:3">
      <c r="A8" s="1">
        <v>8</v>
      </c>
      <c r="B8" s="1" t="s">
        <v>219</v>
      </c>
      <c r="C8" s="1">
        <v>1</v>
      </c>
    </row>
    <row r="9" spans="1:3">
      <c r="A9" s="1">
        <v>9</v>
      </c>
      <c r="B9" s="1" t="s">
        <v>245</v>
      </c>
      <c r="C9" s="1">
        <v>1.1000000000000001</v>
      </c>
    </row>
    <row r="10" spans="1:3">
      <c r="A10" s="1">
        <v>10</v>
      </c>
      <c r="B10" s="1" t="s">
        <v>221</v>
      </c>
      <c r="C10" s="1">
        <v>1.2</v>
      </c>
    </row>
    <row r="11" spans="1:3">
      <c r="A11" s="1">
        <v>11</v>
      </c>
      <c r="B11" s="1" t="s">
        <v>246</v>
      </c>
      <c r="C11" s="1">
        <v>1.7</v>
      </c>
    </row>
    <row r="12" spans="1:3">
      <c r="A12" s="1">
        <v>12</v>
      </c>
      <c r="B12" s="1" t="s">
        <v>247</v>
      </c>
      <c r="C12" s="1">
        <v>1.4</v>
      </c>
    </row>
    <row r="13" spans="1:3">
      <c r="A13" s="1">
        <v>13</v>
      </c>
      <c r="B13" s="1" t="s">
        <v>1</v>
      </c>
      <c r="C13" s="1">
        <v>2.5</v>
      </c>
    </row>
    <row r="14" spans="1:3">
      <c r="A14" s="1">
        <v>14</v>
      </c>
      <c r="B14" s="1" t="s">
        <v>3</v>
      </c>
      <c r="C14" s="1">
        <v>1</v>
      </c>
    </row>
    <row r="15" spans="1:3">
      <c r="A15" s="1">
        <v>15</v>
      </c>
      <c r="B15" s="1" t="s">
        <v>278</v>
      </c>
      <c r="C15" s="1">
        <v>8.8000000000000007</v>
      </c>
    </row>
    <row r="16" spans="1:3">
      <c r="A16" s="1">
        <v>16</v>
      </c>
      <c r="B16" s="1" t="s">
        <v>7</v>
      </c>
      <c r="C16" s="1">
        <v>1.9</v>
      </c>
    </row>
    <row r="17" spans="1:3">
      <c r="A17" s="1">
        <v>17</v>
      </c>
      <c r="B17" s="1" t="s">
        <v>275</v>
      </c>
      <c r="C17" s="1">
        <v>9.6999999999999993</v>
      </c>
    </row>
    <row r="18" spans="1:3">
      <c r="A18" s="1">
        <v>18</v>
      </c>
      <c r="B18" s="1" t="s">
        <v>11</v>
      </c>
      <c r="C18" s="1">
        <v>2.2999999999999998</v>
      </c>
    </row>
    <row r="19" spans="1:3">
      <c r="A19" s="1">
        <v>19</v>
      </c>
      <c r="B19" s="1" t="s">
        <v>13</v>
      </c>
      <c r="C19" s="1">
        <v>1.2</v>
      </c>
    </row>
    <row r="20" spans="1:3">
      <c r="A20" s="1">
        <v>20</v>
      </c>
      <c r="B20" s="1" t="s">
        <v>15</v>
      </c>
      <c r="C20" s="1">
        <v>0.6</v>
      </c>
    </row>
    <row r="21" spans="1:3">
      <c r="A21" s="1">
        <v>21</v>
      </c>
      <c r="B21" s="1" t="s">
        <v>17</v>
      </c>
      <c r="C21" s="1">
        <v>1.4</v>
      </c>
    </row>
    <row r="22" spans="1:3">
      <c r="A22" s="1">
        <v>22</v>
      </c>
      <c r="B22" s="1" t="s">
        <v>19</v>
      </c>
      <c r="C22" s="1">
        <v>2.2000000000000002</v>
      </c>
    </row>
    <row r="23" spans="1:3">
      <c r="A23" s="1">
        <v>23</v>
      </c>
      <c r="B23" s="1" t="s">
        <v>284</v>
      </c>
      <c r="C23" s="1">
        <v>2.8</v>
      </c>
    </row>
    <row r="24" spans="1:3">
      <c r="A24" s="1">
        <v>24</v>
      </c>
      <c r="B24" s="1" t="s">
        <v>23</v>
      </c>
      <c r="C24" s="1">
        <v>3.4</v>
      </c>
    </row>
    <row r="25" spans="1:3">
      <c r="A25" s="1">
        <v>25</v>
      </c>
      <c r="B25" s="1" t="s">
        <v>25</v>
      </c>
      <c r="C25" s="1">
        <v>1.1000000000000001</v>
      </c>
    </row>
    <row r="26" spans="1:3">
      <c r="A26" s="1">
        <v>26</v>
      </c>
      <c r="B26" s="1" t="s">
        <v>27</v>
      </c>
      <c r="C26" s="1">
        <v>1.1000000000000001</v>
      </c>
    </row>
    <row r="27" spans="1:3">
      <c r="A27" s="1">
        <v>27</v>
      </c>
      <c r="B27" s="1" t="s">
        <v>29</v>
      </c>
      <c r="C27" s="1">
        <v>1.4</v>
      </c>
    </row>
    <row r="28" spans="1:3">
      <c r="A28" s="1">
        <v>28</v>
      </c>
      <c r="B28" s="1" t="s">
        <v>273</v>
      </c>
      <c r="C28" s="1">
        <v>10</v>
      </c>
    </row>
    <row r="29" spans="1:3">
      <c r="A29" s="1">
        <v>29</v>
      </c>
      <c r="B29" s="1" t="s">
        <v>33</v>
      </c>
      <c r="C29" s="1">
        <v>1</v>
      </c>
    </row>
    <row r="30" spans="1:3">
      <c r="A30" s="1">
        <v>30</v>
      </c>
      <c r="B30" s="1" t="s">
        <v>35</v>
      </c>
      <c r="C30" s="1">
        <v>1.1000000000000001</v>
      </c>
    </row>
    <row r="31" spans="1:3">
      <c r="A31" s="1">
        <v>31</v>
      </c>
      <c r="B31" s="1" t="s">
        <v>37</v>
      </c>
      <c r="C31" s="1">
        <v>1.1000000000000001</v>
      </c>
    </row>
    <row r="32" spans="1:3">
      <c r="A32" s="1">
        <v>32</v>
      </c>
      <c r="B32" s="1" t="s">
        <v>39</v>
      </c>
      <c r="C32" s="1">
        <v>0.7</v>
      </c>
    </row>
    <row r="33" spans="1:3">
      <c r="A33" s="1">
        <v>33</v>
      </c>
      <c r="B33" s="1" t="s">
        <v>283</v>
      </c>
      <c r="C33" s="1">
        <v>3.4</v>
      </c>
    </row>
    <row r="34" spans="1:3">
      <c r="A34" s="1">
        <v>34</v>
      </c>
      <c r="B34" s="1" t="s">
        <v>43</v>
      </c>
      <c r="C34" s="1">
        <v>1</v>
      </c>
    </row>
    <row r="35" spans="1:3">
      <c r="A35" s="1">
        <v>35</v>
      </c>
      <c r="B35" s="1" t="s">
        <v>45</v>
      </c>
      <c r="C35" s="1">
        <v>1</v>
      </c>
    </row>
    <row r="36" spans="1:3">
      <c r="A36" s="1">
        <v>36</v>
      </c>
      <c r="B36" s="1" t="s">
        <v>47</v>
      </c>
      <c r="C36" s="1">
        <v>0.8</v>
      </c>
    </row>
    <row r="37" spans="1:3">
      <c r="A37" s="1">
        <v>37</v>
      </c>
      <c r="B37" s="1" t="s">
        <v>49</v>
      </c>
      <c r="C37" s="1">
        <v>0.9</v>
      </c>
    </row>
    <row r="38" spans="1:3">
      <c r="A38" s="1">
        <v>38</v>
      </c>
      <c r="B38" s="1" t="s">
        <v>305</v>
      </c>
      <c r="C38" s="1">
        <v>1</v>
      </c>
    </row>
    <row r="39" spans="1:3">
      <c r="A39" s="1">
        <v>39</v>
      </c>
      <c r="B39" s="1" t="s">
        <v>51</v>
      </c>
      <c r="C39" s="1">
        <v>9.4</v>
      </c>
    </row>
    <row r="40" spans="1:3">
      <c r="A40" s="1">
        <v>40</v>
      </c>
      <c r="B40" s="1" t="s">
        <v>53</v>
      </c>
      <c r="C40" s="1">
        <v>9.1</v>
      </c>
    </row>
    <row r="41" spans="1:3">
      <c r="A41" s="1">
        <v>41</v>
      </c>
      <c r="B41" s="1" t="s">
        <v>55</v>
      </c>
      <c r="C41" s="1">
        <v>0.9</v>
      </c>
    </row>
    <row r="42" spans="1:3">
      <c r="A42" s="1">
        <v>42</v>
      </c>
      <c r="B42" s="1" t="s">
        <v>57</v>
      </c>
      <c r="C42" s="1">
        <v>1.7</v>
      </c>
    </row>
    <row r="43" spans="1:3">
      <c r="A43" s="1">
        <v>43</v>
      </c>
      <c r="B43" s="1" t="s">
        <v>59</v>
      </c>
      <c r="C43" s="1">
        <v>1</v>
      </c>
    </row>
    <row r="44" spans="1:3">
      <c r="A44" s="1">
        <v>44</v>
      </c>
      <c r="B44" s="1" t="s">
        <v>61</v>
      </c>
      <c r="C44" s="1">
        <v>1.1000000000000001</v>
      </c>
    </row>
    <row r="45" spans="1:3">
      <c r="A45" s="1">
        <v>45</v>
      </c>
      <c r="B45" s="1" t="s">
        <v>63</v>
      </c>
      <c r="C45" s="1">
        <v>3.8</v>
      </c>
    </row>
    <row r="46" spans="1:3">
      <c r="A46" s="1">
        <v>46</v>
      </c>
      <c r="B46" s="1" t="s">
        <v>65</v>
      </c>
      <c r="C46" s="1">
        <v>10</v>
      </c>
    </row>
    <row r="47" spans="1:3">
      <c r="A47" s="1">
        <v>47</v>
      </c>
      <c r="B47" s="1" t="s">
        <v>277</v>
      </c>
      <c r="C47" s="1">
        <v>8.8000000000000007</v>
      </c>
    </row>
    <row r="48" spans="1:3">
      <c r="A48" s="1">
        <v>48</v>
      </c>
      <c r="B48" s="1" t="s">
        <v>70</v>
      </c>
      <c r="C48" s="1">
        <v>1</v>
      </c>
    </row>
    <row r="49" spans="1:3">
      <c r="A49" s="1">
        <v>49</v>
      </c>
      <c r="B49" s="1" t="s">
        <v>72</v>
      </c>
      <c r="C49" s="1">
        <v>2.7</v>
      </c>
    </row>
    <row r="50" spans="1:3">
      <c r="A50" s="1">
        <v>50</v>
      </c>
      <c r="B50" s="1" t="s">
        <v>74</v>
      </c>
      <c r="C50" s="1">
        <v>1.4</v>
      </c>
    </row>
    <row r="51" spans="1:3">
      <c r="A51" s="1">
        <v>51</v>
      </c>
      <c r="B51" s="1" t="s">
        <v>76</v>
      </c>
      <c r="C51" s="1">
        <v>0.7</v>
      </c>
    </row>
    <row r="52" spans="1:3">
      <c r="A52" s="1">
        <v>52</v>
      </c>
      <c r="B52" s="1" t="s">
        <v>78</v>
      </c>
      <c r="C52" s="1">
        <v>0.7</v>
      </c>
    </row>
    <row r="53" spans="1:3">
      <c r="A53" s="1">
        <v>53</v>
      </c>
      <c r="B53" s="1" t="s">
        <v>80</v>
      </c>
      <c r="C53" s="1">
        <v>0.9</v>
      </c>
    </row>
    <row r="54" spans="1:3">
      <c r="A54" s="1">
        <v>54</v>
      </c>
      <c r="B54" s="1" t="s">
        <v>298</v>
      </c>
      <c r="C54" s="1">
        <v>1.5</v>
      </c>
    </row>
    <row r="55" spans="1:3">
      <c r="A55" s="1">
        <v>55</v>
      </c>
      <c r="B55" s="1" t="s">
        <v>84</v>
      </c>
      <c r="C55" s="1">
        <v>0.8</v>
      </c>
    </row>
    <row r="56" spans="1:3">
      <c r="A56" s="1">
        <v>56</v>
      </c>
      <c r="B56" s="1" t="s">
        <v>281</v>
      </c>
      <c r="C56" s="1">
        <v>7.3</v>
      </c>
    </row>
    <row r="57" spans="1:3">
      <c r="A57" s="1">
        <v>57</v>
      </c>
      <c r="B57" s="1" t="s">
        <v>88</v>
      </c>
      <c r="C57" s="1">
        <v>1</v>
      </c>
    </row>
    <row r="58" spans="1:3">
      <c r="A58" s="1">
        <v>58</v>
      </c>
      <c r="B58" s="1" t="s">
        <v>90</v>
      </c>
      <c r="C58" s="1">
        <v>1</v>
      </c>
    </row>
    <row r="59" spans="1:3">
      <c r="A59" s="1">
        <v>59</v>
      </c>
      <c r="B59" s="1" t="s">
        <v>92</v>
      </c>
      <c r="C59" s="1">
        <v>1</v>
      </c>
    </row>
    <row r="60" spans="1:3">
      <c r="A60" s="1">
        <v>60</v>
      </c>
      <c r="B60" s="1" t="s">
        <v>94</v>
      </c>
      <c r="C60" s="1">
        <v>1</v>
      </c>
    </row>
    <row r="61" spans="1:3">
      <c r="A61" s="1">
        <v>61</v>
      </c>
      <c r="B61" s="1" t="s">
        <v>304</v>
      </c>
      <c r="C61" s="1">
        <v>1</v>
      </c>
    </row>
    <row r="62" spans="1:3">
      <c r="A62" s="1">
        <v>62</v>
      </c>
      <c r="B62" s="1" t="s">
        <v>98</v>
      </c>
      <c r="C62" s="1">
        <v>1.7</v>
      </c>
    </row>
    <row r="63" spans="1:3">
      <c r="A63" s="1">
        <v>63</v>
      </c>
      <c r="B63" s="1" t="s">
        <v>297</v>
      </c>
      <c r="C63" s="1">
        <v>1.6</v>
      </c>
    </row>
    <row r="64" spans="1:3">
      <c r="A64" s="1">
        <v>64</v>
      </c>
      <c r="B64" s="1" t="s">
        <v>102</v>
      </c>
      <c r="C64" s="1">
        <v>4.4000000000000004</v>
      </c>
    </row>
    <row r="65" spans="1:3">
      <c r="A65" s="1">
        <v>65</v>
      </c>
      <c r="B65" s="1" t="s">
        <v>104</v>
      </c>
      <c r="C65" s="1">
        <v>5.5</v>
      </c>
    </row>
    <row r="66" spans="1:3">
      <c r="A66" s="1">
        <v>66</v>
      </c>
      <c r="B66" s="1" t="s">
        <v>106</v>
      </c>
      <c r="C66" s="1">
        <v>1.2</v>
      </c>
    </row>
    <row r="67" spans="1:3">
      <c r="A67" s="1">
        <v>67</v>
      </c>
      <c r="B67" s="1" t="s">
        <v>108</v>
      </c>
      <c r="C67" s="1">
        <v>0.9</v>
      </c>
    </row>
    <row r="68" spans="1:3">
      <c r="A68" s="1">
        <v>68</v>
      </c>
      <c r="B68" s="1" t="s">
        <v>110</v>
      </c>
      <c r="C68" s="1">
        <v>0.9</v>
      </c>
    </row>
    <row r="69" spans="1:3">
      <c r="A69" s="1">
        <v>69</v>
      </c>
      <c r="B69" s="1" t="s">
        <v>112</v>
      </c>
      <c r="C69" s="1">
        <v>4.2</v>
      </c>
    </row>
    <row r="70" spans="1:3">
      <c r="A70" s="1">
        <v>70</v>
      </c>
      <c r="B70" s="1" t="s">
        <v>310</v>
      </c>
      <c r="C70" s="1">
        <v>0.9</v>
      </c>
    </row>
    <row r="71" spans="1:3">
      <c r="A71" s="1">
        <v>71</v>
      </c>
      <c r="B71" s="1" t="s">
        <v>116</v>
      </c>
      <c r="C71" s="1">
        <v>2.7</v>
      </c>
    </row>
    <row r="72" spans="1:3">
      <c r="A72" s="1">
        <v>72</v>
      </c>
      <c r="B72" s="1" t="s">
        <v>118</v>
      </c>
      <c r="C72" s="1">
        <v>9.9</v>
      </c>
    </row>
    <row r="73" spans="1:3">
      <c r="A73" s="1">
        <v>73</v>
      </c>
      <c r="B73" s="1" t="s">
        <v>120</v>
      </c>
      <c r="C73" s="1">
        <v>1</v>
      </c>
    </row>
    <row r="74" spans="1:3">
      <c r="A74" s="1">
        <v>74</v>
      </c>
      <c r="B74" s="1" t="s">
        <v>122</v>
      </c>
      <c r="C74" s="1">
        <v>0.9</v>
      </c>
    </row>
    <row r="75" spans="1:3">
      <c r="A75" s="1">
        <v>75</v>
      </c>
      <c r="B75" s="1" t="s">
        <v>124</v>
      </c>
      <c r="C75" s="1">
        <v>0.9</v>
      </c>
    </row>
    <row r="76" spans="1:3">
      <c r="A76" s="1">
        <v>76</v>
      </c>
      <c r="B76" s="1" t="s">
        <v>126</v>
      </c>
      <c r="C76" s="1">
        <v>1</v>
      </c>
    </row>
    <row r="77" spans="1:3">
      <c r="A77" s="1">
        <v>77</v>
      </c>
      <c r="B77" s="1" t="s">
        <v>128</v>
      </c>
      <c r="C77" s="1">
        <v>1.3</v>
      </c>
    </row>
    <row r="78" spans="1:3">
      <c r="A78" s="1">
        <v>78</v>
      </c>
      <c r="B78" s="1" t="s">
        <v>130</v>
      </c>
      <c r="C78" s="1">
        <v>0.8</v>
      </c>
    </row>
    <row r="79" spans="1:3">
      <c r="A79" s="1">
        <v>79</v>
      </c>
      <c r="B79" s="1" t="s">
        <v>132</v>
      </c>
      <c r="C79" s="1">
        <v>1.3</v>
      </c>
    </row>
    <row r="80" spans="1:3">
      <c r="A80" s="1">
        <v>80</v>
      </c>
      <c r="B80" s="1" t="s">
        <v>134</v>
      </c>
      <c r="C80" s="1">
        <v>7.6</v>
      </c>
    </row>
    <row r="81" spans="1:3">
      <c r="A81" s="1">
        <v>81</v>
      </c>
      <c r="B81" s="1" t="s">
        <v>136</v>
      </c>
      <c r="C81" s="1">
        <v>1.6</v>
      </c>
    </row>
    <row r="82" spans="1:3">
      <c r="A82" s="1">
        <v>82</v>
      </c>
      <c r="B82" s="1" t="s">
        <v>137</v>
      </c>
      <c r="C82" s="1">
        <v>1</v>
      </c>
    </row>
    <row r="83" spans="1:3">
      <c r="A83" s="1">
        <v>83</v>
      </c>
      <c r="B83" s="1" t="s">
        <v>138</v>
      </c>
      <c r="C83" s="1">
        <v>0.9</v>
      </c>
    </row>
    <row r="84" spans="1:3">
      <c r="A84" s="1">
        <v>84</v>
      </c>
      <c r="B84" s="1" t="s">
        <v>139</v>
      </c>
      <c r="C84" s="1">
        <v>1</v>
      </c>
    </row>
    <row r="85" spans="1:3">
      <c r="A85" s="1">
        <v>85</v>
      </c>
      <c r="B85" s="1" t="s">
        <v>140</v>
      </c>
      <c r="C85" s="1">
        <v>7</v>
      </c>
    </row>
    <row r="86" spans="1:3">
      <c r="A86" s="1">
        <v>86</v>
      </c>
      <c r="B86" s="1" t="s">
        <v>141</v>
      </c>
      <c r="C86" s="1">
        <v>9.1999999999999993</v>
      </c>
    </row>
    <row r="87" spans="1:3">
      <c r="A87" s="1">
        <v>87</v>
      </c>
      <c r="B87" s="1" t="s">
        <v>142</v>
      </c>
      <c r="C87" s="1">
        <v>8.8000000000000007</v>
      </c>
    </row>
    <row r="88" spans="1:3">
      <c r="A88" s="1">
        <v>88</v>
      </c>
      <c r="B88" s="1" t="s">
        <v>143</v>
      </c>
      <c r="C88" s="1">
        <v>1.6</v>
      </c>
    </row>
    <row r="89" spans="1:3">
      <c r="A89" s="1">
        <v>89</v>
      </c>
      <c r="B89" s="1" t="s">
        <v>144</v>
      </c>
      <c r="C89" s="1">
        <v>1</v>
      </c>
    </row>
    <row r="90" spans="1:3">
      <c r="A90" s="1">
        <v>90</v>
      </c>
      <c r="B90" s="1" t="s">
        <v>145</v>
      </c>
      <c r="C90" s="1">
        <v>1.1000000000000001</v>
      </c>
    </row>
    <row r="91" spans="1:3">
      <c r="A91" s="1">
        <v>91</v>
      </c>
      <c r="B91" s="1" t="s">
        <v>301</v>
      </c>
      <c r="C91" s="1">
        <v>1.3</v>
      </c>
    </row>
    <row r="92" spans="1:3">
      <c r="A92" s="1">
        <v>92</v>
      </c>
      <c r="B92" s="1" t="s">
        <v>147</v>
      </c>
      <c r="C92" s="1">
        <v>2.5</v>
      </c>
    </row>
    <row r="93" spans="1:3">
      <c r="A93" s="1">
        <v>93</v>
      </c>
      <c r="B93" s="1" t="s">
        <v>0</v>
      </c>
      <c r="C93" s="1">
        <v>10</v>
      </c>
    </row>
    <row r="94" spans="1:3">
      <c r="A94" s="1">
        <v>94</v>
      </c>
      <c r="B94" s="1" t="s">
        <v>295</v>
      </c>
      <c r="C94" s="1">
        <v>1.7</v>
      </c>
    </row>
    <row r="95" spans="1:3">
      <c r="A95" s="1">
        <v>95</v>
      </c>
      <c r="B95" s="1" t="s">
        <v>149</v>
      </c>
      <c r="C95" s="1">
        <v>2.1</v>
      </c>
    </row>
    <row r="96" spans="1:3">
      <c r="A96" s="1">
        <v>96</v>
      </c>
      <c r="B96" s="1" t="s">
        <v>294</v>
      </c>
      <c r="C96" s="1">
        <v>1.7</v>
      </c>
    </row>
    <row r="97" spans="1:3">
      <c r="A97" s="1">
        <v>97</v>
      </c>
      <c r="B97" s="1" t="s">
        <v>151</v>
      </c>
      <c r="C97" s="1">
        <v>5</v>
      </c>
    </row>
    <row r="98" spans="1:3">
      <c r="A98" s="1">
        <v>98</v>
      </c>
      <c r="B98" s="1" t="s">
        <v>152</v>
      </c>
      <c r="C98" s="1">
        <v>8</v>
      </c>
    </row>
    <row r="99" spans="1:3">
      <c r="A99" s="1">
        <v>99</v>
      </c>
      <c r="B99" s="1" t="s">
        <v>153</v>
      </c>
      <c r="C99" s="1">
        <v>3.3</v>
      </c>
    </row>
    <row r="100" spans="1:3">
      <c r="A100" s="1">
        <v>100</v>
      </c>
      <c r="B100" s="1" t="s">
        <v>300</v>
      </c>
      <c r="C100" s="1">
        <v>1.5</v>
      </c>
    </row>
    <row r="101" spans="1:3">
      <c r="A101" s="1">
        <v>101</v>
      </c>
      <c r="B101" s="1" t="s">
        <v>155</v>
      </c>
      <c r="C101" s="1">
        <v>0.8</v>
      </c>
    </row>
    <row r="102" spans="1:3">
      <c r="A102" s="1">
        <v>102</v>
      </c>
      <c r="B102" s="1" t="s">
        <v>156</v>
      </c>
      <c r="C102" s="1">
        <v>1.1000000000000001</v>
      </c>
    </row>
    <row r="103" spans="1:3">
      <c r="A103" s="1">
        <v>103</v>
      </c>
      <c r="B103" s="1" t="s">
        <v>157</v>
      </c>
      <c r="C103" s="1">
        <v>2.2999999999999998</v>
      </c>
    </row>
    <row r="104" spans="1:3">
      <c r="A104" s="1">
        <v>104</v>
      </c>
      <c r="B104" s="1" t="s">
        <v>158</v>
      </c>
      <c r="C104" s="1">
        <v>1</v>
      </c>
    </row>
    <row r="105" spans="1:3">
      <c r="A105" s="1">
        <v>105</v>
      </c>
      <c r="B105" s="1" t="s">
        <v>159</v>
      </c>
      <c r="C105" s="1">
        <v>0.8</v>
      </c>
    </row>
    <row r="106" spans="1:3">
      <c r="A106" s="1">
        <v>106</v>
      </c>
      <c r="B106" s="1" t="s">
        <v>160</v>
      </c>
      <c r="C106" s="1">
        <v>6.5</v>
      </c>
    </row>
    <row r="107" spans="1:3">
      <c r="A107" s="1">
        <v>107</v>
      </c>
      <c r="B107" s="1" t="s">
        <v>161</v>
      </c>
      <c r="C107" s="1">
        <v>1</v>
      </c>
    </row>
    <row r="108" spans="1:3">
      <c r="A108" s="1">
        <v>108</v>
      </c>
      <c r="B108" s="1" t="s">
        <v>162</v>
      </c>
      <c r="C108" s="1">
        <v>1.1000000000000001</v>
      </c>
    </row>
    <row r="109" spans="1:3">
      <c r="A109" s="1">
        <v>109</v>
      </c>
      <c r="B109" s="1" t="s">
        <v>163</v>
      </c>
      <c r="C109" s="1">
        <v>5.4</v>
      </c>
    </row>
    <row r="110" spans="1:3">
      <c r="A110" s="1">
        <v>110</v>
      </c>
      <c r="B110" s="1" t="s">
        <v>164</v>
      </c>
      <c r="C110" s="1">
        <v>1.1000000000000001</v>
      </c>
    </row>
    <row r="111" spans="1:3">
      <c r="A111" s="1">
        <v>111</v>
      </c>
      <c r="B111" s="1" t="s">
        <v>279</v>
      </c>
      <c r="C111" s="1">
        <v>7.8</v>
      </c>
    </row>
    <row r="112" spans="1:3">
      <c r="A112" s="1">
        <v>112</v>
      </c>
      <c r="B112" s="1" t="s">
        <v>166</v>
      </c>
      <c r="C112" s="1">
        <v>1</v>
      </c>
    </row>
    <row r="113" spans="1:3">
      <c r="A113" s="1">
        <v>113</v>
      </c>
      <c r="B113" s="1" t="s">
        <v>167</v>
      </c>
      <c r="C113" s="1">
        <v>1</v>
      </c>
    </row>
    <row r="114" spans="1:3">
      <c r="A114" s="1">
        <v>114</v>
      </c>
      <c r="B114" s="1" t="s">
        <v>168</v>
      </c>
      <c r="C114" s="1">
        <v>1</v>
      </c>
    </row>
    <row r="115" spans="1:3">
      <c r="A115" s="1">
        <v>115</v>
      </c>
      <c r="B115" s="1" t="s">
        <v>169</v>
      </c>
      <c r="C115" s="1">
        <v>1.2</v>
      </c>
    </row>
    <row r="116" spans="1:3">
      <c r="A116" s="1">
        <v>116</v>
      </c>
      <c r="B116" s="1" t="s">
        <v>299</v>
      </c>
      <c r="C116" s="1">
        <v>1.5</v>
      </c>
    </row>
    <row r="117" spans="1:3">
      <c r="A117" s="1">
        <v>117</v>
      </c>
      <c r="B117" s="1" t="s">
        <v>171</v>
      </c>
      <c r="C117" s="1">
        <v>9</v>
      </c>
    </row>
    <row r="118" spans="1:3">
      <c r="A118" s="1">
        <v>118</v>
      </c>
      <c r="B118" s="1" t="s">
        <v>172</v>
      </c>
      <c r="C118" s="1">
        <v>7</v>
      </c>
    </row>
    <row r="119" spans="1:3">
      <c r="A119" s="1">
        <v>119</v>
      </c>
      <c r="B119" s="1" t="s">
        <v>173</v>
      </c>
      <c r="C119" s="1">
        <v>1.3</v>
      </c>
    </row>
    <row r="120" spans="1:3">
      <c r="A120" s="1">
        <v>120</v>
      </c>
      <c r="B120" s="1" t="s">
        <v>174</v>
      </c>
      <c r="C120" s="1">
        <v>0.9</v>
      </c>
    </row>
    <row r="121" spans="1:3">
      <c r="A121" s="1">
        <v>121</v>
      </c>
      <c r="B121" s="1" t="s">
        <v>175</v>
      </c>
      <c r="C121" s="1">
        <v>1</v>
      </c>
    </row>
    <row r="122" spans="1:3">
      <c r="A122" s="1">
        <v>122</v>
      </c>
      <c r="B122" s="1" t="s">
        <v>176</v>
      </c>
      <c r="C122" s="1">
        <v>1.4</v>
      </c>
    </row>
    <row r="123" spans="1:3">
      <c r="A123" s="1">
        <v>123</v>
      </c>
      <c r="B123" s="1" t="s">
        <v>177</v>
      </c>
      <c r="C123" s="1">
        <v>9.5</v>
      </c>
    </row>
    <row r="124" spans="1:3">
      <c r="A124" s="1">
        <v>124</v>
      </c>
      <c r="B124" s="1" t="s">
        <v>290</v>
      </c>
      <c r="C124" s="1">
        <v>2</v>
      </c>
    </row>
    <row r="125" spans="1:3">
      <c r="A125" s="1">
        <v>125</v>
      </c>
      <c r="B125" s="1" t="s">
        <v>296</v>
      </c>
      <c r="C125" s="1">
        <v>1.6</v>
      </c>
    </row>
    <row r="126" spans="1:3">
      <c r="A126" s="1">
        <v>126</v>
      </c>
      <c r="B126" s="1" t="s">
        <v>180</v>
      </c>
      <c r="C126" s="1">
        <v>0.9</v>
      </c>
    </row>
    <row r="127" spans="1:3">
      <c r="A127" s="1">
        <v>127</v>
      </c>
      <c r="B127" s="1" t="s">
        <v>181</v>
      </c>
      <c r="C127" s="1">
        <v>1</v>
      </c>
    </row>
    <row r="128" spans="1:3">
      <c r="A128" s="1">
        <v>128</v>
      </c>
      <c r="B128" s="1" t="s">
        <v>182</v>
      </c>
      <c r="C128" s="1">
        <v>2</v>
      </c>
    </row>
    <row r="129" spans="1:3">
      <c r="A129" s="1">
        <v>129</v>
      </c>
      <c r="B129" s="1" t="s">
        <v>183</v>
      </c>
      <c r="C129" s="1">
        <v>2</v>
      </c>
    </row>
    <row r="130" spans="1:3">
      <c r="A130" s="1">
        <v>130</v>
      </c>
      <c r="B130" s="1" t="s">
        <v>280</v>
      </c>
      <c r="C130" s="1">
        <v>7.4</v>
      </c>
    </row>
    <row r="131" spans="1:3">
      <c r="A131" s="1">
        <v>131</v>
      </c>
      <c r="B131" s="1" t="s">
        <v>185</v>
      </c>
      <c r="C131" s="1">
        <v>0.7</v>
      </c>
    </row>
    <row r="132" spans="1:3">
      <c r="A132" s="1">
        <v>132</v>
      </c>
      <c r="B132" s="1" t="s">
        <v>186</v>
      </c>
      <c r="C132" s="1">
        <v>6.1</v>
      </c>
    </row>
    <row r="133" spans="1:3">
      <c r="A133" s="1">
        <v>133</v>
      </c>
      <c r="B133" s="1" t="s">
        <v>187</v>
      </c>
      <c r="C133" s="1">
        <v>3.8</v>
      </c>
    </row>
    <row r="134" spans="1:3">
      <c r="A134" s="1">
        <v>134</v>
      </c>
      <c r="B134" s="1" t="s">
        <v>188</v>
      </c>
      <c r="C134" s="1">
        <v>1.5</v>
      </c>
    </row>
    <row r="135" spans="1:3">
      <c r="A135" s="1">
        <v>135</v>
      </c>
      <c r="B135" s="1" t="s">
        <v>189</v>
      </c>
      <c r="C135" s="1">
        <v>0.9</v>
      </c>
    </row>
    <row r="136" spans="1:3">
      <c r="A136" s="1">
        <v>136</v>
      </c>
      <c r="B136" s="1" t="s">
        <v>190</v>
      </c>
      <c r="C136" s="1">
        <v>10</v>
      </c>
    </row>
    <row r="137" spans="1:3">
      <c r="A137" s="1">
        <v>137</v>
      </c>
      <c r="B137" s="1" t="s">
        <v>274</v>
      </c>
      <c r="C137" s="1">
        <v>9.8000000000000007</v>
      </c>
    </row>
    <row r="138" spans="1:3">
      <c r="A138" s="1">
        <v>138</v>
      </c>
      <c r="B138" s="1" t="s">
        <v>192</v>
      </c>
      <c r="C138" s="1">
        <v>0.9</v>
      </c>
    </row>
    <row r="139" spans="1:3">
      <c r="A139" s="1">
        <v>139</v>
      </c>
      <c r="B139" s="1" t="s">
        <v>193</v>
      </c>
      <c r="C139" s="1">
        <v>0.7</v>
      </c>
    </row>
    <row r="140" spans="1:3">
      <c r="A140" s="1">
        <v>140</v>
      </c>
      <c r="B140" s="1" t="s">
        <v>194</v>
      </c>
      <c r="C140" s="1">
        <v>2.5</v>
      </c>
    </row>
    <row r="141" spans="1:3">
      <c r="A141" s="1">
        <v>141</v>
      </c>
      <c r="B141" s="1" t="s">
        <v>195</v>
      </c>
      <c r="C141" s="1">
        <v>0.9</v>
      </c>
    </row>
    <row r="142" spans="1:3">
      <c r="A142" s="1">
        <v>142</v>
      </c>
      <c r="B142" s="1" t="s">
        <v>285</v>
      </c>
      <c r="C142" s="1">
        <v>2.6</v>
      </c>
    </row>
    <row r="143" spans="1:3">
      <c r="A143" s="1">
        <v>143</v>
      </c>
      <c r="B143" s="1" t="s">
        <v>197</v>
      </c>
      <c r="C143" s="1">
        <v>1.4</v>
      </c>
    </row>
    <row r="144" spans="1:3">
      <c r="A144" s="1">
        <v>144</v>
      </c>
      <c r="B144" s="1" t="s">
        <v>198</v>
      </c>
      <c r="C144" s="1">
        <v>0.7</v>
      </c>
    </row>
    <row r="145" spans="1:3">
      <c r="A145" s="1">
        <v>145</v>
      </c>
      <c r="B145" s="1" t="s">
        <v>199</v>
      </c>
      <c r="C145" s="1">
        <v>1</v>
      </c>
    </row>
    <row r="146" spans="1:3">
      <c r="A146" s="1">
        <v>146</v>
      </c>
      <c r="B146" s="1" t="s">
        <v>200</v>
      </c>
      <c r="C146" s="1">
        <v>7.8</v>
      </c>
    </row>
    <row r="147" spans="1:3">
      <c r="A147" s="1">
        <v>147</v>
      </c>
      <c r="B147" s="1" t="s">
        <v>201</v>
      </c>
      <c r="C147" s="1">
        <v>1.1000000000000001</v>
      </c>
    </row>
    <row r="148" spans="1:3">
      <c r="A148" s="1">
        <v>148</v>
      </c>
      <c r="B148" s="1" t="s">
        <v>302</v>
      </c>
      <c r="C148" s="1">
        <v>1.2</v>
      </c>
    </row>
    <row r="149" spans="1:3">
      <c r="A149" s="1">
        <v>149</v>
      </c>
      <c r="B149" s="1" t="s">
        <v>203</v>
      </c>
      <c r="C149" s="1">
        <v>1.4</v>
      </c>
    </row>
    <row r="150" spans="1:3">
      <c r="A150" s="1">
        <v>150</v>
      </c>
      <c r="B150" s="1" t="s">
        <v>204</v>
      </c>
      <c r="C150" s="1">
        <v>1.1000000000000001</v>
      </c>
    </row>
    <row r="151" spans="1:3">
      <c r="A151" s="1">
        <v>151</v>
      </c>
      <c r="B151" s="1" t="s">
        <v>205</v>
      </c>
      <c r="C151" s="1">
        <v>1</v>
      </c>
    </row>
    <row r="152" spans="1:3">
      <c r="A152" s="1">
        <v>152</v>
      </c>
      <c r="B152" s="1" t="s">
        <v>206</v>
      </c>
      <c r="C152" s="1">
        <v>2.7</v>
      </c>
    </row>
    <row r="153" spans="1:3">
      <c r="A153" s="1">
        <v>153</v>
      </c>
      <c r="B153" s="1" t="s">
        <v>207</v>
      </c>
      <c r="C153" s="1">
        <v>0.9</v>
      </c>
    </row>
    <row r="154" spans="1:3">
      <c r="A154" s="1">
        <v>154</v>
      </c>
      <c r="B154" s="1" t="s">
        <v>208</v>
      </c>
      <c r="C154" s="1">
        <v>0.9</v>
      </c>
    </row>
    <row r="155" spans="1:3">
      <c r="A155" s="1">
        <v>155</v>
      </c>
      <c r="B155" s="1" t="s">
        <v>210</v>
      </c>
      <c r="C155" s="1">
        <v>5.0999999999999996</v>
      </c>
    </row>
    <row r="156" spans="1:3">
      <c r="A156" s="1">
        <v>156</v>
      </c>
      <c r="B156" s="1" t="s">
        <v>282</v>
      </c>
      <c r="C156" s="1">
        <v>6.8</v>
      </c>
    </row>
    <row r="157" spans="1:3">
      <c r="A157" s="1">
        <v>157</v>
      </c>
      <c r="B157" s="1" t="s">
        <v>311</v>
      </c>
      <c r="C157" s="1">
        <v>0.7</v>
      </c>
    </row>
    <row r="158" spans="1:3">
      <c r="A158" s="1">
        <v>158</v>
      </c>
      <c r="B158" s="1" t="s">
        <v>214</v>
      </c>
      <c r="C158" s="1">
        <v>2.1</v>
      </c>
    </row>
    <row r="159" spans="1:3">
      <c r="A159" s="1">
        <v>159</v>
      </c>
      <c r="B159" s="1" t="s">
        <v>215</v>
      </c>
      <c r="C159" s="1">
        <v>2</v>
      </c>
    </row>
    <row r="160" spans="1:3">
      <c r="A160" s="1">
        <v>160</v>
      </c>
      <c r="B160" s="1" t="s">
        <v>307</v>
      </c>
      <c r="C160" s="1">
        <v>1</v>
      </c>
    </row>
    <row r="161" spans="1:3">
      <c r="A161" s="1">
        <v>161</v>
      </c>
      <c r="B161" s="1" t="s">
        <v>217</v>
      </c>
      <c r="C161" s="1">
        <v>2.2000000000000002</v>
      </c>
    </row>
    <row r="162" spans="1:3">
      <c r="A162" s="1">
        <v>162</v>
      </c>
      <c r="B162" s="1" t="s">
        <v>218</v>
      </c>
      <c r="C162" s="1">
        <v>10</v>
      </c>
    </row>
    <row r="163" spans="1:3">
      <c r="A163" s="1">
        <v>163</v>
      </c>
      <c r="B163" s="1" t="s">
        <v>288</v>
      </c>
      <c r="C163" s="1">
        <v>2</v>
      </c>
    </row>
    <row r="164" spans="1:3">
      <c r="A164" s="1">
        <v>164</v>
      </c>
      <c r="B164" s="1" t="s">
        <v>222</v>
      </c>
      <c r="C164" s="1">
        <v>2.2999999999999998</v>
      </c>
    </row>
    <row r="165" spans="1:3">
      <c r="A165" s="1">
        <v>165</v>
      </c>
      <c r="B165" s="1" t="s">
        <v>223</v>
      </c>
      <c r="C165" s="1">
        <v>2.8</v>
      </c>
    </row>
    <row r="166" spans="1:3">
      <c r="A166" s="1">
        <v>166</v>
      </c>
      <c r="B166" s="1" t="s">
        <v>224</v>
      </c>
      <c r="C166" s="1">
        <v>1.3</v>
      </c>
    </row>
    <row r="167" spans="1:3">
      <c r="A167" s="1">
        <v>167</v>
      </c>
      <c r="B167" s="1" t="s">
        <v>225</v>
      </c>
      <c r="C167" s="1">
        <v>1</v>
      </c>
    </row>
    <row r="168" spans="1:3">
      <c r="A168" s="1">
        <v>168</v>
      </c>
      <c r="B168" s="1" t="s">
        <v>287</v>
      </c>
      <c r="C168" s="1">
        <v>2.2999999999999998</v>
      </c>
    </row>
    <row r="169" spans="1:3">
      <c r="A169" s="1">
        <v>169</v>
      </c>
      <c r="B169" s="1" t="s">
        <v>227</v>
      </c>
      <c r="C169" s="1">
        <v>3.2</v>
      </c>
    </row>
    <row r="170" spans="1:3">
      <c r="A170" s="1">
        <v>170</v>
      </c>
      <c r="B170" s="1" t="s">
        <v>228</v>
      </c>
      <c r="C170" s="1">
        <v>6</v>
      </c>
    </row>
    <row r="171" spans="1:3">
      <c r="A171" s="1">
        <v>171</v>
      </c>
      <c r="B171" s="1" t="s">
        <v>229</v>
      </c>
      <c r="C171" s="1">
        <v>0.8</v>
      </c>
    </row>
    <row r="172" spans="1:3">
      <c r="A172" s="1">
        <v>172</v>
      </c>
      <c r="B172" s="1" t="s">
        <v>230</v>
      </c>
      <c r="C172" s="1">
        <v>0.8</v>
      </c>
    </row>
    <row r="173" spans="1:3">
      <c r="A173" s="1">
        <v>173</v>
      </c>
      <c r="B173" s="1" t="s">
        <v>231</v>
      </c>
      <c r="C173" s="1">
        <v>1</v>
      </c>
    </row>
    <row r="174" spans="1:3">
      <c r="A174" s="1">
        <v>174</v>
      </c>
      <c r="B174" s="1" t="s">
        <v>292</v>
      </c>
      <c r="C174" s="1">
        <v>1.8</v>
      </c>
    </row>
    <row r="175" spans="1:3">
      <c r="A175" s="1">
        <v>175</v>
      </c>
      <c r="B175" s="1" t="s">
        <v>293</v>
      </c>
      <c r="C175" s="1">
        <v>1.8</v>
      </c>
    </row>
    <row r="176" spans="1:3">
      <c r="A176" s="1">
        <v>176</v>
      </c>
      <c r="B176" s="1" t="s">
        <v>234</v>
      </c>
      <c r="C176" s="1">
        <v>7.3</v>
      </c>
    </row>
    <row r="177" spans="1:3">
      <c r="A177" s="1">
        <v>177</v>
      </c>
      <c r="B177" s="1" t="s">
        <v>235</v>
      </c>
      <c r="C177" s="1">
        <v>0.8</v>
      </c>
    </row>
    <row r="178" spans="1:3">
      <c r="A178" s="1">
        <v>178</v>
      </c>
      <c r="B178" s="1" t="s">
        <v>236</v>
      </c>
      <c r="C178" s="1">
        <v>0.9</v>
      </c>
    </row>
    <row r="179" spans="1:3">
      <c r="A179" s="1">
        <v>179</v>
      </c>
      <c r="B179" s="1" t="s">
        <v>309</v>
      </c>
      <c r="C179" s="1">
        <v>0.9</v>
      </c>
    </row>
    <row r="180" spans="1:3">
      <c r="A180" s="1">
        <v>180</v>
      </c>
      <c r="B180" s="1" t="s">
        <v>238</v>
      </c>
      <c r="C180" s="1">
        <v>1.1000000000000001</v>
      </c>
    </row>
    <row r="181" spans="1:3">
      <c r="A181" s="1">
        <v>181</v>
      </c>
      <c r="B181" s="1" t="s">
        <v>259</v>
      </c>
      <c r="C181" s="1">
        <v>8.4</v>
      </c>
    </row>
    <row r="182" spans="1:3">
      <c r="A182" s="1">
        <v>182</v>
      </c>
      <c r="B182" s="1" t="s">
        <v>260</v>
      </c>
      <c r="C182" s="1">
        <v>0.9</v>
      </c>
    </row>
    <row r="183" spans="1:3">
      <c r="A183" s="1">
        <v>183</v>
      </c>
      <c r="B183" s="1" t="s">
        <v>261</v>
      </c>
      <c r="C183" s="1">
        <v>9.3000000000000007</v>
      </c>
    </row>
    <row r="184" spans="1:3">
      <c r="A184" s="1">
        <v>184</v>
      </c>
      <c r="B184" s="1" t="s">
        <v>262</v>
      </c>
      <c r="C184" s="1">
        <v>8.6</v>
      </c>
    </row>
    <row r="185" spans="1:3">
      <c r="A185" s="1">
        <v>185</v>
      </c>
      <c r="B185" s="1" t="s">
        <v>263</v>
      </c>
      <c r="C185" s="1">
        <v>9.8000000000000007</v>
      </c>
    </row>
    <row r="186" spans="1:3">
      <c r="A186" s="1">
        <v>186</v>
      </c>
      <c r="B186" s="1" t="s">
        <v>264</v>
      </c>
      <c r="C186" s="1">
        <v>1.1000000000000001</v>
      </c>
    </row>
    <row r="187" spans="1:3">
      <c r="A187" s="1">
        <v>187</v>
      </c>
      <c r="B187" s="1" t="s">
        <v>265</v>
      </c>
      <c r="C187" s="1">
        <v>1</v>
      </c>
    </row>
    <row r="188" spans="1:3">
      <c r="A188" s="1">
        <v>188</v>
      </c>
      <c r="B188" s="1" t="s">
        <v>266</v>
      </c>
      <c r="C188" s="1">
        <v>1</v>
      </c>
    </row>
    <row r="189" spans="1:3">
      <c r="A189" s="1">
        <v>189</v>
      </c>
      <c r="B189" s="1" t="s">
        <v>267</v>
      </c>
      <c r="C189" s="1">
        <v>8.9</v>
      </c>
    </row>
    <row r="190" spans="1:3">
      <c r="A190" s="1">
        <v>190</v>
      </c>
      <c r="B190" s="1" t="s">
        <v>268</v>
      </c>
      <c r="C190" s="1">
        <v>10</v>
      </c>
    </row>
    <row r="191" spans="1:3">
      <c r="A191" s="1">
        <v>191</v>
      </c>
      <c r="B191" s="1" t="s">
        <v>276</v>
      </c>
      <c r="C191" s="1">
        <v>9.6999999999999993</v>
      </c>
    </row>
    <row r="192" spans="1:3">
      <c r="A192" s="1">
        <v>192</v>
      </c>
      <c r="B192" s="1" t="s">
        <v>308</v>
      </c>
      <c r="C192" s="1">
        <v>1</v>
      </c>
    </row>
    <row r="193" spans="1:3">
      <c r="A193" s="1">
        <v>193</v>
      </c>
      <c r="B193" s="1" t="s">
        <v>291</v>
      </c>
      <c r="C193" s="1">
        <v>1.9</v>
      </c>
    </row>
    <row r="194" spans="1:3">
      <c r="A194" s="1">
        <v>194</v>
      </c>
      <c r="B194" s="1" t="s">
        <v>303</v>
      </c>
      <c r="C194" s="1">
        <v>1</v>
      </c>
    </row>
    <row r="195" spans="1:3">
      <c r="A195" s="1">
        <v>195</v>
      </c>
      <c r="B195" s="1" t="s">
        <v>251</v>
      </c>
      <c r="C195" s="1">
        <v>1</v>
      </c>
    </row>
    <row r="196" spans="1:3">
      <c r="A196" s="1">
        <v>196</v>
      </c>
      <c r="B196" s="1" t="s">
        <v>252</v>
      </c>
      <c r="C196" s="1">
        <v>1</v>
      </c>
    </row>
    <row r="197" spans="1:3">
      <c r="A197" s="1">
        <v>197</v>
      </c>
      <c r="B197" s="1" t="s">
        <v>253</v>
      </c>
      <c r="C197" s="1">
        <v>0.9</v>
      </c>
    </row>
    <row r="198" spans="1:3">
      <c r="A198" s="1">
        <v>198</v>
      </c>
      <c r="B198" s="1" t="s">
        <v>306</v>
      </c>
      <c r="C198" s="1">
        <v>1</v>
      </c>
    </row>
    <row r="199" spans="1:3">
      <c r="A199" s="1">
        <v>199</v>
      </c>
      <c r="B199" s="1" t="s">
        <v>255</v>
      </c>
      <c r="C199" s="1">
        <v>1.3</v>
      </c>
    </row>
    <row r="200" spans="1:3">
      <c r="A200" s="1">
        <v>200</v>
      </c>
      <c r="B200" s="1" t="s">
        <v>286</v>
      </c>
      <c r="C200" s="1">
        <v>2.5</v>
      </c>
    </row>
    <row r="201" spans="1:3">
      <c r="A201" s="1">
        <v>201</v>
      </c>
      <c r="B201" s="1" t="s">
        <v>257</v>
      </c>
      <c r="C201" s="1">
        <v>1</v>
      </c>
    </row>
    <row r="202" spans="1:3">
      <c r="A202" s="1">
        <v>202</v>
      </c>
      <c r="B202" s="1" t="s">
        <v>258</v>
      </c>
      <c r="C202" s="1">
        <v>0.9</v>
      </c>
    </row>
    <row r="203" spans="1:3">
      <c r="A203" s="1">
        <v>203</v>
      </c>
      <c r="B203" s="1" t="s">
        <v>270</v>
      </c>
      <c r="C203" s="1">
        <v>1</v>
      </c>
    </row>
    <row r="204" spans="1:3">
      <c r="A204" s="1">
        <v>204</v>
      </c>
      <c r="B204" s="1" t="s">
        <v>289</v>
      </c>
      <c r="C204" s="1">
        <v>2</v>
      </c>
    </row>
    <row r="205" spans="1:3">
      <c r="A205" s="1">
        <v>205</v>
      </c>
      <c r="B205" s="1" t="s">
        <v>272</v>
      </c>
      <c r="C205" s="1">
        <v>0.6</v>
      </c>
    </row>
  </sheetData>
  <sortState ref="A1:C205">
    <sortCondition ref="A23"/>
  </sortState>
  <phoneticPr fontId="5"/>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sheetPr codeName="Sheet4"/>
  <dimension ref="A1:D208"/>
  <sheetViews>
    <sheetView workbookViewId="0">
      <selection activeCell="D12" sqref="D12"/>
    </sheetView>
  </sheetViews>
  <sheetFormatPr defaultRowHeight="11.25"/>
  <cols>
    <col min="1" max="1" width="22.875" style="3" bestFit="1" customWidth="1"/>
    <col min="2" max="2" width="29.125" style="3" bestFit="1" customWidth="1"/>
    <col min="3" max="3" width="7.25" style="3" bestFit="1" customWidth="1"/>
    <col min="4" max="4" width="191.875" style="3" bestFit="1" customWidth="1"/>
    <col min="5" max="16384" width="9" style="3"/>
  </cols>
  <sheetData>
    <row r="1" spans="1:4">
      <c r="A1" s="3" t="s">
        <v>454</v>
      </c>
      <c r="B1" s="3" t="s">
        <v>455</v>
      </c>
    </row>
    <row r="2" spans="1:4" ht="22.5">
      <c r="A2" s="3" t="s">
        <v>239</v>
      </c>
      <c r="B2" s="3">
        <v>8</v>
      </c>
      <c r="C2" s="3" t="s">
        <v>456</v>
      </c>
      <c r="D2" s="4" t="s">
        <v>457</v>
      </c>
    </row>
    <row r="3" spans="1:4" ht="33.75">
      <c r="A3" s="3" t="s">
        <v>209</v>
      </c>
      <c r="B3" s="3">
        <v>10</v>
      </c>
      <c r="C3" s="3" t="s">
        <v>456</v>
      </c>
      <c r="D3" s="5" t="s">
        <v>458</v>
      </c>
    </row>
    <row r="4" spans="1:4" ht="22.5">
      <c r="A4" s="3" t="s">
        <v>240</v>
      </c>
      <c r="B4" s="3">
        <v>8</v>
      </c>
      <c r="C4" s="3" t="s">
        <v>456</v>
      </c>
      <c r="D4" s="5" t="s">
        <v>459</v>
      </c>
    </row>
    <row r="5" spans="1:4" ht="33.75">
      <c r="A5" s="3" t="s">
        <v>241</v>
      </c>
      <c r="B5" s="3">
        <v>9</v>
      </c>
      <c r="C5" s="3" t="s">
        <v>456</v>
      </c>
      <c r="D5" s="5" t="s">
        <v>460</v>
      </c>
    </row>
    <row r="6" spans="1:4" ht="33.75">
      <c r="A6" s="3" t="s">
        <v>242</v>
      </c>
      <c r="B6" s="3">
        <v>8</v>
      </c>
      <c r="C6" s="3" t="s">
        <v>456</v>
      </c>
      <c r="D6" s="5" t="s">
        <v>461</v>
      </c>
    </row>
    <row r="7" spans="1:4" ht="33.75">
      <c r="A7" s="3" t="s">
        <v>243</v>
      </c>
      <c r="B7" s="3">
        <v>13</v>
      </c>
      <c r="C7" s="3" t="s">
        <v>456</v>
      </c>
      <c r="D7" s="5" t="s">
        <v>462</v>
      </c>
    </row>
    <row r="8" spans="1:4" ht="22.5">
      <c r="A8" s="3" t="s">
        <v>244</v>
      </c>
      <c r="B8" s="3">
        <v>3</v>
      </c>
      <c r="C8" s="3" t="s">
        <v>456</v>
      </c>
      <c r="D8" s="4" t="s">
        <v>463</v>
      </c>
    </row>
    <row r="9" spans="1:4" ht="22.5">
      <c r="A9" s="3" t="s">
        <v>219</v>
      </c>
      <c r="B9" s="3">
        <v>8</v>
      </c>
      <c r="C9" s="3" t="s">
        <v>456</v>
      </c>
      <c r="D9" s="5" t="s">
        <v>464</v>
      </c>
    </row>
    <row r="10" spans="1:4" ht="22.5">
      <c r="A10" s="3" t="s">
        <v>245</v>
      </c>
      <c r="B10" s="3">
        <v>8</v>
      </c>
      <c r="C10" s="3" t="s">
        <v>456</v>
      </c>
      <c r="D10" s="5" t="s">
        <v>465</v>
      </c>
    </row>
    <row r="11" spans="1:4" ht="22.5">
      <c r="A11" s="3" t="s">
        <v>221</v>
      </c>
      <c r="B11" s="3">
        <v>9</v>
      </c>
      <c r="C11" s="3" t="s">
        <v>456</v>
      </c>
      <c r="D11" s="5" t="s">
        <v>466</v>
      </c>
    </row>
    <row r="12" spans="1:4" ht="22.5">
      <c r="A12" s="3" t="s">
        <v>246</v>
      </c>
      <c r="B12" s="3">
        <v>8</v>
      </c>
      <c r="C12" s="3" t="s">
        <v>456</v>
      </c>
      <c r="D12" s="5" t="s">
        <v>467</v>
      </c>
    </row>
    <row r="13" spans="1:4" ht="33.75">
      <c r="A13" s="3" t="s">
        <v>247</v>
      </c>
      <c r="B13" s="3">
        <v>7</v>
      </c>
      <c r="C13" s="3" t="s">
        <v>456</v>
      </c>
      <c r="D13" s="5" t="s">
        <v>468</v>
      </c>
    </row>
    <row r="14" spans="1:4" ht="56.25">
      <c r="A14" s="3" t="s">
        <v>1</v>
      </c>
      <c r="B14" s="3" t="s">
        <v>469</v>
      </c>
      <c r="C14" s="3" t="s">
        <v>470</v>
      </c>
      <c r="D14" s="4" t="s">
        <v>471</v>
      </c>
    </row>
    <row r="15" spans="1:4" ht="45">
      <c r="A15" s="3" t="s">
        <v>3</v>
      </c>
      <c r="B15" s="3" t="s">
        <v>472</v>
      </c>
      <c r="C15" s="3" t="s">
        <v>470</v>
      </c>
      <c r="D15" s="5" t="s">
        <v>473</v>
      </c>
    </row>
    <row r="16" spans="1:4" ht="33.75">
      <c r="A16" s="3" t="s">
        <v>278</v>
      </c>
      <c r="B16" s="3" t="s">
        <v>474</v>
      </c>
      <c r="C16" s="3" t="s">
        <v>470</v>
      </c>
      <c r="D16" s="5" t="s">
        <v>475</v>
      </c>
    </row>
    <row r="17" spans="1:4" ht="33.75">
      <c r="A17" s="3" t="s">
        <v>7</v>
      </c>
      <c r="B17" s="3" t="s">
        <v>472</v>
      </c>
      <c r="C17" s="3" t="s">
        <v>470</v>
      </c>
      <c r="D17" s="4" t="s">
        <v>476</v>
      </c>
    </row>
    <row r="18" spans="1:4" ht="56.25">
      <c r="A18" s="3" t="s">
        <v>275</v>
      </c>
      <c r="B18" s="3" t="s">
        <v>477</v>
      </c>
      <c r="C18" s="3" t="s">
        <v>470</v>
      </c>
      <c r="D18" s="5" t="s">
        <v>478</v>
      </c>
    </row>
    <row r="19" spans="1:4">
      <c r="A19" s="3" t="s">
        <v>11</v>
      </c>
      <c r="B19" s="3" t="s">
        <v>479</v>
      </c>
      <c r="C19" s="3" t="s">
        <v>470</v>
      </c>
      <c r="D19" s="3" t="s">
        <v>480</v>
      </c>
    </row>
    <row r="20" spans="1:4">
      <c r="A20" s="3" t="s">
        <v>13</v>
      </c>
      <c r="B20" s="3" t="s">
        <v>472</v>
      </c>
      <c r="C20" s="3" t="s">
        <v>470</v>
      </c>
      <c r="D20" s="3" t="s">
        <v>481</v>
      </c>
    </row>
    <row r="21" spans="1:4">
      <c r="A21" s="3" t="s">
        <v>15</v>
      </c>
      <c r="B21" s="3" t="s">
        <v>482</v>
      </c>
      <c r="C21" s="3" t="s">
        <v>470</v>
      </c>
      <c r="D21" s="3" t="s">
        <v>483</v>
      </c>
    </row>
    <row r="22" spans="1:4" ht="22.5">
      <c r="A22" s="3" t="s">
        <v>17</v>
      </c>
      <c r="B22" s="3" t="s">
        <v>472</v>
      </c>
      <c r="C22" s="3" t="s">
        <v>470</v>
      </c>
      <c r="D22" s="5" t="s">
        <v>484</v>
      </c>
    </row>
    <row r="23" spans="1:4" ht="22.5">
      <c r="A23" s="3" t="s">
        <v>19</v>
      </c>
      <c r="B23" s="3" t="s">
        <v>472</v>
      </c>
      <c r="C23" s="3" t="s">
        <v>470</v>
      </c>
      <c r="D23" s="4" t="s">
        <v>485</v>
      </c>
    </row>
    <row r="24" spans="1:4" ht="22.5">
      <c r="A24" s="3" t="s">
        <v>284</v>
      </c>
      <c r="B24" s="3" t="s">
        <v>472</v>
      </c>
      <c r="C24" s="3" t="s">
        <v>470</v>
      </c>
      <c r="D24" s="5" t="s">
        <v>486</v>
      </c>
    </row>
    <row r="25" spans="1:4" ht="33.75">
      <c r="A25" s="3" t="s">
        <v>23</v>
      </c>
      <c r="B25" s="3" t="s">
        <v>479</v>
      </c>
      <c r="C25" s="3" t="s">
        <v>470</v>
      </c>
      <c r="D25" s="5" t="s">
        <v>487</v>
      </c>
    </row>
    <row r="26" spans="1:4">
      <c r="A26" s="3" t="s">
        <v>25</v>
      </c>
      <c r="B26" s="3" t="s">
        <v>488</v>
      </c>
      <c r="C26" s="3" t="s">
        <v>470</v>
      </c>
      <c r="D26" s="3" t="s">
        <v>489</v>
      </c>
    </row>
    <row r="27" spans="1:4">
      <c r="A27" s="3" t="s">
        <v>27</v>
      </c>
      <c r="B27" s="3" t="s">
        <v>479</v>
      </c>
      <c r="C27" s="3" t="s">
        <v>470</v>
      </c>
      <c r="D27" s="3" t="s">
        <v>490</v>
      </c>
    </row>
    <row r="28" spans="1:4" ht="22.5">
      <c r="A28" s="3" t="s">
        <v>29</v>
      </c>
      <c r="B28" s="3" t="s">
        <v>469</v>
      </c>
      <c r="C28" s="3" t="s">
        <v>470</v>
      </c>
      <c r="D28" s="5" t="s">
        <v>491</v>
      </c>
    </row>
    <row r="29" spans="1:4" ht="22.5">
      <c r="A29" s="3" t="s">
        <v>273</v>
      </c>
      <c r="B29" s="3" t="s">
        <v>492</v>
      </c>
      <c r="C29" s="3" t="s">
        <v>470</v>
      </c>
      <c r="D29" s="5" t="s">
        <v>493</v>
      </c>
    </row>
    <row r="30" spans="1:4">
      <c r="A30" s="3" t="s">
        <v>33</v>
      </c>
      <c r="B30" s="3" t="s">
        <v>479</v>
      </c>
      <c r="C30" s="3" t="s">
        <v>470</v>
      </c>
      <c r="D30" s="3" t="s">
        <v>494</v>
      </c>
    </row>
    <row r="31" spans="1:4">
      <c r="A31" s="3" t="s">
        <v>35</v>
      </c>
      <c r="B31" s="3" t="s">
        <v>469</v>
      </c>
      <c r="C31" s="3" t="s">
        <v>470</v>
      </c>
      <c r="D31" s="3" t="s">
        <v>495</v>
      </c>
    </row>
    <row r="32" spans="1:4">
      <c r="A32" s="3" t="s">
        <v>37</v>
      </c>
      <c r="B32" s="3" t="s">
        <v>472</v>
      </c>
      <c r="C32" s="3" t="s">
        <v>470</v>
      </c>
      <c r="D32" s="3" t="s">
        <v>496</v>
      </c>
    </row>
    <row r="33" spans="1:4">
      <c r="A33" s="3" t="s">
        <v>39</v>
      </c>
      <c r="B33" s="3" t="s">
        <v>472</v>
      </c>
      <c r="C33" s="3" t="s">
        <v>470</v>
      </c>
      <c r="D33" s="3" t="s">
        <v>497</v>
      </c>
    </row>
    <row r="34" spans="1:4" ht="22.5">
      <c r="A34" s="3" t="s">
        <v>283</v>
      </c>
      <c r="B34" s="3" t="s">
        <v>469</v>
      </c>
      <c r="C34" s="3" t="s">
        <v>470</v>
      </c>
      <c r="D34" s="4" t="s">
        <v>498</v>
      </c>
    </row>
    <row r="35" spans="1:4">
      <c r="A35" s="3" t="s">
        <v>43</v>
      </c>
      <c r="B35" s="3" t="s">
        <v>469</v>
      </c>
      <c r="C35" s="3" t="s">
        <v>470</v>
      </c>
      <c r="D35" s="3" t="s">
        <v>499</v>
      </c>
    </row>
    <row r="36" spans="1:4" ht="22.5">
      <c r="A36" s="3" t="s">
        <v>45</v>
      </c>
      <c r="B36" s="3" t="s">
        <v>469</v>
      </c>
      <c r="C36" s="3" t="s">
        <v>470</v>
      </c>
      <c r="D36" s="5" t="s">
        <v>500</v>
      </c>
    </row>
    <row r="37" spans="1:4">
      <c r="A37" s="3" t="s">
        <v>47</v>
      </c>
      <c r="B37" s="3" t="s">
        <v>469</v>
      </c>
      <c r="C37" s="3" t="s">
        <v>470</v>
      </c>
      <c r="D37" s="3" t="s">
        <v>501</v>
      </c>
    </row>
    <row r="38" spans="1:4" ht="22.5">
      <c r="A38" s="3" t="s">
        <v>49</v>
      </c>
      <c r="B38" s="3" t="s">
        <v>474</v>
      </c>
      <c r="C38" s="3" t="s">
        <v>470</v>
      </c>
      <c r="D38" s="4" t="s">
        <v>502</v>
      </c>
    </row>
    <row r="39" spans="1:4">
      <c r="A39" s="3" t="s">
        <v>305</v>
      </c>
      <c r="B39" s="3" t="s">
        <v>469</v>
      </c>
      <c r="C39" s="3" t="s">
        <v>470</v>
      </c>
      <c r="D39" s="3" t="s">
        <v>503</v>
      </c>
    </row>
    <row r="40" spans="1:4" ht="22.5">
      <c r="A40" s="3" t="s">
        <v>51</v>
      </c>
      <c r="B40" s="3" t="s">
        <v>479</v>
      </c>
      <c r="C40" s="3" t="s">
        <v>470</v>
      </c>
      <c r="D40" s="5" t="s">
        <v>504</v>
      </c>
    </row>
    <row r="41" spans="1:4" ht="22.5">
      <c r="A41" s="3" t="s">
        <v>53</v>
      </c>
      <c r="B41" s="3" t="s">
        <v>469</v>
      </c>
      <c r="C41" s="3" t="s">
        <v>470</v>
      </c>
      <c r="D41" s="4" t="s">
        <v>505</v>
      </c>
    </row>
    <row r="42" spans="1:4" ht="22.5">
      <c r="A42" s="3" t="s">
        <v>55</v>
      </c>
      <c r="B42" s="3" t="s">
        <v>506</v>
      </c>
      <c r="C42" s="3" t="s">
        <v>470</v>
      </c>
      <c r="D42" s="5" t="s">
        <v>507</v>
      </c>
    </row>
    <row r="43" spans="1:4">
      <c r="A43" s="3" t="s">
        <v>57</v>
      </c>
      <c r="B43" s="3" t="s">
        <v>469</v>
      </c>
      <c r="C43" s="3" t="s">
        <v>470</v>
      </c>
      <c r="D43" s="3" t="s">
        <v>508</v>
      </c>
    </row>
    <row r="44" spans="1:4">
      <c r="A44" s="3" t="s">
        <v>59</v>
      </c>
      <c r="B44" s="3" t="s">
        <v>479</v>
      </c>
      <c r="C44" s="3" t="s">
        <v>470</v>
      </c>
      <c r="D44" s="3" t="s">
        <v>509</v>
      </c>
    </row>
    <row r="45" spans="1:4">
      <c r="A45" s="3" t="s">
        <v>61</v>
      </c>
      <c r="B45" s="3" t="s">
        <v>469</v>
      </c>
      <c r="C45" s="3" t="s">
        <v>470</v>
      </c>
      <c r="D45" s="3" t="s">
        <v>510</v>
      </c>
    </row>
    <row r="46" spans="1:4" ht="22.5">
      <c r="A46" s="3" t="s">
        <v>63</v>
      </c>
      <c r="B46" s="3" t="s">
        <v>482</v>
      </c>
      <c r="C46" s="3" t="s">
        <v>470</v>
      </c>
      <c r="D46" s="4" t="s">
        <v>511</v>
      </c>
    </row>
    <row r="47" spans="1:4" ht="22.5">
      <c r="A47" s="3" t="s">
        <v>65</v>
      </c>
      <c r="B47" s="3" t="s">
        <v>472</v>
      </c>
      <c r="C47" s="3" t="s">
        <v>470</v>
      </c>
      <c r="D47" s="4" t="s">
        <v>512</v>
      </c>
    </row>
    <row r="48" spans="1:4" ht="22.5">
      <c r="A48" s="3" t="s">
        <v>277</v>
      </c>
      <c r="B48" s="3" t="s">
        <v>513</v>
      </c>
      <c r="C48" s="3" t="s">
        <v>470</v>
      </c>
      <c r="D48" s="4" t="s">
        <v>514</v>
      </c>
    </row>
    <row r="49" spans="1:4">
      <c r="A49" s="3" t="s">
        <v>70</v>
      </c>
      <c r="B49" s="3" t="s">
        <v>506</v>
      </c>
      <c r="C49" s="3" t="s">
        <v>470</v>
      </c>
      <c r="D49" s="3" t="s">
        <v>515</v>
      </c>
    </row>
    <row r="50" spans="1:4" ht="22.5">
      <c r="A50" s="3" t="s">
        <v>72</v>
      </c>
      <c r="B50" s="3" t="s">
        <v>516</v>
      </c>
      <c r="C50" s="3" t="s">
        <v>517</v>
      </c>
      <c r="D50" s="4" t="s">
        <v>518</v>
      </c>
    </row>
    <row r="51" spans="1:4" ht="22.5">
      <c r="A51" s="3" t="s">
        <v>74</v>
      </c>
      <c r="B51" s="3" t="s">
        <v>519</v>
      </c>
      <c r="C51" s="3" t="s">
        <v>517</v>
      </c>
      <c r="D51" s="5" t="s">
        <v>520</v>
      </c>
    </row>
    <row r="52" spans="1:4">
      <c r="A52" s="3" t="s">
        <v>76</v>
      </c>
      <c r="B52" s="3" t="s">
        <v>519</v>
      </c>
      <c r="C52" s="3" t="s">
        <v>517</v>
      </c>
      <c r="D52" s="3" t="s">
        <v>521</v>
      </c>
    </row>
    <row r="53" spans="1:4">
      <c r="A53" s="3" t="s">
        <v>78</v>
      </c>
      <c r="B53" s="3" t="s">
        <v>522</v>
      </c>
      <c r="C53" s="3" t="s">
        <v>517</v>
      </c>
      <c r="D53" s="3" t="s">
        <v>523</v>
      </c>
    </row>
    <row r="54" spans="1:4">
      <c r="A54" s="3" t="s">
        <v>80</v>
      </c>
      <c r="B54" s="3" t="s">
        <v>519</v>
      </c>
      <c r="C54" s="3" t="s">
        <v>517</v>
      </c>
      <c r="D54" s="3" t="s">
        <v>524</v>
      </c>
    </row>
    <row r="55" spans="1:4" ht="22.5">
      <c r="A55" s="3" t="s">
        <v>298</v>
      </c>
      <c r="B55" s="3" t="s">
        <v>522</v>
      </c>
      <c r="C55" s="3" t="s">
        <v>517</v>
      </c>
      <c r="D55" s="5" t="s">
        <v>525</v>
      </c>
    </row>
    <row r="56" spans="1:4">
      <c r="A56" s="3" t="s">
        <v>84</v>
      </c>
      <c r="B56" s="3" t="s">
        <v>519</v>
      </c>
      <c r="C56" s="3" t="s">
        <v>517</v>
      </c>
      <c r="D56" s="3" t="s">
        <v>526</v>
      </c>
    </row>
    <row r="57" spans="1:4" ht="22.5">
      <c r="A57" s="3" t="s">
        <v>281</v>
      </c>
      <c r="B57" s="3" t="s">
        <v>516</v>
      </c>
      <c r="C57" s="3" t="s">
        <v>517</v>
      </c>
      <c r="D57" s="5" t="s">
        <v>527</v>
      </c>
    </row>
    <row r="58" spans="1:4" ht="22.5">
      <c r="A58" s="3" t="s">
        <v>88</v>
      </c>
      <c r="B58" s="3" t="s">
        <v>519</v>
      </c>
      <c r="C58" s="3" t="s">
        <v>517</v>
      </c>
      <c r="D58" s="4" t="s">
        <v>528</v>
      </c>
    </row>
    <row r="59" spans="1:4">
      <c r="A59" s="3" t="s">
        <v>90</v>
      </c>
      <c r="B59" s="3" t="s">
        <v>529</v>
      </c>
      <c r="C59" s="3" t="s">
        <v>517</v>
      </c>
      <c r="D59" s="3" t="s">
        <v>530</v>
      </c>
    </row>
    <row r="60" spans="1:4">
      <c r="A60" s="3" t="s">
        <v>92</v>
      </c>
      <c r="B60" s="3" t="s">
        <v>519</v>
      </c>
      <c r="C60" s="3" t="s">
        <v>517</v>
      </c>
      <c r="D60" s="3" t="s">
        <v>531</v>
      </c>
    </row>
    <row r="61" spans="1:4" ht="22.5">
      <c r="A61" s="3" t="s">
        <v>94</v>
      </c>
      <c r="B61" s="3" t="s">
        <v>522</v>
      </c>
      <c r="C61" s="3" t="s">
        <v>517</v>
      </c>
      <c r="D61" s="5" t="s">
        <v>532</v>
      </c>
    </row>
    <row r="62" spans="1:4">
      <c r="A62" s="3" t="s">
        <v>304</v>
      </c>
      <c r="B62" s="3" t="s">
        <v>529</v>
      </c>
      <c r="C62" s="3" t="s">
        <v>517</v>
      </c>
      <c r="D62" s="3" t="s">
        <v>533</v>
      </c>
    </row>
    <row r="63" spans="1:4" ht="22.5">
      <c r="A63" s="3" t="s">
        <v>98</v>
      </c>
      <c r="B63" s="3" t="s">
        <v>519</v>
      </c>
      <c r="C63" s="3" t="s">
        <v>517</v>
      </c>
      <c r="D63" s="4" t="s">
        <v>534</v>
      </c>
    </row>
    <row r="64" spans="1:4">
      <c r="A64" s="3" t="s">
        <v>297</v>
      </c>
      <c r="B64" s="3" t="s">
        <v>519</v>
      </c>
      <c r="C64" s="3" t="s">
        <v>517</v>
      </c>
      <c r="D64" s="3" t="s">
        <v>535</v>
      </c>
    </row>
    <row r="65" spans="1:4">
      <c r="A65" s="3" t="s">
        <v>102</v>
      </c>
      <c r="B65" s="3" t="s">
        <v>536</v>
      </c>
      <c r="C65" s="3" t="s">
        <v>517</v>
      </c>
      <c r="D65" s="6" t="s">
        <v>537</v>
      </c>
    </row>
    <row r="66" spans="1:4" ht="22.5">
      <c r="A66" s="3" t="s">
        <v>104</v>
      </c>
      <c r="B66" s="3" t="s">
        <v>519</v>
      </c>
      <c r="C66" s="3" t="s">
        <v>517</v>
      </c>
      <c r="D66" s="5" t="s">
        <v>538</v>
      </c>
    </row>
    <row r="67" spans="1:4" ht="22.5">
      <c r="A67" s="3" t="s">
        <v>106</v>
      </c>
      <c r="B67" s="3" t="s">
        <v>519</v>
      </c>
      <c r="C67" s="3" t="s">
        <v>517</v>
      </c>
      <c r="D67" s="4" t="s">
        <v>539</v>
      </c>
    </row>
    <row r="68" spans="1:4">
      <c r="A68" s="3" t="s">
        <v>108</v>
      </c>
      <c r="B68" s="3" t="s">
        <v>529</v>
      </c>
      <c r="C68" s="3" t="s">
        <v>517</v>
      </c>
      <c r="D68" s="3" t="s">
        <v>540</v>
      </c>
    </row>
    <row r="69" spans="1:4">
      <c r="A69" s="3" t="s">
        <v>110</v>
      </c>
      <c r="B69" s="3" t="s">
        <v>519</v>
      </c>
      <c r="C69" s="3" t="s">
        <v>517</v>
      </c>
      <c r="D69" s="3" t="s">
        <v>541</v>
      </c>
    </row>
    <row r="70" spans="1:4" ht="33.75">
      <c r="A70" s="3" t="s">
        <v>112</v>
      </c>
      <c r="B70" s="3" t="s">
        <v>542</v>
      </c>
      <c r="C70" s="3" t="s">
        <v>517</v>
      </c>
      <c r="D70" s="5" t="s">
        <v>543</v>
      </c>
    </row>
    <row r="71" spans="1:4">
      <c r="A71" s="3" t="s">
        <v>310</v>
      </c>
      <c r="B71" s="3" t="s">
        <v>544</v>
      </c>
      <c r="C71" s="3" t="s">
        <v>517</v>
      </c>
      <c r="D71" s="3" t="s">
        <v>545</v>
      </c>
    </row>
    <row r="72" spans="1:4" ht="33.75">
      <c r="A72" s="3" t="s">
        <v>116</v>
      </c>
      <c r="B72" s="3" t="s">
        <v>519</v>
      </c>
      <c r="C72" s="3" t="s">
        <v>517</v>
      </c>
      <c r="D72" s="5" t="s">
        <v>546</v>
      </c>
    </row>
    <row r="73" spans="1:4" ht="33.75">
      <c r="A73" s="3" t="s">
        <v>118</v>
      </c>
      <c r="B73" s="3" t="s">
        <v>536</v>
      </c>
      <c r="C73" s="3" t="s">
        <v>517</v>
      </c>
      <c r="D73" s="5" t="s">
        <v>547</v>
      </c>
    </row>
    <row r="74" spans="1:4" ht="22.5">
      <c r="A74" s="3" t="s">
        <v>120</v>
      </c>
      <c r="B74" s="3" t="s">
        <v>548</v>
      </c>
      <c r="C74" s="3" t="s">
        <v>517</v>
      </c>
      <c r="D74" s="4" t="s">
        <v>549</v>
      </c>
    </row>
    <row r="75" spans="1:4" ht="33.75">
      <c r="A75" s="3" t="s">
        <v>122</v>
      </c>
      <c r="B75" s="3" t="s">
        <v>542</v>
      </c>
      <c r="C75" s="3" t="s">
        <v>517</v>
      </c>
      <c r="D75" s="4" t="s">
        <v>550</v>
      </c>
    </row>
    <row r="76" spans="1:4">
      <c r="A76" s="3" t="s">
        <v>124</v>
      </c>
      <c r="B76" s="3" t="s">
        <v>536</v>
      </c>
      <c r="C76" s="3" t="s">
        <v>517</v>
      </c>
      <c r="D76" s="3" t="s">
        <v>551</v>
      </c>
    </row>
    <row r="77" spans="1:4">
      <c r="A77" s="3" t="s">
        <v>126</v>
      </c>
      <c r="B77" s="3" t="s">
        <v>522</v>
      </c>
      <c r="C77" s="3" t="s">
        <v>517</v>
      </c>
      <c r="D77" s="3" t="s">
        <v>552</v>
      </c>
    </row>
    <row r="78" spans="1:4" ht="22.5">
      <c r="A78" s="3" t="s">
        <v>128</v>
      </c>
      <c r="B78" s="3" t="s">
        <v>522</v>
      </c>
      <c r="C78" s="3" t="s">
        <v>517</v>
      </c>
      <c r="D78" s="4" t="s">
        <v>553</v>
      </c>
    </row>
    <row r="79" spans="1:4">
      <c r="A79" s="3" t="s">
        <v>130</v>
      </c>
      <c r="B79" s="3" t="s">
        <v>542</v>
      </c>
      <c r="C79" s="3" t="s">
        <v>517</v>
      </c>
      <c r="D79" s="3" t="s">
        <v>554</v>
      </c>
    </row>
    <row r="80" spans="1:4">
      <c r="A80" s="3" t="s">
        <v>132</v>
      </c>
      <c r="B80" s="3" t="s">
        <v>522</v>
      </c>
      <c r="C80" s="3" t="s">
        <v>517</v>
      </c>
      <c r="D80" s="3" t="s">
        <v>555</v>
      </c>
    </row>
    <row r="81" spans="1:4" ht="33.75">
      <c r="A81" s="3" t="s">
        <v>134</v>
      </c>
      <c r="B81" s="3" t="s">
        <v>522</v>
      </c>
      <c r="C81" s="3" t="s">
        <v>517</v>
      </c>
      <c r="D81" s="5" t="s">
        <v>556</v>
      </c>
    </row>
    <row r="82" spans="1:4" ht="22.5">
      <c r="A82" s="3" t="s">
        <v>136</v>
      </c>
      <c r="B82" s="3" t="s">
        <v>557</v>
      </c>
      <c r="C82" s="3" t="s">
        <v>558</v>
      </c>
      <c r="D82" s="4" t="s">
        <v>559</v>
      </c>
    </row>
    <row r="83" spans="1:4" ht="45">
      <c r="A83" s="3" t="s">
        <v>137</v>
      </c>
      <c r="B83" s="3" t="s">
        <v>560</v>
      </c>
      <c r="C83" s="3" t="s">
        <v>558</v>
      </c>
      <c r="D83" s="5" t="s">
        <v>561</v>
      </c>
    </row>
    <row r="84" spans="1:4">
      <c r="A84" s="3" t="s">
        <v>138</v>
      </c>
      <c r="B84" s="3" t="s">
        <v>562</v>
      </c>
      <c r="C84" s="3" t="s">
        <v>558</v>
      </c>
      <c r="D84" s="3" t="s">
        <v>563</v>
      </c>
    </row>
    <row r="85" spans="1:4">
      <c r="A85" s="3" t="s">
        <v>139</v>
      </c>
      <c r="B85" s="3" t="s">
        <v>564</v>
      </c>
      <c r="C85" s="3" t="s">
        <v>558</v>
      </c>
      <c r="D85" s="3" t="s">
        <v>565</v>
      </c>
    </row>
    <row r="86" spans="1:4" ht="56.25">
      <c r="A86" s="3" t="s">
        <v>140</v>
      </c>
      <c r="B86" s="3" t="s">
        <v>562</v>
      </c>
      <c r="C86" s="3" t="s">
        <v>558</v>
      </c>
      <c r="D86" s="5" t="s">
        <v>566</v>
      </c>
    </row>
    <row r="87" spans="1:4" ht="22.5">
      <c r="A87" s="3" t="s">
        <v>141</v>
      </c>
      <c r="B87" s="3" t="s">
        <v>560</v>
      </c>
      <c r="C87" s="3" t="s">
        <v>558</v>
      </c>
      <c r="D87" s="4" t="s">
        <v>567</v>
      </c>
    </row>
    <row r="88" spans="1:4">
      <c r="A88" s="3" t="s">
        <v>142</v>
      </c>
      <c r="B88" s="3" t="s">
        <v>568</v>
      </c>
      <c r="C88" s="3" t="s">
        <v>569</v>
      </c>
      <c r="D88" s="3" t="s">
        <v>570</v>
      </c>
    </row>
    <row r="89" spans="1:4" ht="22.5">
      <c r="A89" s="3" t="s">
        <v>143</v>
      </c>
      <c r="B89" s="3" t="s">
        <v>571</v>
      </c>
      <c r="C89" s="3" t="s">
        <v>558</v>
      </c>
      <c r="D89" s="4" t="s">
        <v>572</v>
      </c>
    </row>
    <row r="90" spans="1:4">
      <c r="A90" s="3" t="s">
        <v>144</v>
      </c>
      <c r="B90" s="3" t="s">
        <v>573</v>
      </c>
      <c r="C90" s="3" t="s">
        <v>558</v>
      </c>
      <c r="D90" s="3" t="s">
        <v>574</v>
      </c>
    </row>
    <row r="91" spans="1:4" ht="22.5">
      <c r="A91" s="3" t="s">
        <v>145</v>
      </c>
      <c r="B91" s="3" t="s">
        <v>560</v>
      </c>
      <c r="C91" s="3" t="s">
        <v>558</v>
      </c>
      <c r="D91" s="5" t="s">
        <v>575</v>
      </c>
    </row>
    <row r="92" spans="1:4">
      <c r="A92" s="3" t="s">
        <v>301</v>
      </c>
      <c r="B92" s="3" t="s">
        <v>562</v>
      </c>
      <c r="C92" s="3" t="s">
        <v>558</v>
      </c>
      <c r="D92" s="3" t="s">
        <v>576</v>
      </c>
    </row>
    <row r="93" spans="1:4" ht="22.5">
      <c r="A93" s="3" t="s">
        <v>147</v>
      </c>
      <c r="B93" s="3" t="s">
        <v>573</v>
      </c>
      <c r="C93" s="3" t="s">
        <v>558</v>
      </c>
      <c r="D93" s="5" t="s">
        <v>577</v>
      </c>
    </row>
    <row r="94" spans="1:4" ht="33.75">
      <c r="A94" s="3" t="s">
        <v>0</v>
      </c>
      <c r="B94" s="3" t="s">
        <v>578</v>
      </c>
      <c r="C94" s="3" t="s">
        <v>558</v>
      </c>
      <c r="D94" s="5" t="s">
        <v>579</v>
      </c>
    </row>
    <row r="95" spans="1:4">
      <c r="A95" s="3" t="s">
        <v>295</v>
      </c>
      <c r="B95" s="3" t="s">
        <v>557</v>
      </c>
      <c r="C95" s="3" t="s">
        <v>558</v>
      </c>
      <c r="D95" s="3" t="s">
        <v>580</v>
      </c>
    </row>
    <row r="96" spans="1:4" ht="22.5">
      <c r="A96" s="3" t="s">
        <v>149</v>
      </c>
      <c r="B96" s="3" t="s">
        <v>581</v>
      </c>
      <c r="C96" s="3" t="s">
        <v>558</v>
      </c>
      <c r="D96" s="4" t="s">
        <v>582</v>
      </c>
    </row>
    <row r="97" spans="1:4" ht="22.5">
      <c r="A97" s="3" t="s">
        <v>294</v>
      </c>
      <c r="B97" s="3" t="s">
        <v>581</v>
      </c>
      <c r="C97" s="3" t="s">
        <v>558</v>
      </c>
      <c r="D97" s="5" t="s">
        <v>583</v>
      </c>
    </row>
    <row r="98" spans="1:4">
      <c r="A98" s="3" t="s">
        <v>151</v>
      </c>
      <c r="B98" s="3" t="s">
        <v>578</v>
      </c>
      <c r="C98" s="3" t="s">
        <v>558</v>
      </c>
      <c r="D98" s="3" t="s">
        <v>584</v>
      </c>
    </row>
    <row r="99" spans="1:4" ht="22.5">
      <c r="A99" s="3" t="s">
        <v>152</v>
      </c>
      <c r="B99" s="3" t="s">
        <v>585</v>
      </c>
      <c r="C99" s="3" t="s">
        <v>558</v>
      </c>
      <c r="D99" s="5" t="s">
        <v>586</v>
      </c>
    </row>
    <row r="100" spans="1:4" ht="22.5">
      <c r="A100" s="3" t="s">
        <v>153</v>
      </c>
      <c r="B100" s="3" t="s">
        <v>557</v>
      </c>
      <c r="C100" s="3" t="s">
        <v>558</v>
      </c>
      <c r="D100" s="5" t="s">
        <v>587</v>
      </c>
    </row>
    <row r="101" spans="1:4">
      <c r="A101" s="3" t="s">
        <v>300</v>
      </c>
      <c r="B101" s="3" t="s">
        <v>562</v>
      </c>
      <c r="C101" s="3" t="s">
        <v>558</v>
      </c>
      <c r="D101" s="3" t="s">
        <v>588</v>
      </c>
    </row>
    <row r="102" spans="1:4">
      <c r="A102" s="3" t="s">
        <v>155</v>
      </c>
      <c r="B102" s="3" t="s">
        <v>557</v>
      </c>
      <c r="C102" s="3" t="s">
        <v>558</v>
      </c>
      <c r="D102" s="3" t="s">
        <v>589</v>
      </c>
    </row>
    <row r="103" spans="1:4">
      <c r="A103" s="3" t="s">
        <v>156</v>
      </c>
      <c r="B103" s="3" t="s">
        <v>581</v>
      </c>
      <c r="C103" s="3" t="s">
        <v>558</v>
      </c>
      <c r="D103" s="3" t="s">
        <v>590</v>
      </c>
    </row>
    <row r="104" spans="1:4" ht="22.5">
      <c r="A104" s="3" t="s">
        <v>157</v>
      </c>
      <c r="B104" s="3" t="s">
        <v>581</v>
      </c>
      <c r="C104" s="3" t="s">
        <v>558</v>
      </c>
      <c r="D104" s="4" t="s">
        <v>591</v>
      </c>
    </row>
    <row r="105" spans="1:4">
      <c r="A105" s="3" t="s">
        <v>158</v>
      </c>
      <c r="B105" s="3" t="s">
        <v>557</v>
      </c>
      <c r="C105" s="3" t="s">
        <v>558</v>
      </c>
      <c r="D105" s="3" t="s">
        <v>592</v>
      </c>
    </row>
    <row r="106" spans="1:4" ht="33.75">
      <c r="A106" s="3" t="s">
        <v>159</v>
      </c>
      <c r="B106" s="3" t="s">
        <v>560</v>
      </c>
      <c r="C106" s="3" t="s">
        <v>558</v>
      </c>
      <c r="D106" s="5" t="s">
        <v>593</v>
      </c>
    </row>
    <row r="107" spans="1:4">
      <c r="A107" s="3" t="s">
        <v>160</v>
      </c>
      <c r="B107" s="3" t="s">
        <v>594</v>
      </c>
      <c r="C107" s="3" t="s">
        <v>558</v>
      </c>
      <c r="D107" s="3" t="s">
        <v>595</v>
      </c>
    </row>
    <row r="108" spans="1:4">
      <c r="A108" s="3" t="s">
        <v>161</v>
      </c>
      <c r="B108" s="3" t="s">
        <v>578</v>
      </c>
      <c r="C108" s="3" t="s">
        <v>558</v>
      </c>
      <c r="D108" s="3" t="s">
        <v>596</v>
      </c>
    </row>
    <row r="109" spans="1:4">
      <c r="A109" s="3" t="s">
        <v>162</v>
      </c>
      <c r="B109" s="3" t="s">
        <v>557</v>
      </c>
      <c r="C109" s="3" t="s">
        <v>558</v>
      </c>
      <c r="D109" s="3" t="s">
        <v>597</v>
      </c>
    </row>
    <row r="110" spans="1:4" ht="22.5">
      <c r="A110" s="3" t="s">
        <v>163</v>
      </c>
      <c r="B110" s="3" t="s">
        <v>573</v>
      </c>
      <c r="C110" s="3" t="s">
        <v>558</v>
      </c>
      <c r="D110" s="4" t="s">
        <v>598</v>
      </c>
    </row>
    <row r="111" spans="1:4" ht="22.5">
      <c r="A111" s="3" t="s">
        <v>164</v>
      </c>
      <c r="B111" s="3" t="s">
        <v>560</v>
      </c>
      <c r="C111" s="3" t="s">
        <v>558</v>
      </c>
      <c r="D111" s="4" t="s">
        <v>599</v>
      </c>
    </row>
    <row r="112" spans="1:4" ht="33.75">
      <c r="A112" s="3" t="s">
        <v>279</v>
      </c>
      <c r="B112" s="3" t="s">
        <v>600</v>
      </c>
      <c r="C112" s="3" t="s">
        <v>558</v>
      </c>
      <c r="D112" s="5" t="s">
        <v>601</v>
      </c>
    </row>
    <row r="113" spans="1:4">
      <c r="A113" s="3" t="s">
        <v>166</v>
      </c>
      <c r="B113" s="3" t="s">
        <v>562</v>
      </c>
      <c r="C113" s="3" t="s">
        <v>558</v>
      </c>
      <c r="D113" s="3" t="s">
        <v>602</v>
      </c>
    </row>
    <row r="114" spans="1:4">
      <c r="A114" s="3" t="s">
        <v>167</v>
      </c>
      <c r="B114" s="3" t="s">
        <v>573</v>
      </c>
      <c r="C114" s="3" t="s">
        <v>558</v>
      </c>
      <c r="D114" s="3" t="s">
        <v>603</v>
      </c>
    </row>
    <row r="115" spans="1:4" ht="22.5">
      <c r="A115" s="3" t="s">
        <v>168</v>
      </c>
      <c r="B115" s="3" t="s">
        <v>562</v>
      </c>
      <c r="C115" s="3" t="s">
        <v>558</v>
      </c>
      <c r="D115" s="4" t="s">
        <v>604</v>
      </c>
    </row>
    <row r="116" spans="1:4" ht="22.5">
      <c r="A116" s="3" t="s">
        <v>169</v>
      </c>
      <c r="B116" s="3" t="s">
        <v>605</v>
      </c>
      <c r="C116" s="3" t="s">
        <v>606</v>
      </c>
      <c r="D116" s="5" t="s">
        <v>607</v>
      </c>
    </row>
    <row r="117" spans="1:4" ht="22.5">
      <c r="A117" s="3" t="s">
        <v>299</v>
      </c>
      <c r="B117" s="3" t="s">
        <v>608</v>
      </c>
      <c r="C117" s="3" t="s">
        <v>606</v>
      </c>
      <c r="D117" s="5" t="s">
        <v>609</v>
      </c>
    </row>
    <row r="118" spans="1:4">
      <c r="A118" s="3" t="s">
        <v>171</v>
      </c>
      <c r="B118" s="3" t="s">
        <v>610</v>
      </c>
      <c r="C118" s="3" t="s">
        <v>606</v>
      </c>
      <c r="D118" s="3" t="s">
        <v>611</v>
      </c>
    </row>
    <row r="119" spans="1:4" ht="33.75">
      <c r="A119" s="3" t="s">
        <v>172</v>
      </c>
      <c r="B119" s="3" t="s">
        <v>612</v>
      </c>
      <c r="C119" s="3" t="s">
        <v>606</v>
      </c>
      <c r="D119" s="5" t="s">
        <v>613</v>
      </c>
    </row>
    <row r="120" spans="1:4">
      <c r="A120" s="3" t="s">
        <v>173</v>
      </c>
      <c r="B120" s="3" t="s">
        <v>614</v>
      </c>
      <c r="C120" s="3" t="s">
        <v>606</v>
      </c>
      <c r="D120" s="3" t="s">
        <v>615</v>
      </c>
    </row>
    <row r="121" spans="1:4">
      <c r="A121" s="3" t="s">
        <v>174</v>
      </c>
      <c r="B121" s="3" t="s">
        <v>616</v>
      </c>
      <c r="C121" s="3" t="s">
        <v>606</v>
      </c>
      <c r="D121" s="3" t="s">
        <v>617</v>
      </c>
    </row>
    <row r="122" spans="1:4" ht="45">
      <c r="A122" s="3" t="s">
        <v>175</v>
      </c>
      <c r="B122" s="3" t="s">
        <v>616</v>
      </c>
      <c r="C122" s="3" t="s">
        <v>606</v>
      </c>
      <c r="D122" s="5" t="s">
        <v>618</v>
      </c>
    </row>
    <row r="123" spans="1:4">
      <c r="A123" s="3" t="s">
        <v>176</v>
      </c>
      <c r="B123" s="3" t="s">
        <v>605</v>
      </c>
      <c r="C123" s="3" t="s">
        <v>606</v>
      </c>
      <c r="D123" s="3" t="s">
        <v>619</v>
      </c>
    </row>
    <row r="124" spans="1:4" ht="56.25">
      <c r="A124" s="3" t="s">
        <v>177</v>
      </c>
      <c r="B124" s="3" t="s">
        <v>620</v>
      </c>
      <c r="C124" s="3" t="s">
        <v>606</v>
      </c>
      <c r="D124" s="5" t="s">
        <v>621</v>
      </c>
    </row>
    <row r="125" spans="1:4" ht="22.5">
      <c r="A125" s="3" t="s">
        <v>290</v>
      </c>
      <c r="B125" s="3" t="s">
        <v>605</v>
      </c>
      <c r="C125" s="3" t="s">
        <v>606</v>
      </c>
      <c r="D125" s="4" t="s">
        <v>622</v>
      </c>
    </row>
    <row r="126" spans="1:4">
      <c r="A126" s="3" t="s">
        <v>296</v>
      </c>
      <c r="B126" s="3" t="s">
        <v>623</v>
      </c>
      <c r="C126" s="3" t="s">
        <v>606</v>
      </c>
      <c r="D126" s="3" t="s">
        <v>624</v>
      </c>
    </row>
    <row r="127" spans="1:4" ht="22.5">
      <c r="A127" s="3" t="s">
        <v>180</v>
      </c>
      <c r="B127" s="3" t="s">
        <v>623</v>
      </c>
      <c r="C127" s="3" t="s">
        <v>606</v>
      </c>
      <c r="D127" s="5" t="s">
        <v>625</v>
      </c>
    </row>
    <row r="128" spans="1:4">
      <c r="A128" s="3" t="s">
        <v>181</v>
      </c>
      <c r="B128" s="3" t="s">
        <v>623</v>
      </c>
      <c r="C128" s="3" t="s">
        <v>606</v>
      </c>
    </row>
    <row r="129" spans="1:4" ht="22.5">
      <c r="A129" s="3" t="s">
        <v>182</v>
      </c>
      <c r="B129" s="3" t="s">
        <v>623</v>
      </c>
      <c r="C129" s="3" t="s">
        <v>606</v>
      </c>
      <c r="D129" s="4" t="s">
        <v>626</v>
      </c>
    </row>
    <row r="130" spans="1:4">
      <c r="A130" s="3" t="s">
        <v>183</v>
      </c>
      <c r="B130" s="3" t="s">
        <v>616</v>
      </c>
      <c r="C130" s="3" t="s">
        <v>606</v>
      </c>
      <c r="D130" s="3" t="s">
        <v>627</v>
      </c>
    </row>
    <row r="131" spans="1:4" ht="22.5">
      <c r="A131" s="3" t="s">
        <v>280</v>
      </c>
      <c r="B131" s="3" t="s">
        <v>605</v>
      </c>
      <c r="C131" s="3" t="s">
        <v>606</v>
      </c>
      <c r="D131" s="4" t="s">
        <v>628</v>
      </c>
    </row>
    <row r="132" spans="1:4">
      <c r="A132" s="3" t="s">
        <v>185</v>
      </c>
      <c r="B132" s="3" t="s">
        <v>605</v>
      </c>
      <c r="C132" s="3" t="s">
        <v>606</v>
      </c>
      <c r="D132" s="3" t="s">
        <v>629</v>
      </c>
    </row>
    <row r="133" spans="1:4" ht="33.75">
      <c r="A133" s="3" t="s">
        <v>186</v>
      </c>
      <c r="B133" s="3" t="s">
        <v>630</v>
      </c>
      <c r="C133" s="3" t="s">
        <v>606</v>
      </c>
      <c r="D133" s="4" t="s">
        <v>631</v>
      </c>
    </row>
    <row r="134" spans="1:4">
      <c r="A134" s="3" t="s">
        <v>187</v>
      </c>
      <c r="B134" s="3" t="s">
        <v>623</v>
      </c>
      <c r="C134" s="3" t="s">
        <v>606</v>
      </c>
      <c r="D134" s="3" t="s">
        <v>632</v>
      </c>
    </row>
    <row r="135" spans="1:4" ht="22.5">
      <c r="A135" s="3" t="s">
        <v>188</v>
      </c>
      <c r="B135" s="3" t="s">
        <v>630</v>
      </c>
      <c r="C135" s="3" t="s">
        <v>606</v>
      </c>
      <c r="D135" s="4" t="s">
        <v>633</v>
      </c>
    </row>
    <row r="136" spans="1:4">
      <c r="A136" s="3" t="s">
        <v>189</v>
      </c>
      <c r="B136" s="3" t="s">
        <v>605</v>
      </c>
      <c r="C136" s="3" t="s">
        <v>606</v>
      </c>
      <c r="D136" s="3" t="s">
        <v>634</v>
      </c>
    </row>
    <row r="137" spans="1:4" ht="22.5">
      <c r="A137" s="3" t="s">
        <v>190</v>
      </c>
      <c r="B137" s="3" t="s">
        <v>635</v>
      </c>
      <c r="C137" s="3" t="s">
        <v>606</v>
      </c>
      <c r="D137" s="5" t="s">
        <v>636</v>
      </c>
    </row>
    <row r="138" spans="1:4" ht="22.5">
      <c r="A138" s="3" t="s">
        <v>274</v>
      </c>
      <c r="B138" s="3" t="s">
        <v>605</v>
      </c>
      <c r="C138" s="3" t="s">
        <v>606</v>
      </c>
      <c r="D138" s="4" t="s">
        <v>637</v>
      </c>
    </row>
    <row r="139" spans="1:4">
      <c r="A139" s="3" t="s">
        <v>192</v>
      </c>
      <c r="B139" s="3" t="s">
        <v>616</v>
      </c>
      <c r="C139" s="3" t="s">
        <v>606</v>
      </c>
      <c r="D139" s="3" t="s">
        <v>638</v>
      </c>
    </row>
    <row r="140" spans="1:4" ht="22.5">
      <c r="A140" s="3" t="s">
        <v>193</v>
      </c>
      <c r="B140" s="3" t="s">
        <v>616</v>
      </c>
      <c r="C140" s="3" t="s">
        <v>606</v>
      </c>
      <c r="D140" s="4" t="s">
        <v>639</v>
      </c>
    </row>
    <row r="141" spans="1:4" ht="56.25">
      <c r="A141" s="3" t="s">
        <v>194</v>
      </c>
      <c r="B141" s="3" t="s">
        <v>605</v>
      </c>
      <c r="C141" s="3" t="s">
        <v>606</v>
      </c>
      <c r="D141" s="5" t="s">
        <v>640</v>
      </c>
    </row>
    <row r="142" spans="1:4">
      <c r="A142" s="3" t="s">
        <v>195</v>
      </c>
      <c r="B142" s="3" t="s">
        <v>605</v>
      </c>
      <c r="C142" s="3" t="s">
        <v>606</v>
      </c>
      <c r="D142" s="3" t="s">
        <v>641</v>
      </c>
    </row>
    <row r="143" spans="1:4" ht="22.5">
      <c r="A143" s="3" t="s">
        <v>285</v>
      </c>
      <c r="B143" s="3" t="s">
        <v>630</v>
      </c>
      <c r="C143" s="3" t="s">
        <v>606</v>
      </c>
      <c r="D143" s="4" t="s">
        <v>642</v>
      </c>
    </row>
    <row r="144" spans="1:4">
      <c r="A144" s="3" t="s">
        <v>197</v>
      </c>
      <c r="B144" s="3" t="s">
        <v>643</v>
      </c>
      <c r="C144" s="3" t="s">
        <v>606</v>
      </c>
      <c r="D144" s="3" t="s">
        <v>644</v>
      </c>
    </row>
    <row r="145" spans="1:4" ht="22.5">
      <c r="A145" s="3" t="s">
        <v>198</v>
      </c>
      <c r="B145" s="3" t="s">
        <v>605</v>
      </c>
      <c r="C145" s="3" t="s">
        <v>606</v>
      </c>
      <c r="D145" s="4" t="s">
        <v>645</v>
      </c>
    </row>
    <row r="146" spans="1:4">
      <c r="A146" s="3" t="s">
        <v>199</v>
      </c>
      <c r="B146" s="3" t="s">
        <v>614</v>
      </c>
      <c r="C146" s="3" t="s">
        <v>606</v>
      </c>
      <c r="D146" s="3" t="s">
        <v>646</v>
      </c>
    </row>
    <row r="147" spans="1:4" ht="33.75">
      <c r="A147" s="3" t="s">
        <v>200</v>
      </c>
      <c r="B147" s="3" t="s">
        <v>605</v>
      </c>
      <c r="C147" s="3" t="s">
        <v>606</v>
      </c>
      <c r="D147" s="5" t="s">
        <v>647</v>
      </c>
    </row>
    <row r="148" spans="1:4" ht="33.75">
      <c r="A148" s="3" t="s">
        <v>201</v>
      </c>
      <c r="B148" s="3" t="s">
        <v>623</v>
      </c>
      <c r="C148" s="3" t="s">
        <v>606</v>
      </c>
      <c r="D148" s="4" t="s">
        <v>648</v>
      </c>
    </row>
    <row r="149" spans="1:4" ht="33.75">
      <c r="A149" s="3" t="s">
        <v>302</v>
      </c>
      <c r="B149" s="3" t="s">
        <v>608</v>
      </c>
      <c r="C149" s="3" t="s">
        <v>606</v>
      </c>
      <c r="D149" s="4" t="s">
        <v>649</v>
      </c>
    </row>
    <row r="150" spans="1:4" ht="22.5">
      <c r="A150" s="3" t="s">
        <v>203</v>
      </c>
      <c r="B150" s="3" t="s">
        <v>605</v>
      </c>
      <c r="C150" s="3" t="s">
        <v>606</v>
      </c>
      <c r="D150" s="4" t="s">
        <v>650</v>
      </c>
    </row>
    <row r="151" spans="1:4">
      <c r="A151" s="3" t="s">
        <v>204</v>
      </c>
      <c r="B151" s="3" t="s">
        <v>651</v>
      </c>
      <c r="C151" s="3" t="s">
        <v>652</v>
      </c>
      <c r="D151" s="3" t="s">
        <v>653</v>
      </c>
    </row>
    <row r="152" spans="1:4">
      <c r="A152" s="3" t="s">
        <v>205</v>
      </c>
      <c r="B152" s="3" t="s">
        <v>654</v>
      </c>
      <c r="C152" s="3" t="s">
        <v>652</v>
      </c>
      <c r="D152" s="3" t="s">
        <v>655</v>
      </c>
    </row>
    <row r="153" spans="1:4">
      <c r="A153" s="3" t="s">
        <v>206</v>
      </c>
      <c r="B153" s="3" t="s">
        <v>654</v>
      </c>
      <c r="C153" s="3" t="s">
        <v>652</v>
      </c>
      <c r="D153" s="3" t="s">
        <v>656</v>
      </c>
    </row>
    <row r="154" spans="1:4" ht="22.5">
      <c r="A154" s="3" t="s">
        <v>207</v>
      </c>
      <c r="B154" s="3" t="s">
        <v>657</v>
      </c>
      <c r="C154" s="3" t="s">
        <v>652</v>
      </c>
      <c r="D154" s="5" t="s">
        <v>658</v>
      </c>
    </row>
    <row r="155" spans="1:4">
      <c r="A155" s="3" t="s">
        <v>208</v>
      </c>
      <c r="B155" s="3" t="s">
        <v>657</v>
      </c>
      <c r="C155" s="3" t="s">
        <v>652</v>
      </c>
      <c r="D155" s="3" t="s">
        <v>659</v>
      </c>
    </row>
    <row r="156" spans="1:4" ht="22.5">
      <c r="A156" s="3" t="s">
        <v>210</v>
      </c>
      <c r="B156" s="3" t="s">
        <v>660</v>
      </c>
      <c r="C156" s="3" t="s">
        <v>652</v>
      </c>
      <c r="D156" s="5" t="s">
        <v>661</v>
      </c>
    </row>
    <row r="157" spans="1:4">
      <c r="A157" s="3" t="s">
        <v>282</v>
      </c>
      <c r="B157" s="3" t="s">
        <v>654</v>
      </c>
      <c r="C157" s="3" t="s">
        <v>652</v>
      </c>
      <c r="D157" s="3" t="s">
        <v>662</v>
      </c>
    </row>
    <row r="158" spans="1:4">
      <c r="A158" s="3" t="s">
        <v>311</v>
      </c>
      <c r="B158" s="3" t="s">
        <v>663</v>
      </c>
      <c r="C158" s="3" t="s">
        <v>652</v>
      </c>
      <c r="D158" s="3" t="s">
        <v>664</v>
      </c>
    </row>
    <row r="159" spans="1:4" ht="22.5">
      <c r="A159" s="3" t="s">
        <v>214</v>
      </c>
      <c r="B159" s="3" t="s">
        <v>654</v>
      </c>
      <c r="C159" s="3" t="s">
        <v>652</v>
      </c>
      <c r="D159" s="5" t="s">
        <v>665</v>
      </c>
    </row>
    <row r="160" spans="1:4" ht="22.5">
      <c r="A160" s="3" t="s">
        <v>215</v>
      </c>
      <c r="B160" s="3" t="s">
        <v>657</v>
      </c>
      <c r="C160" s="3" t="s">
        <v>652</v>
      </c>
      <c r="D160" s="4" t="s">
        <v>666</v>
      </c>
    </row>
    <row r="161" spans="1:4">
      <c r="A161" s="3" t="s">
        <v>307</v>
      </c>
      <c r="B161" s="3" t="s">
        <v>667</v>
      </c>
      <c r="C161" s="3" t="s">
        <v>652</v>
      </c>
      <c r="D161" s="3" t="s">
        <v>668</v>
      </c>
    </row>
    <row r="162" spans="1:4">
      <c r="A162" s="3" t="s">
        <v>217</v>
      </c>
      <c r="B162" s="3" t="s">
        <v>667</v>
      </c>
      <c r="C162" s="3" t="s">
        <v>652</v>
      </c>
      <c r="D162" s="3" t="s">
        <v>669</v>
      </c>
    </row>
    <row r="163" spans="1:4" ht="33.75">
      <c r="A163" s="3" t="s">
        <v>218</v>
      </c>
      <c r="B163" s="3" t="s">
        <v>670</v>
      </c>
      <c r="C163" s="3" t="s">
        <v>652</v>
      </c>
      <c r="D163" s="5" t="s">
        <v>671</v>
      </c>
    </row>
    <row r="164" spans="1:4">
      <c r="A164" s="3" t="s">
        <v>288</v>
      </c>
      <c r="B164" s="3" t="s">
        <v>657</v>
      </c>
      <c r="C164" s="3" t="s">
        <v>652</v>
      </c>
      <c r="D164" s="3" t="s">
        <v>672</v>
      </c>
    </row>
    <row r="165" spans="1:4" ht="22.5">
      <c r="A165" s="3" t="s">
        <v>222</v>
      </c>
      <c r="B165" s="3" t="s">
        <v>667</v>
      </c>
      <c r="C165" s="3" t="s">
        <v>652</v>
      </c>
      <c r="D165" s="4" t="s">
        <v>673</v>
      </c>
    </row>
    <row r="166" spans="1:4">
      <c r="A166" s="3" t="s">
        <v>223</v>
      </c>
      <c r="B166" s="3" t="s">
        <v>657</v>
      </c>
      <c r="C166" s="3" t="s">
        <v>652</v>
      </c>
      <c r="D166" s="3" t="s">
        <v>674</v>
      </c>
    </row>
    <row r="167" spans="1:4">
      <c r="A167" s="3" t="s">
        <v>224</v>
      </c>
      <c r="B167" s="3" t="s">
        <v>657</v>
      </c>
      <c r="C167" s="3" t="s">
        <v>652</v>
      </c>
      <c r="D167" s="3" t="s">
        <v>675</v>
      </c>
    </row>
    <row r="168" spans="1:4">
      <c r="A168" s="3" t="s">
        <v>225</v>
      </c>
      <c r="B168" s="3" t="s">
        <v>667</v>
      </c>
      <c r="C168" s="3" t="s">
        <v>652</v>
      </c>
      <c r="D168" s="3" t="s">
        <v>676</v>
      </c>
    </row>
    <row r="169" spans="1:4" ht="22.5">
      <c r="A169" s="3" t="s">
        <v>287</v>
      </c>
      <c r="B169" s="3" t="s">
        <v>654</v>
      </c>
      <c r="C169" s="3" t="s">
        <v>652</v>
      </c>
      <c r="D169" s="4" t="s">
        <v>677</v>
      </c>
    </row>
    <row r="170" spans="1:4">
      <c r="A170" s="3" t="s">
        <v>227</v>
      </c>
      <c r="B170" s="3" t="s">
        <v>678</v>
      </c>
      <c r="C170" s="3" t="s">
        <v>652</v>
      </c>
      <c r="D170" s="3" t="s">
        <v>679</v>
      </c>
    </row>
    <row r="171" spans="1:4" ht="22.5">
      <c r="A171" s="3" t="s">
        <v>228</v>
      </c>
      <c r="B171" s="3" t="s">
        <v>660</v>
      </c>
      <c r="C171" s="3" t="s">
        <v>652</v>
      </c>
      <c r="D171" s="4" t="s">
        <v>680</v>
      </c>
    </row>
    <row r="172" spans="1:4">
      <c r="A172" s="3" t="s">
        <v>229</v>
      </c>
      <c r="B172" s="3" t="s">
        <v>651</v>
      </c>
      <c r="C172" s="3" t="s">
        <v>652</v>
      </c>
      <c r="D172" s="3" t="s">
        <v>681</v>
      </c>
    </row>
    <row r="173" spans="1:4">
      <c r="A173" s="3" t="s">
        <v>230</v>
      </c>
      <c r="B173" s="3" t="s">
        <v>651</v>
      </c>
      <c r="C173" s="3" t="s">
        <v>652</v>
      </c>
      <c r="D173" s="3" t="s">
        <v>682</v>
      </c>
    </row>
    <row r="174" spans="1:4" ht="22.5">
      <c r="A174" s="3" t="s">
        <v>231</v>
      </c>
      <c r="B174" s="3" t="s">
        <v>651</v>
      </c>
      <c r="C174" s="3" t="s">
        <v>652</v>
      </c>
      <c r="D174" s="4" t="s">
        <v>683</v>
      </c>
    </row>
    <row r="175" spans="1:4" ht="22.5">
      <c r="A175" s="3" t="s">
        <v>292</v>
      </c>
      <c r="B175" s="3" t="s">
        <v>663</v>
      </c>
      <c r="C175" s="3" t="s">
        <v>652</v>
      </c>
      <c r="D175" s="4" t="s">
        <v>684</v>
      </c>
    </row>
    <row r="176" spans="1:4" ht="33.75">
      <c r="A176" s="3" t="s">
        <v>293</v>
      </c>
      <c r="B176" s="3" t="s">
        <v>667</v>
      </c>
      <c r="C176" s="3" t="s">
        <v>652</v>
      </c>
      <c r="D176" s="4" t="s">
        <v>685</v>
      </c>
    </row>
    <row r="177" spans="1:4">
      <c r="A177" s="3" t="s">
        <v>234</v>
      </c>
      <c r="B177" s="3" t="s">
        <v>686</v>
      </c>
      <c r="C177" s="3" t="s">
        <v>652</v>
      </c>
      <c r="D177" s="3" t="s">
        <v>687</v>
      </c>
    </row>
    <row r="178" spans="1:4">
      <c r="A178" s="3" t="s">
        <v>235</v>
      </c>
      <c r="B178" s="3" t="s">
        <v>667</v>
      </c>
      <c r="C178" s="3" t="s">
        <v>652</v>
      </c>
      <c r="D178" s="3" t="s">
        <v>688</v>
      </c>
    </row>
    <row r="179" spans="1:4" ht="33.75">
      <c r="A179" s="3" t="s">
        <v>236</v>
      </c>
      <c r="B179" s="3" t="s">
        <v>670</v>
      </c>
      <c r="C179" s="3" t="s">
        <v>652</v>
      </c>
      <c r="D179" s="4" t="s">
        <v>689</v>
      </c>
    </row>
    <row r="180" spans="1:4">
      <c r="A180" s="3" t="s">
        <v>309</v>
      </c>
      <c r="B180" s="3" t="s">
        <v>654</v>
      </c>
      <c r="C180" s="3" t="s">
        <v>652</v>
      </c>
      <c r="D180" s="3" t="s">
        <v>690</v>
      </c>
    </row>
    <row r="181" spans="1:4">
      <c r="A181" s="3" t="s">
        <v>238</v>
      </c>
      <c r="B181" s="3" t="s">
        <v>654</v>
      </c>
      <c r="C181" s="3" t="s">
        <v>652</v>
      </c>
      <c r="D181" s="3" t="s">
        <v>691</v>
      </c>
    </row>
    <row r="182" spans="1:4" ht="22.5">
      <c r="A182" s="3" t="s">
        <v>259</v>
      </c>
      <c r="B182" s="3" t="s">
        <v>692</v>
      </c>
      <c r="C182" s="3" t="s">
        <v>569</v>
      </c>
      <c r="D182" s="5" t="s">
        <v>693</v>
      </c>
    </row>
    <row r="183" spans="1:4">
      <c r="A183" s="3" t="s">
        <v>260</v>
      </c>
      <c r="B183" s="3" t="s">
        <v>694</v>
      </c>
      <c r="C183" s="3" t="s">
        <v>569</v>
      </c>
      <c r="D183" s="3" t="s">
        <v>695</v>
      </c>
    </row>
    <row r="184" spans="1:4" ht="22.5">
      <c r="A184" s="3" t="s">
        <v>261</v>
      </c>
      <c r="B184" s="3" t="s">
        <v>696</v>
      </c>
      <c r="C184" s="3" t="s">
        <v>569</v>
      </c>
      <c r="D184" s="4" t="s">
        <v>697</v>
      </c>
    </row>
    <row r="185" spans="1:4" ht="33.75">
      <c r="A185" s="3" t="s">
        <v>262</v>
      </c>
      <c r="B185" s="3" t="s">
        <v>698</v>
      </c>
      <c r="C185" s="3" t="s">
        <v>569</v>
      </c>
      <c r="D185" s="5" t="s">
        <v>699</v>
      </c>
    </row>
    <row r="186" spans="1:4" ht="33.75">
      <c r="A186" s="3" t="s">
        <v>263</v>
      </c>
      <c r="B186" s="3" t="s">
        <v>700</v>
      </c>
      <c r="C186" s="3" t="s">
        <v>569</v>
      </c>
      <c r="D186" s="4" t="s">
        <v>701</v>
      </c>
    </row>
    <row r="187" spans="1:4" ht="22.5">
      <c r="A187" s="3" t="s">
        <v>264</v>
      </c>
      <c r="B187" s="3" t="s">
        <v>702</v>
      </c>
      <c r="C187" s="3" t="s">
        <v>569</v>
      </c>
      <c r="D187" s="4" t="s">
        <v>703</v>
      </c>
    </row>
    <row r="188" spans="1:4" ht="22.5">
      <c r="A188" s="3" t="s">
        <v>265</v>
      </c>
      <c r="B188" s="3" t="s">
        <v>704</v>
      </c>
      <c r="C188" s="3" t="s">
        <v>569</v>
      </c>
      <c r="D188" s="4" t="s">
        <v>705</v>
      </c>
    </row>
    <row r="189" spans="1:4">
      <c r="A189" s="3" t="s">
        <v>266</v>
      </c>
      <c r="B189" s="3" t="s">
        <v>706</v>
      </c>
      <c r="C189" s="3" t="s">
        <v>569</v>
      </c>
      <c r="D189" s="3" t="s">
        <v>707</v>
      </c>
    </row>
    <row r="190" spans="1:4" ht="45">
      <c r="A190" s="3" t="s">
        <v>267</v>
      </c>
      <c r="B190" s="3" t="s">
        <v>708</v>
      </c>
      <c r="C190" s="3" t="s">
        <v>569</v>
      </c>
      <c r="D190" s="5" t="s">
        <v>709</v>
      </c>
    </row>
    <row r="191" spans="1:4" ht="33.75">
      <c r="A191" s="3" t="s">
        <v>268</v>
      </c>
      <c r="B191" s="3" t="s">
        <v>710</v>
      </c>
      <c r="C191" s="3" t="s">
        <v>569</v>
      </c>
      <c r="D191" s="5" t="s">
        <v>711</v>
      </c>
    </row>
    <row r="192" spans="1:4" ht="22.5">
      <c r="A192" s="3" t="s">
        <v>276</v>
      </c>
      <c r="B192" s="3" t="s">
        <v>712</v>
      </c>
      <c r="C192" s="3" t="s">
        <v>569</v>
      </c>
      <c r="D192" s="5" t="s">
        <v>713</v>
      </c>
    </row>
    <row r="193" spans="1:4" ht="22.5">
      <c r="A193" s="3" t="s">
        <v>308</v>
      </c>
      <c r="B193" s="3">
        <v>0</v>
      </c>
      <c r="C193" s="3" t="s">
        <v>456</v>
      </c>
      <c r="D193" s="4" t="s">
        <v>714</v>
      </c>
    </row>
    <row r="194" spans="1:4" ht="33.75">
      <c r="A194" s="3" t="s">
        <v>291</v>
      </c>
      <c r="B194" s="3">
        <v>3</v>
      </c>
      <c r="C194" s="3" t="s">
        <v>456</v>
      </c>
      <c r="D194" s="5" t="s">
        <v>715</v>
      </c>
    </row>
    <row r="195" spans="1:4" ht="22.5">
      <c r="A195" s="3" t="s">
        <v>303</v>
      </c>
      <c r="B195" s="3">
        <v>2</v>
      </c>
      <c r="C195" s="3" t="s">
        <v>456</v>
      </c>
      <c r="D195" s="4" t="s">
        <v>716</v>
      </c>
    </row>
    <row r="196" spans="1:4">
      <c r="A196" s="3" t="s">
        <v>251</v>
      </c>
      <c r="B196" s="3">
        <v>2</v>
      </c>
      <c r="C196" s="3" t="s">
        <v>456</v>
      </c>
    </row>
    <row r="197" spans="1:4">
      <c r="A197" s="3" t="s">
        <v>252</v>
      </c>
      <c r="B197" s="3">
        <v>4</v>
      </c>
      <c r="C197" s="3" t="s">
        <v>456</v>
      </c>
      <c r="D197" s="3" t="s">
        <v>717</v>
      </c>
    </row>
    <row r="198" spans="1:4">
      <c r="A198" s="3" t="s">
        <v>253</v>
      </c>
      <c r="B198" s="3">
        <v>2</v>
      </c>
      <c r="C198" s="3" t="s">
        <v>456</v>
      </c>
      <c r="D198" s="3" t="s">
        <v>718</v>
      </c>
    </row>
    <row r="199" spans="1:4" ht="22.5">
      <c r="A199" s="3" t="s">
        <v>306</v>
      </c>
      <c r="B199" s="3">
        <v>3</v>
      </c>
      <c r="C199" s="3" t="s">
        <v>456</v>
      </c>
      <c r="D199" s="4" t="s">
        <v>719</v>
      </c>
    </row>
    <row r="200" spans="1:4">
      <c r="A200" s="3" t="s">
        <v>255</v>
      </c>
      <c r="B200" s="3">
        <v>3</v>
      </c>
      <c r="C200" s="3" t="s">
        <v>456</v>
      </c>
      <c r="D200" s="6" t="s">
        <v>720</v>
      </c>
    </row>
    <row r="201" spans="1:4" ht="45">
      <c r="A201" s="3" t="s">
        <v>286</v>
      </c>
      <c r="B201" s="3">
        <v>1</v>
      </c>
      <c r="C201" s="3" t="s">
        <v>456</v>
      </c>
      <c r="D201" s="5" t="s">
        <v>721</v>
      </c>
    </row>
    <row r="202" spans="1:4" ht="33.75">
      <c r="A202" s="3" t="s">
        <v>257</v>
      </c>
      <c r="B202" s="3">
        <v>1</v>
      </c>
      <c r="C202" s="3" t="s">
        <v>456</v>
      </c>
      <c r="D202" s="4" t="s">
        <v>722</v>
      </c>
    </row>
    <row r="203" spans="1:4" ht="33.75">
      <c r="A203" s="3" t="s">
        <v>258</v>
      </c>
      <c r="B203" s="3">
        <v>3</v>
      </c>
      <c r="C203" s="3" t="s">
        <v>456</v>
      </c>
      <c r="D203" s="4" t="s">
        <v>723</v>
      </c>
    </row>
    <row r="204" spans="1:4" ht="22.5">
      <c r="A204" s="3" t="s">
        <v>270</v>
      </c>
      <c r="C204" s="3" t="s">
        <v>724</v>
      </c>
      <c r="D204" s="4" t="s">
        <v>725</v>
      </c>
    </row>
    <row r="205" spans="1:4" ht="33.75">
      <c r="A205" s="3" t="s">
        <v>289</v>
      </c>
      <c r="C205" s="3" t="s">
        <v>724</v>
      </c>
      <c r="D205" s="5" t="s">
        <v>726</v>
      </c>
    </row>
    <row r="206" spans="1:4" ht="22.5">
      <c r="A206" s="3" t="s">
        <v>272</v>
      </c>
      <c r="C206" s="3" t="s">
        <v>724</v>
      </c>
      <c r="D206" s="4" t="s">
        <v>727</v>
      </c>
    </row>
    <row r="207" spans="1:4">
      <c r="A207" s="3" t="s">
        <v>454</v>
      </c>
      <c r="B207" s="3" t="s">
        <v>728</v>
      </c>
    </row>
    <row r="208" spans="1:4">
      <c r="A208" s="3" t="s">
        <v>454</v>
      </c>
      <c r="B208" s="3" t="s">
        <v>729</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I205"/>
  <sheetViews>
    <sheetView workbookViewId="0">
      <selection sqref="A1:XFD1048576"/>
    </sheetView>
  </sheetViews>
  <sheetFormatPr defaultRowHeight="11.25"/>
  <cols>
    <col min="1" max="16384" width="9" style="1"/>
  </cols>
  <sheetData>
    <row r="1" spans="1:9">
      <c r="A1" s="1">
        <v>1</v>
      </c>
      <c r="B1" s="1" t="s">
        <v>239</v>
      </c>
      <c r="D1" s="1">
        <f>VLOOKUP(B1,channelfireball!A:C,2,FALSE)</f>
        <v>2.5</v>
      </c>
      <c r="E1" s="1" t="str">
        <f>VLOOKUP(B1,channelfireball!A:C,3,FALSE)</f>
        <v>I like emerge as a quite a lot. As a general rule when evaluating new Magic cards, anything that lets you cast expensive spells for cheaper is worth paying close attention to. Emerge can lead to some easy wins when you put a giant monster into play quickly and it goes unanswered. In Limited it’s important?to put yourself in a position to earn easy wins.But be aware that the cost of emerge is card disadvantage. You spend 2 cards (the Eldrazi in your hand and the creature on the battlefield) to result in 1 new creature on the battlefield. There’s a risk of falling behind if the opponent can answer your Eldrazi with a removal or bounce spell.Abundant Maw isn’t quite the payoff I’d hope for for an emerge creature. Since it puts you down on card advantage, I’m looking for an immediate impact on the battlefield, which this card doesn’t have. Granted, the 6 point life swing gives you breathing room, and ensures that things can’t go too horribly wrong. The power level is high enough that I think you’re happy to play with Abundant Maw in your black decks.</v>
      </c>
      <c r="F1" s="1">
        <f>VLOOKUP(B1,smds!B:C,2,FALSE)</f>
        <v>1.9</v>
      </c>
      <c r="G1" s="1">
        <f>VLOOKUP(B1,oracle!A:D,2,FALSE)</f>
        <v>8</v>
      </c>
      <c r="H1" s="1" t="str">
        <f>VLOOKUP(B1,oracle!A:D,3,FALSE)</f>
        <v>colorless</v>
      </c>
      <c r="I1" s="1" t="str">
        <f>VLOOKUP(B1,oracle!A:D,4,FALSE)</f>
        <v>\"Emerge {6}{B} （You may cast this spell by sacrificing a creature and paying the emerge cost reduced by that creature's converted mana cost.）
When you cast Abundant Maw, target opponent loses 3 life and you gain 3 life.\"</v>
      </c>
    </row>
    <row r="2" spans="1:9">
      <c r="A2" s="1">
        <v>2</v>
      </c>
      <c r="B2" s="1" t="s">
        <v>209</v>
      </c>
      <c r="D2" s="1">
        <f>VLOOKUP(B2,channelfireball!A:C,2,FALSE)</f>
        <v>4.5</v>
      </c>
      <c r="E2" s="1" t="str">
        <f>VLOOKUP(B2,channelfireball!A:C,3,FALSE)</f>
        <v>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v>
      </c>
      <c r="F2" s="1">
        <f>VLOOKUP(B2,smds!B:C,2,FALSE)</f>
        <v>10</v>
      </c>
      <c r="G2" s="1">
        <f>VLOOKUP(B2,oracle!A:D,2,FALSE)</f>
        <v>10</v>
      </c>
      <c r="H2" s="1" t="str">
        <f>VLOOKUP(B2,oracle!A:D,3,FALSE)</f>
        <v>colorless</v>
      </c>
      <c r="I2" s="1" t="str">
        <f>VLOOKUP(B2,oracle!A:D,4,FALSE)</f>
        <v>\"\\"\"\\\"\"\\"\"\\\\"\"\\"\"\\\"\"\\"\"Emerge {6}{G}{G}{G} （You may cast this spell by sacrificing a creature and paying the emerge cost reduced by that creature's converted mana cost.）
When you cast Decimator of the Provinces, creatures you control get +2/+2 and gain trample until end of turn.
Trample, haste\\\\"\"\\"\"\\\"\"\\"\"\\\"\"\\"\"\\"\"\"</v>
      </c>
    </row>
    <row r="3" spans="1:9">
      <c r="A3" s="1">
        <v>3</v>
      </c>
      <c r="B3" s="1" t="s">
        <v>240</v>
      </c>
      <c r="D3" s="1">
        <f>VLOOKUP(B3,channelfireball!A:C,2,FALSE)</f>
        <v>3</v>
      </c>
      <c r="E3" s="1" t="str">
        <f>VLOOKUP(B3,channelfireball!A:C,3,FALSE)</f>
        <v>By the time turn 8 rolls around, your opponent’s hand will often be empty. So you have another emerge card that’s unexciting to hardcast. Casting Distended Mindbender ahead of schedule for its emerge cost can be more powerful. You can feel a lot better sacrificing board presence for a creature like this when you know you can strip away your opponent’s removal spell.You should evaluate this card assuming you’ll strip 1 card out of your opponent’s hand. Even by turn 5, the odds of actually sniping 2 spells will be relatively low. Overall, the Mindbender looks like something you’re always happy to play in a black deck, but not exactly a bomb. That said, it’s also a bit matchup dependent and can be absolutely devastating against slow, control decks. Despite not having the highest power and toughness, the Mindbender is great at trumping other emerge creatures by taking them out of the opponent’s hand before they can hit the battlefield.</v>
      </c>
      <c r="F3" s="1">
        <f>VLOOKUP(B3,smds!B:C,2,FALSE)</f>
        <v>9.5</v>
      </c>
      <c r="G3" s="1">
        <f>VLOOKUP(B3,oracle!A:D,2,FALSE)</f>
        <v>8</v>
      </c>
      <c r="H3" s="1" t="str">
        <f>VLOOKUP(B3,oracle!A:D,3,FALSE)</f>
        <v>colorless</v>
      </c>
      <c r="I3" s="1" t="str">
        <f>VLOOKUP(B3,oracle!A:D,4,FALSE)</f>
        <v>\"\\"\"\\\"\"\\"\"\\\\"\"\\"\"\\\"\"\\"\"Emerge {5}{B}{B} （You may cast this spell by sacrificing a creature and paying the emerge cost reduced by that creature's converted mana cost.）
When you cast Distended Mindbender, target opponent reveals his or her hand. You choose from it a nonland card with converted mana cost 3 or less and a card with converted mana cost 4 or greater. That player discards those cards.\\\\"\"\\"\"\\\"\"\\"\"\\\"\"\\"\"\\"\"\"</v>
      </c>
    </row>
    <row r="4" spans="1:9">
      <c r="A4" s="1">
        <v>4</v>
      </c>
      <c r="B4" s="1" t="s">
        <v>241</v>
      </c>
      <c r="D4" s="1">
        <f>VLOOKUP(B4,channelfireball!A:C,2,FALSE)</f>
        <v>2.5</v>
      </c>
      <c r="E4" s="1" t="str">
        <f>VLOOKUP(B4,channelfireball!A:C,3,FALSE)</f>
        <v>Because of its strange 1-turn-hexproof clause, Drownyard Behemoth is a foolproof way to ambush a ground attacker. Almost nothing can beat a 5/7 in combat, and the opponent can’t use instant-speed bounce or removal to trump the Behemoth. This is its way of guaranteeing value and paying for the creature you sacrificed to emerge. Looks pretty solid to me.</v>
      </c>
      <c r="F4" s="1">
        <f>VLOOKUP(B4,smds!B:C,2,FALSE)</f>
        <v>1.7</v>
      </c>
      <c r="G4" s="1">
        <f>VLOOKUP(B4,oracle!A:D,2,FALSE)</f>
        <v>9</v>
      </c>
      <c r="H4" s="1" t="str">
        <f>VLOOKUP(B4,oracle!A:D,3,FALSE)</f>
        <v>colorless</v>
      </c>
      <c r="I4" s="1" t="str">
        <f>VLOOKUP(B4,oracle!A:D,4,FALSE)</f>
        <v>\"\\"\"\\\"\"\\"\"\\\\"\"\\"\"\\\"\"\\"\"Flash （You may cast this spell any time you could cast an instant.）
Emerge {7}{U} （You may cast this spell by sacrificing a creature and paying the emerge cost reduced by that creature's converted mana cost.）
Drownyard Behemoth has hexproof as long as it entered the battlefield this turn.\\\\"\"\\"\"\\\"\"\\"\"\\\"\"\\"\"\\"\"\"</v>
      </c>
    </row>
    <row r="5" spans="1:9">
      <c r="A5" s="1">
        <v>5</v>
      </c>
      <c r="B5" s="1" t="s">
        <v>242</v>
      </c>
      <c r="D5" s="1">
        <f>VLOOKUP(B5,channelfireball!A:C,2,FALSE)</f>
        <v>4</v>
      </c>
      <c r="E5" s="1" t="str">
        <f>VLOOKUP(B5,channelfireball!A:C,3,FALSE)</f>
        <v>When you’re winning, Elder Deep-Fiend will usually win you the game by tapping down opposing blockers at the end of the turn. When you’re losing, it can ambush a creature in combat, or fog for a turn (but unfortunately not both). Being helpful in a wide variety of situations is exactly what I look for in an expensive card, and this one seems to fit that bill.Note also that it can tap any permanent, including lands. This can help you clear the way for a safe, clean combat step where you’ll know exactly what your opponent can and can’t do.Elder Deep-Fiend earns its high rating based on being able to cast it for its emerge cost in a blue deck. But I think it stands out from the other emerge creatures in that its rate is good enough to be playable “off color.” Of course, your WR Beatdown decks don’t want an 8-mana spell for any reason. I can easily see playing this in?a slow?GB delirium deck.</v>
      </c>
      <c r="F5" s="1">
        <f>VLOOKUP(B5,smds!B:C,2,FALSE)</f>
        <v>9.6999999999999993</v>
      </c>
      <c r="G5" s="1">
        <f>VLOOKUP(B5,oracle!A:D,2,FALSE)</f>
        <v>8</v>
      </c>
      <c r="H5" s="1" t="str">
        <f>VLOOKUP(B5,oracle!A:D,3,FALSE)</f>
        <v>colorless</v>
      </c>
      <c r="I5" s="1" t="str">
        <f>VLOOKUP(B5,oracle!A:D,4,FALSE)</f>
        <v>\"\\"\"\\\"\"\\"\"\\\\"\"\\"\"\\\"\"\\"\"Flash
Emerge {5}{U}{U} （You may cast this spell by sacrificing a creature and paying the emerge cost reduced by that creature's converted mana cost.）
When you cast Elder Deep-Fiend, tap up to four target permanents.\\\\"\"\\"\"\\\"\"\\"\"\\\"\"\\"\"\\"\"\"</v>
      </c>
    </row>
    <row r="6" spans="1:9">
      <c r="A6" s="1">
        <v>6</v>
      </c>
      <c r="B6" s="2" t="s">
        <v>451</v>
      </c>
      <c r="D6" s="1">
        <f>VLOOKUP(B6,channelfireball!A:C,2,FALSE)</f>
        <v>3</v>
      </c>
      <c r="E6" s="1" t="str">
        <f>VLOOKUP(B6,channelfireball!A:C,3,FALSE)</f>
        <v>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v>
      </c>
      <c r="F6" s="1">
        <f>VLOOKUP(B6,smds!B:C,2,FALSE)</f>
        <v>10</v>
      </c>
      <c r="G6" s="1">
        <f>VLOOKUP(B6,oracle!A:D,2,FALSE)</f>
        <v>13</v>
      </c>
      <c r="H6" s="1" t="str">
        <f>VLOOKUP(B6,oracle!A:D,3,FALSE)</f>
        <v>colorless</v>
      </c>
      <c r="I6" s="1" t="str">
        <f>VLOOKUP(B6,oracle!A:D,4,FALSE)</f>
        <v>\"\\"\"\\\"\"\\"\"\\\\"\"\\"\"\\\"\"\\"\"Emrakul, the Promised End costs {1} less to cast for each card type among cards in your graveyard.
When you cast Emrakul, you gain control of target opponent during that player's next turn. After that turn, that player takes an extra turn.
Flying, trample, protection from instants\\\\"\"\\"\"\\\"\"\\"\"\\\"\"\\"\"\\"\"\"</v>
      </c>
    </row>
    <row r="7" spans="1:9">
      <c r="A7" s="1">
        <v>7</v>
      </c>
      <c r="B7" s="1" t="s">
        <v>244</v>
      </c>
      <c r="D7" s="1">
        <f>VLOOKUP(B7,channelfireball!A:C,2,FALSE)</f>
        <v>2</v>
      </c>
      <c r="E7" s="1" t="str">
        <f>VLOOKUP(B7,channelfireball!A:C,3,FALSE)</f>
        <v>For most practical purposes, Eternal Scourge is a colorless Nessian Courser. If you can’t exile it from your own graveyard (which is difficult), then its ability is a minor downfall, since it gives your opponent more options. It can always come back, but they might use their instants and sorceries to tempo you out, or they might have a permanent that can repeatedly target it. Overall, not a high draft pick.</v>
      </c>
      <c r="F7" s="1">
        <f>VLOOKUP(B7,smds!B:C,2,FALSE)</f>
        <v>5.4</v>
      </c>
      <c r="G7" s="1">
        <f>VLOOKUP(B7,oracle!A:D,2,FALSE)</f>
        <v>3</v>
      </c>
      <c r="H7" s="1" t="str">
        <f>VLOOKUP(B7,oracle!A:D,3,FALSE)</f>
        <v>colorless</v>
      </c>
      <c r="I7" s="1" t="str">
        <f>VLOOKUP(B7,oracle!A:D,4,FALSE)</f>
        <v>\"\\"\"\\\"\"\\"\"\\\\"\"\\"\"\\\"\"\\"\"You may cast Eternal Scourge from exile.
When Eternal Scourge becomes the target of a spell or ability an opponent controls, exile Eternal Scourge.\\\\"\"\\"\"\\\"\"\\"\"\\\"\"\\"\"\\"\"\"</v>
      </c>
    </row>
    <row r="8" spans="1:9">
      <c r="A8" s="1">
        <v>8</v>
      </c>
      <c r="B8" s="1" t="s">
        <v>219</v>
      </c>
      <c r="D8" s="1">
        <f>VLOOKUP(B8,channelfireball!A:C,2,FALSE)</f>
        <v>2.5</v>
      </c>
      <c r="E8" s="1" t="str">
        <f>VLOOKUP(B8,channelfireball!A:C,3,FALSE)</f>
        <v>It of the Horrid Swarm is one of only two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v>
      </c>
      <c r="F8" s="1">
        <f>VLOOKUP(B8,smds!B:C,2,FALSE)</f>
        <v>1</v>
      </c>
      <c r="G8" s="1">
        <f>VLOOKUP(B8,oracle!A:D,2,FALSE)</f>
        <v>8</v>
      </c>
      <c r="H8" s="1" t="str">
        <f>VLOOKUP(B8,oracle!A:D,3,FALSE)</f>
        <v>colorless</v>
      </c>
      <c r="I8" s="1" t="str">
        <f>VLOOKUP(B8,oracle!A:D,4,FALSE)</f>
        <v>\"\\"\"\\\"\"\\"\"\\\\"\"\\"\"\\\"\"\\"\"Emerge {6}{G} （You may cast this spell by sacrificing a creature and paying the emerge cost reduced by that creature's converted mana cost.）
When you cast It of the Horrid Swarm, put two 1/1 green Insect creature tokens onto the battlefield.\\\\"\"\\"\"\\\"\"\\"\"\\\"\"\\"\"\\"\"\"</v>
      </c>
    </row>
    <row r="9" spans="1:9">
      <c r="A9" s="1">
        <v>9</v>
      </c>
      <c r="B9" s="1" t="s">
        <v>245</v>
      </c>
      <c r="D9" s="1">
        <f>VLOOKUP(B9,channelfireball!A:C,2,FALSE)</f>
        <v>3</v>
      </c>
      <c r="E9" s="1" t="str">
        <f>VLOOKUP(B9,channelfireball!A:C,3,FALSE)</f>
        <v>Having a multicolored emerge cost makes Lashweed Lurker slightly more difficult to use well. But the power level is still definitely there, as it has a large, immediate impact on the board, and won’t leave you down on card advantage even when paying the emerge cost.</v>
      </c>
      <c r="F9" s="1">
        <f>VLOOKUP(B9,smds!B:C,2,FALSE)</f>
        <v>1.1000000000000001</v>
      </c>
      <c r="G9" s="1">
        <f>VLOOKUP(B9,oracle!A:D,2,FALSE)</f>
        <v>8</v>
      </c>
      <c r="H9" s="1" t="str">
        <f>VLOOKUP(B9,oracle!A:D,3,FALSE)</f>
        <v>colorless</v>
      </c>
      <c r="I9" s="1" t="str">
        <f>VLOOKUP(B9,oracle!A:D,4,FALSE)</f>
        <v>\"\\"\"\\\"\"\\"\"\\\\"\"\\"\"\\\"\"\\"\"Emerge {5}{G}{U} （You may cast this spell by sacrificing a creature and paying the emerge cost reduced by that creature's converted mana cost.）
When you cast Lashweed Lurker, you may put target nonland permanent on top of its owner's library.\\\\"\"\\"\"\\\"\"\\"\"\\\"\"\\"\"\\"\"\"</v>
      </c>
    </row>
    <row r="10" spans="1:9">
      <c r="A10" s="1">
        <v>10</v>
      </c>
      <c r="B10" s="1" t="s">
        <v>221</v>
      </c>
      <c r="D10" s="1">
        <f>VLOOKUP(B10,channelfireball!A:C,2,FALSE)</f>
        <v>2.5</v>
      </c>
      <c r="E10" s="1" t="str">
        <f>VLOOKUP(B10,channelfireball!A:C,3,FALSE)</f>
        <v>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it seems natural to sideboard it out if the opponent doesn’t have artifacts or enchantments, and you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v>
      </c>
      <c r="F10" s="1">
        <f>VLOOKUP(B10,smds!B:C,2,FALSE)</f>
        <v>1.2</v>
      </c>
      <c r="G10" s="1">
        <f>VLOOKUP(B10,oracle!A:D,2,FALSE)</f>
        <v>9</v>
      </c>
      <c r="H10" s="1" t="str">
        <f>VLOOKUP(B10,oracle!A:D,3,FALSE)</f>
        <v>colorless</v>
      </c>
      <c r="I10" s="1" t="str">
        <f>VLOOKUP(B10,oracle!A:D,4,FALSE)</f>
        <v>\"\\"\"\\\"\"\\"\"\\\\"\"\\"\"\\\"\"\\"\"Emerge {7}{G} （You may cast this spell by sacrificing a creature and paying the emerge cost reduced by that creature's converted mana cost.）
When you cast Mockery of Nature, you may destroy target artifact or enchantment.\\\\"\"\\"\"\\\"\"\\"\"\\\"\"\\"\"\\"\"\"</v>
      </c>
    </row>
    <row r="11" spans="1:9">
      <c r="A11" s="1">
        <v>11</v>
      </c>
      <c r="B11" s="1" t="s">
        <v>246</v>
      </c>
      <c r="D11" s="1">
        <f>VLOOKUP(B11,channelfireball!A:C,2,FALSE)</f>
        <v>3.5</v>
      </c>
      <c r="E11" s="1" t="str">
        <f>VLOOKUP(B11,channelfireball!A:C,3,FALSE)</f>
        <v>Of the non-rare emerge creatures, Vexing Scuttler is my favorite. Returning an instant or sorcery from your graveyard to your hand replaces the creature that you sacrificed to emerge. It’s also pretty affordable by Eldrazi standards, and it’s not far-fetched that you could cast this and whatever spell you return both in the same turn.I like the card advantage, the flexibility, and the giant monster that you get out of casting Vexing Scuttler. Look for this to be an especially powerful card in a Sealed deck.</v>
      </c>
      <c r="F11" s="1">
        <f>VLOOKUP(B11,smds!B:C,2,FALSE)</f>
        <v>1.7</v>
      </c>
      <c r="G11" s="1">
        <f>VLOOKUP(B11,oracle!A:D,2,FALSE)</f>
        <v>8</v>
      </c>
      <c r="H11" s="1" t="str">
        <f>VLOOKUP(B11,oracle!A:D,3,FALSE)</f>
        <v>colorless</v>
      </c>
      <c r="I11" s="1" t="str">
        <f>VLOOKUP(B11,oracle!A:D,4,FALSE)</f>
        <v>\"\\"\"\\\"\"\\"\"\\\\"\"\\"\"\\\"\"\\"\"Emerge {6}{U} （You may cast this spell by sacrificing a creature and paying the emerge cost reduced by that creature's converted mana cost.）
When you cast Vexing Scuttler, you may return target instant or sorcery card from your graveyard to your hand.\\\\"\"\\"\"\\\"\"\\"\"\\\"\"\\"\"\\"\"\"</v>
      </c>
    </row>
    <row r="12" spans="1:9">
      <c r="A12" s="1">
        <v>12</v>
      </c>
      <c r="B12" s="1" t="s">
        <v>247</v>
      </c>
      <c r="D12" s="1">
        <f>VLOOKUP(B12,channelfireball!A:C,2,FALSE)</f>
        <v>3</v>
      </c>
      <c r="E12" s="1" t="str">
        <f>VLOOKUP(B12,channelfireball!A:C,3,FALSE)</f>
        <v>Mulldrifter this is not. But a threatening body that replaces itself it is! Wretched Gryff looks like a good addition to any blue deck, and some, slow nonblue decks.For practical purposes, Wretched Gryff might prove to be one of the best “blue” commons. Pairing this with Exultant Cultist or Enlightened Maniac will probably be one of the bread-and-butter synergies that blue decks will want in Eldritch Moon Limited.</v>
      </c>
      <c r="F12" s="1">
        <f>VLOOKUP(B12,smds!B:C,2,FALSE)</f>
        <v>1.4</v>
      </c>
      <c r="G12" s="1">
        <f>VLOOKUP(B12,oracle!A:D,2,FALSE)</f>
        <v>7</v>
      </c>
      <c r="H12" s="1" t="str">
        <f>VLOOKUP(B12,oracle!A:D,3,FALSE)</f>
        <v>colorless</v>
      </c>
      <c r="I12" s="1" t="str">
        <f>VLOOKUP(B12,oracle!A:D,4,FALSE)</f>
        <v>\"\\"\"\\\"\"\\"\"\\\\"\"\\"\"\\\"\"\\"\"Emerge {5}{U} （You may cast this spell by sacrificing a creature and paying the emerge cost reduced by that creature's converted mana cost.）
When you cast Wretched Gryff, draw a card.
Flying\\\\"\"\\"\"\\\"\"\\"\"\\\"\"\\"\"\\"\"\"</v>
      </c>
    </row>
    <row r="13" spans="1:9">
      <c r="A13" s="1">
        <v>13</v>
      </c>
      <c r="B13" s="1" t="s">
        <v>1</v>
      </c>
      <c r="D13" s="1">
        <f>VLOOKUP(B13,channelfireball!A:C,2,FALSE)</f>
        <v>2.5</v>
      </c>
      <c r="E13" s="1" t="str">
        <f>VLOOKUP(B13,channelfireball!A:C,3,FALSE)</f>
        <v>Escalate is one of the new mechanics in Eldritch Moon. Cards with escalate are extremely flexible; you can sink varying amounts of mana into them, and they have?multiple?modes to choose from. Most of the cards have one or two bread-and-butter modes that you’ll be using most of the time in Limited. The rest are situational, bonus modes that can be nice, but shouldn’t drastically change your valuation of the cards.In the case of Blessed Alliance, the bread and butter ability is making the opponent sacrifice an attacking creature (this is the only mode that gives you a card’s worth of value). However, the two bonus abilities make it a reasonably powerful utility spell.It’s difficult to kill two attackers with Blessed Alliance, because if you escalate and try to untap creatures for an ambush, your opponent can choose to sacrifice a weaker or non-evasive attacker. That said, you can certainly contrive situations where you can kill multiple attackers, and sometimes the stars do align.Finally, while you should basically never play with a card that does nothing but gain you life, having the gain-4 option tacked on to this card at such a low cost is also fantastic.</v>
      </c>
      <c r="F13" s="1">
        <f>VLOOKUP(B13,smds!B:C,2,FALSE)</f>
        <v>2.5</v>
      </c>
      <c r="G13" s="1" t="str">
        <f>VLOOKUP(B13,oracle!A:D,2,FALSE)</f>
        <v>1W</v>
      </c>
      <c r="H13" s="1" t="str">
        <f>VLOOKUP(B13,oracle!A:D,3,FALSE)</f>
        <v>white</v>
      </c>
      <c r="I13" s="1" t="str">
        <f>VLOOKUP(B13,oracle!A:D,4,FALSE)</f>
        <v>\"Escalate {2} （Pay this cost for each mode chosen beyond the first.）
Choose one or more ---
? Target player gains 4 life.
? Untap up to two target creatures.
? Target opponent sacrifices an attacking creature.\"</v>
      </c>
    </row>
    <row r="14" spans="1:9">
      <c r="A14" s="1">
        <v>14</v>
      </c>
      <c r="B14" s="1" t="s">
        <v>3</v>
      </c>
      <c r="D14" s="1">
        <f>VLOOKUP(B14,channelfireball!A:C,2,FALSE)</f>
        <v>2</v>
      </c>
      <c r="E14" s="1" t="str">
        <f>VLOOKUP(B14,channelfireball!A:C,3,FALSE)</f>
        <v>I’m not a fan of Trumpet Blast. But Borrowed Grace will be Trumpet Blast when Trumpet Blast is good (a.k.a. lethal). It gives your team the full +2/+2 when the game stalls out, and every now and then it will save a creature for 3 mana. Escalate is a powerful ability, and Borrowed Grace is a very good version of what it does.Not every deck will be interested in Borrowed Grace, and it’s not the type of card you’ll want more than 1 or 2 copies of. But when you have an aggressive, white, creature-swarm deck, Borrowed Grace will be a great?addition.</v>
      </c>
      <c r="F14" s="1">
        <f>VLOOKUP(B14,smds!B:C,2,FALSE)</f>
        <v>1</v>
      </c>
      <c r="G14" s="1" t="str">
        <f>VLOOKUP(B14,oracle!A:D,2,FALSE)</f>
        <v>2W</v>
      </c>
      <c r="H14" s="1" t="str">
        <f>VLOOKUP(B14,oracle!A:D,3,FALSE)</f>
        <v>white</v>
      </c>
      <c r="I14" s="1" t="str">
        <f>VLOOKUP(B14,oracle!A:D,4,FALSE)</f>
        <v>\"\\"\"\\\"\"\\"\"\\\\"\"\\"\"\\\"\"\\"\"Escalate {1}{W} （Pay this cost for each mode chosen beyond the first.）
Choose one or both ---
? Creatures you control get +2/+0 until end of turn.
? Creatures you control get +0/+2 until end of turn.\\\\"\"\\"\"\\\"\"\\"\"\\\"\"\\"\"\\"\"\"</v>
      </c>
    </row>
    <row r="15" spans="1:9">
      <c r="A15" s="1">
        <v>15</v>
      </c>
      <c r="B15" s="1" t="s">
        <v>278</v>
      </c>
      <c r="D15" s="1" t="e">
        <f>VLOOKUP(B15,channelfireball!A:C,2,FALSE)</f>
        <v>#N/A</v>
      </c>
      <c r="E15" s="1" t="e">
        <f>VLOOKUP(B15,channelfireball!A:C,3,FALSE)</f>
        <v>#N/A</v>
      </c>
      <c r="F15" s="1">
        <f>VLOOKUP(B15,smds!B:C,2,FALSE)</f>
        <v>8.8000000000000007</v>
      </c>
      <c r="G15" s="1" t="str">
        <f>VLOOKUP(B15,oracle!A:D,2,FALSE)</f>
        <v>5WW</v>
      </c>
      <c r="H15" s="1" t="str">
        <f>VLOOKUP(B15,oracle!A:D,3,FALSE)</f>
        <v>white</v>
      </c>
      <c r="I15" s="1" t="str">
        <f>VLOOKUP(B15,oracle!A:D,4,FALSE)</f>
        <v>\"\\"\"\\\"\"\\"\"\\\\"\"\\"\"\\\"\"\\"\"When you cast Bruna, the Fading Light, you may return target Angel or Human creature card from your graveyard to the battlefield.
Flying, vigilance
（Melds with Gisela, the Broken Blade.）\\\\"\"\\"\"\\\"\"\\"\"\\\"\"\\"\"\\"\"\"</v>
      </c>
    </row>
    <row r="16" spans="1:9">
      <c r="A16" s="1">
        <v>16</v>
      </c>
      <c r="B16" s="1" t="s">
        <v>7</v>
      </c>
      <c r="D16" s="1">
        <f>VLOOKUP(B16,channelfireball!A:C,2,FALSE)</f>
        <v>3.5</v>
      </c>
      <c r="E16" s="1" t="str">
        <f>VLOOKUP(B16,channelfireball!A:C,3,FALSE)</f>
        <v>Choking Restraints is Eldritch Moon’s version of the Pacifism, Arrest, and Bound by Moonsilver category of removal. These cards are typically excellent, and tend to rank higher than the vast majority of white commons.The weakness of Choking Restraints is that it cannot stop a creature with an annoying noncombat ability, such as Reckless Scholar. Its second ability somewhat corrects that weakness if you have the time and mana to spend on it. Most of the time, you’ll simply use this to remove a blocker. But some games do play out where you simply need to remove an opposing Drogskol Cavalry from the battlefield at any cost, and the fact that Choking Restraints can do it is certainly a plus. The activated ability can help it combo with Ironclad Slayer as well!Choking Restraints is marginally worse than Bound by Moonsilver, but is still excellent. It’s a card you should be happy to pick highly, and should play in as many copies as you can get.</v>
      </c>
      <c r="F16" s="1">
        <f>VLOOKUP(B16,smds!B:C,2,FALSE)</f>
        <v>1.9</v>
      </c>
      <c r="G16" s="1" t="str">
        <f>VLOOKUP(B16,oracle!A:D,2,FALSE)</f>
        <v>2W</v>
      </c>
      <c r="H16" s="1" t="str">
        <f>VLOOKUP(B16,oracle!A:D,3,FALSE)</f>
        <v>white</v>
      </c>
      <c r="I16" s="1" t="str">
        <f>VLOOKUP(B16,oracle!A:D,4,FALSE)</f>
        <v>\"\\"\"\\\"\"\\"\"\\\\"\"\\"\"\\\"\"\\"\"Enchant creature
Enchanted creature can't attack or block.
{3}{W}{W}, Sacrifice Choking Restraints: Exile enchanted creature.\\\\"\"\\"\"\\\"\"\\"\"\\\"\"\\"\"\\"\"\"</v>
      </c>
    </row>
    <row r="17" spans="1:9">
      <c r="A17" s="1">
        <v>17</v>
      </c>
      <c r="B17" s="1" t="s">
        <v>275</v>
      </c>
      <c r="D17" s="1" t="e">
        <f>VLOOKUP(B17,channelfireball!A:C,2,FALSE)</f>
        <v>#N/A</v>
      </c>
      <c r="E17" s="1" t="e">
        <f>VLOOKUP(B17,channelfireball!A:C,3,FALSE)</f>
        <v>#N/A</v>
      </c>
      <c r="F17" s="1">
        <f>VLOOKUP(B17,smds!B:C,2,FALSE)</f>
        <v>9.6999999999999993</v>
      </c>
      <c r="G17" s="1" t="str">
        <f>VLOOKUP(B17,oracle!A:D,2,FALSE)</f>
        <v>1WW</v>
      </c>
      <c r="H17" s="1" t="str">
        <f>VLOOKUP(B17,oracle!A:D,3,FALSE)</f>
        <v>white</v>
      </c>
      <c r="I17" s="1" t="str">
        <f>VLOOKUP(B17,oracle!A:D,4,FALSE)</f>
        <v>\"\\"\"\\\"\"\\"\"\\\\"\"\\"\"\\\"\"\\"\"Escalate --- Tap an untapped creature you control. （Pay this cost for each mode chosen beyond the first.）
Choose one or more ---
? Destroy target creature with power 4 or greater.
? Destroy target enchantment.
? Put a +1/+1 counter on each creature target player controls.\\\\"\"\\"\"\\\"\"\\"\"\\\"\"\\"\"\\"\"\"</v>
      </c>
    </row>
    <row r="18" spans="1:9">
      <c r="A18" s="1">
        <v>18</v>
      </c>
      <c r="B18" s="1" t="s">
        <v>11</v>
      </c>
      <c r="D18" s="1">
        <f>VLOOKUP(B18,channelfireball!A:C,2,FALSE)</f>
        <v>2.5</v>
      </c>
      <c r="E18" s="1" t="str">
        <f>VLOOKUP(B18,channelfireball!A:C,3,FALSE)</f>
        <v>With only 5 other Humans in your deck, you’ll hit with Courageous Outrider close to 50% of the time. In a white-based creature deck, you’ll have a good chance of having more than 5 other Humans, and the odds will go further in your favor.Courageous Outrider isn’t quite as good as a 4-mana 3/4?that draws a card, but it’s pretty close. When you do find a creature, the ability winds up being better than drawing a card because you know you’re getting action instead of something random (which could be a land).</v>
      </c>
      <c r="F18" s="1">
        <f>VLOOKUP(B18,smds!B:C,2,FALSE)</f>
        <v>2.2999999999999998</v>
      </c>
      <c r="G18" s="1" t="str">
        <f>VLOOKUP(B18,oracle!A:D,2,FALSE)</f>
        <v>3W</v>
      </c>
      <c r="H18" s="1" t="str">
        <f>VLOOKUP(B18,oracle!A:D,3,FALSE)</f>
        <v>white</v>
      </c>
      <c r="I18" s="1" t="str">
        <f>VLOOKUP(B18,oracle!A:D,4,FALSE)</f>
        <v>When Courageous Outrider enters the battlefield, look at the top four cards of your library. You may reveal a Human card from among them and put it into your hand. Put the rest on the bottom of your library in any order.</v>
      </c>
    </row>
    <row r="19" spans="1:9">
      <c r="A19" s="1">
        <v>19</v>
      </c>
      <c r="B19" s="1" t="s">
        <v>13</v>
      </c>
      <c r="D19" s="1">
        <f>VLOOKUP(B19,channelfireball!A:C,2,FALSE)</f>
        <v>2</v>
      </c>
      <c r="E19" s="1" t="str">
        <f>VLOOKUP(B19,channelfireball!A:C,3,FALSE)</f>
        <v>Wind Drake is an oldie but a goodie. Dawn Gryff also fits white’s theme of evasive beatdown, and is good in a deck with equipment or other ways to buff creatures. This is a solid card, but might once in a while get cut from more defensive white decks.</v>
      </c>
      <c r="F19" s="1">
        <f>VLOOKUP(B19,smds!B:C,2,FALSE)</f>
        <v>1.2</v>
      </c>
      <c r="G19" s="1" t="str">
        <f>VLOOKUP(B19,oracle!A:D,2,FALSE)</f>
        <v>2W</v>
      </c>
      <c r="H19" s="1" t="str">
        <f>VLOOKUP(B19,oracle!A:D,3,FALSE)</f>
        <v>white</v>
      </c>
      <c r="I19" s="1" t="str">
        <f>VLOOKUP(B19,oracle!A:D,4,FALSE)</f>
        <v>Flying</v>
      </c>
    </row>
    <row r="20" spans="1:9">
      <c r="A20" s="1">
        <v>20</v>
      </c>
      <c r="B20" s="1" t="s">
        <v>15</v>
      </c>
      <c r="D20" s="1">
        <f>VLOOKUP(B20,channelfireball!A:C,2,FALSE)</f>
        <v>0</v>
      </c>
      <c r="E20" s="1" t="str">
        <f>VLOOKUP(B20,channelfireball!A:C,3,FALSE)</f>
        <v>If you somehow end up with 3 planeswalkers and Deploy the Gatewatch in Limited―congratulations, everybody hates you.</v>
      </c>
      <c r="F20" s="1">
        <f>VLOOKUP(B20,smds!B:C,2,FALSE)</f>
        <v>0.6</v>
      </c>
      <c r="G20" s="1" t="str">
        <f>VLOOKUP(B20,oracle!A:D,2,FALSE)</f>
        <v>4WW</v>
      </c>
      <c r="H20" s="1" t="str">
        <f>VLOOKUP(B20,oracle!A:D,3,FALSE)</f>
        <v>white</v>
      </c>
      <c r="I20" s="1" t="str">
        <f>VLOOKUP(B20,oracle!A:D,4,FALSE)</f>
        <v>Look at the top seven cards of your library. Put up to two planeswalker cards from among them onto the battlefield. Put the rest on the bottom of your library in a random order.</v>
      </c>
    </row>
    <row r="21" spans="1:9">
      <c r="A21" s="1">
        <v>21</v>
      </c>
      <c r="B21" s="1" t="s">
        <v>17</v>
      </c>
      <c r="D21" s="1">
        <f>VLOOKUP(B21,channelfireball!A:C,2,FALSE)</f>
        <v>2</v>
      </c>
      <c r="E21" s="1" t="str">
        <f>VLOOKUP(B21,channelfireball!A:C,3,FALSE)</f>
        <v>Desperate Sentry does a lot, and has a pretty high raw power level for a common. It’s fantastic in a deck that can count on getting delirium. It’s also solid in a defensive deck that simply wants to block with it (3 mana for a 3/2 is a baseline rate, and getting a free chump-block from Desperate Sentry makes it a little better than that). It also does a nice job holding equipment, which is a bit of a theme in white.Don’t play this in an aggressive, non-delirium deck unless you’re desperate. In such a deck, you’ll have trouble getting him to die, and pecking away for 1 damage at a time is not what you want to get from your 3-drop creature.</v>
      </c>
      <c r="F21" s="1">
        <f>VLOOKUP(B21,smds!B:C,2,FALSE)</f>
        <v>1.4</v>
      </c>
      <c r="G21" s="1" t="str">
        <f>VLOOKUP(B21,oracle!A:D,2,FALSE)</f>
        <v>2W</v>
      </c>
      <c r="H21" s="1" t="str">
        <f>VLOOKUP(B21,oracle!A:D,3,FALSE)</f>
        <v>white</v>
      </c>
      <c r="I21" s="1" t="str">
        <f>VLOOKUP(B21,oracle!A:D,4,FALSE)</f>
        <v>\"\\"\"\\\"\"\\"\"\\\\"\"\\"\"\\\"\"\\"\"When Desperate Sentry dies, put a 3/2 colorless Eldrazi Horror creature token onto the battlefield.
Delirium --- Desperate Sentry gets +3/+0 as long as there are four or more card types among cards in your graveyard.\\\\"\"\\"\"\\\"\"\\"\"\\\"\"\\"\"\\"\"\"</v>
      </c>
    </row>
    <row r="22" spans="1:9">
      <c r="A22" s="1">
        <v>22</v>
      </c>
      <c r="B22" s="1" t="s">
        <v>19</v>
      </c>
      <c r="D22" s="1">
        <f>VLOOKUP(B22,channelfireball!A:C,2,FALSE)</f>
        <v>2</v>
      </c>
      <c r="E22" s="1" t="str">
        <f>VLOOKUP(B22,channelfireball!A:C,3,FALSE)</f>
        <v>Flash is quite a powerful ability in Limited, giving you the potential to ambush a smaller attacking creature. But all of the flash creatures in Eldritch Moon and Shadows over Innistrad are hurt by the fact that there are so many of them. Players will quickly learn to be wary of attacking small ground creatures into open mana, and so?the number of times Drogskol Shieldmate will successfully ambush a 2-drop won’t be quite as high as you would like.Drogskol Shieldmate also has a minor combat-trick element, offering the possibility of saving one of your creatures. 1 toughness isn’t much, and again, it might end up being harder to get full value from Drogskol Shieldmate in practice than you would like in theory.All told, the Shieldmate is going to be an average body (very slightly below average), with two outside chances at giving you extra value. This amounts to a creature you’ll be happy to play with. Some drafters will also be in the market for a Spirit creature type.</v>
      </c>
      <c r="F22" s="1">
        <f>VLOOKUP(B22,smds!B:C,2,FALSE)</f>
        <v>2.2000000000000002</v>
      </c>
      <c r="G22" s="1" t="str">
        <f>VLOOKUP(B22,oracle!A:D,2,FALSE)</f>
        <v>2W</v>
      </c>
      <c r="H22" s="1" t="str">
        <f>VLOOKUP(B22,oracle!A:D,3,FALSE)</f>
        <v>white</v>
      </c>
      <c r="I22" s="1" t="str">
        <f>VLOOKUP(B22,oracle!A:D,4,FALSE)</f>
        <v>\"\\"\"\\\"\"\\"\"\\\\"\"\\"\"\\\"\"\\"\"Flash （You may cast this spell any time you could cast an instant.）
When Drogskol Shieldmate enters the battlefield, other creatures you control get +0/+1 until end of turn.\\\\"\"\\"\"\\\"\"\\"\"\\\"\"\\"\"\\"\"\"</v>
      </c>
    </row>
    <row r="23" spans="1:9">
      <c r="A23" s="1">
        <v>23</v>
      </c>
      <c r="B23" s="1" t="s">
        <v>284</v>
      </c>
      <c r="D23" s="1" t="e">
        <f>VLOOKUP(B23,channelfireball!A:C,2,FALSE)</f>
        <v>#N/A</v>
      </c>
      <c r="E23" s="1" t="e">
        <f>VLOOKUP(B23,channelfireball!A:C,3,FALSE)</f>
        <v>#N/A</v>
      </c>
      <c r="F23" s="1">
        <f>VLOOKUP(B23,smds!B:C,2,FALSE)</f>
        <v>2.8</v>
      </c>
      <c r="G23" s="1" t="str">
        <f>VLOOKUP(B23,oracle!A:D,2,FALSE)</f>
        <v>2W</v>
      </c>
      <c r="H23" s="1" t="str">
        <f>VLOOKUP(B23,oracle!A:D,3,FALSE)</f>
        <v>white</v>
      </c>
      <c r="I23" s="1" t="str">
        <f>VLOOKUP(B23,oracle!A:D,4,FALSE)</f>
        <v>\"\\"\"\\\"\"\\"\"\\\\"\"\\"\"\\\"\"\\"\"When Extricator of Sin enters the battlefield, you may sacrifice another permanent. If you do, put a 3/2 colorless Eldrazi Horror creature token onto the battlefield.
Delirium --- At the beginning of your upkeep, if there are four or more card types among cards in your graveyard, transform Extricator of Sin.\\\\"\"\\"\"\\\"\"\\"\"\\\"\"\\"\"\\"\"\"</v>
      </c>
    </row>
    <row r="24" spans="1:9">
      <c r="A24" s="1">
        <v>24</v>
      </c>
      <c r="B24" s="1" t="s">
        <v>23</v>
      </c>
      <c r="D24" s="1">
        <f>VLOOKUP(B24,channelfireball!A:C,2,FALSE)</f>
        <v>2.5</v>
      </c>
      <c r="E24" s="1" t="str">
        <f>VLOOKUP(B24,channelfireball!A:C,3,FALSE)</f>
        <v>I don’t love putting my faith in a card this swingy, but the power level breaks through the roof. When it works, you’ll eliminate your opponent’s best creature―no questions asked―while simultaneously creating a giant threat on the battlefield (with the benefit of some immediate damage coming through).When it doesn’t work, Faith Unbroken creates a 2-for-1 in the opponent’s favor just like any other Aura. The good news is that you can cast it when the opponent is tapped out for a huge board-presence swing that might allow you to either win the game or unload a ton of damage immediately.Because the downside is higher, Faith Unbroken is a bit worse than Banisher Priest. But it’s still a powerful card that aggressive white decks will be very interested in. When it goes unanswered, Faith Unbroken will lead to some easy and convincing wins.</v>
      </c>
      <c r="F24" s="1">
        <f>VLOOKUP(B24,smds!B:C,2,FALSE)</f>
        <v>3.4</v>
      </c>
      <c r="G24" s="1" t="str">
        <f>VLOOKUP(B24,oracle!A:D,2,FALSE)</f>
        <v>3W</v>
      </c>
      <c r="H24" s="1" t="str">
        <f>VLOOKUP(B24,oracle!A:D,3,FALSE)</f>
        <v>white</v>
      </c>
      <c r="I24" s="1" t="str">
        <f>VLOOKUP(B24,oracle!A:D,4,FALSE)</f>
        <v>\"\\"\"\\\"\"\\"\"\\\\"\"\\"\"\\\"\"\\"\"Enchant creature you control
When Faith Unbroken enters the battlefield, exile target creature an opponent controls until Faith Unbroken leaves the battlefield.
Enchanted creature gets +2/+2.\\\\"\"\\"\"\\\"\"\\"\"\\\"\"\\"\"\\"\"\"</v>
      </c>
    </row>
    <row r="25" spans="1:9">
      <c r="A25" s="1">
        <v>25</v>
      </c>
      <c r="B25" s="1" t="s">
        <v>25</v>
      </c>
      <c r="D25" s="1">
        <f>VLOOKUP(B25,channelfireball!A:C,2,FALSE)</f>
        <v>1.5</v>
      </c>
      <c r="E25" s="1" t="str">
        <f>VLOOKUP(B25,channelfireball!A:C,3,FALSE)</f>
        <v>Faithbearer Paladin is basically my definition of a filler card. Lifelink on a creature this size is roughly equal to having an extra +1/+1, which makes Faithbearer Paladin equal on power level to Thornhide Wolves. Both creatures will continue to make the cut in my decks a little more than half the time.</v>
      </c>
      <c r="F25" s="1">
        <f>VLOOKUP(B25,smds!B:C,2,FALSE)</f>
        <v>1.1000000000000001</v>
      </c>
      <c r="G25" s="1" t="str">
        <f>VLOOKUP(B25,oracle!A:D,2,FALSE)</f>
        <v>4W</v>
      </c>
      <c r="H25" s="1" t="str">
        <f>VLOOKUP(B25,oracle!A:D,3,FALSE)</f>
        <v>white</v>
      </c>
      <c r="I25" s="1" t="str">
        <f>VLOOKUP(B25,oracle!A:D,4,FALSE)</f>
        <v>Lifelink （Damage dealt by this creature also causes you to gain that much life.）</v>
      </c>
    </row>
    <row r="26" spans="1:9">
      <c r="A26" s="1">
        <v>26</v>
      </c>
      <c r="B26" s="1" t="s">
        <v>27</v>
      </c>
      <c r="D26" s="1">
        <f>VLOOKUP(B26,channelfireball!A:C,2,FALSE)</f>
        <v>1.5</v>
      </c>
      <c r="E26" s="1" t="str">
        <f>VLOOKUP(B26,channelfireball!A:C,3,FALSE)</f>
        <v>Fiend Binder looked like a great card when I thought it was 3 mana. When I reread it, I became much less excited. Even with tapping down one?blocker, a 2-toughness creature often won’t make it out of the red zone alive on the fifth turn of the game.Getting this effect as an attack trigger is about equal to the enters-the-battlefield trigger on Voldaren Duelist. The fact that Fiend Binder lacks haste makes it far worse.Fiend Binder offers a powerful effect if it can successfully attack for a few turns in a row. Unfortunately, the bottom line is that its stats are simply too far below par for your 4-drop creature to be an exciting card. This is filler for aggressive decks, and should be avoided in defensive decks.</v>
      </c>
      <c r="F26" s="1">
        <f>VLOOKUP(B26,smds!B:C,2,FALSE)</f>
        <v>1.1000000000000001</v>
      </c>
      <c r="G26" s="1" t="str">
        <f>VLOOKUP(B26,oracle!A:D,2,FALSE)</f>
        <v>3W</v>
      </c>
      <c r="H26" s="1" t="str">
        <f>VLOOKUP(B26,oracle!A:D,3,FALSE)</f>
        <v>white</v>
      </c>
      <c r="I26" s="1" t="str">
        <f>VLOOKUP(B26,oracle!A:D,4,FALSE)</f>
        <v>Whenever Fiend Binder attacks, tap target creature defending player controls.</v>
      </c>
    </row>
    <row r="27" spans="1:9">
      <c r="A27" s="1">
        <v>27</v>
      </c>
      <c r="B27" s="1" t="s">
        <v>29</v>
      </c>
      <c r="D27" s="1">
        <f>VLOOKUP(B27,channelfireball!A:C,2,FALSE)</f>
        <v>1</v>
      </c>
      <c r="E27" s="1" t="str">
        <f>VLOOKUP(B27,channelfireball!A:C,3,FALSE)</f>
        <v>A 2-drop creature that can’t attack is fairly unappealing, and a 2/3?attacker in the late game isn’t exactly a big payoff. There will be some middle ground―defensive delirium decks―where getting both is good enough. But Geist of the Lonely Vigil is a fairly unexciting card that won’t wind up as a high pick.</v>
      </c>
      <c r="F27" s="1">
        <f>VLOOKUP(B27,smds!B:C,2,FALSE)</f>
        <v>1.4</v>
      </c>
      <c r="G27" s="1" t="str">
        <f>VLOOKUP(B27,oracle!A:D,2,FALSE)</f>
        <v>1W</v>
      </c>
      <c r="H27" s="1" t="str">
        <f>VLOOKUP(B27,oracle!A:D,3,FALSE)</f>
        <v>white</v>
      </c>
      <c r="I27" s="1" t="str">
        <f>VLOOKUP(B27,oracle!A:D,4,FALSE)</f>
        <v>\"\\"\"\\\"\"\\"\"\\\\"\"\\"\"\\\"\"\\"\"Defender, flying
Delirium --- Geist of the Lonely Vigil can attack as though it didn't have defender as long as there are four or more card types among cards in your graveyard.\\\\"\"\\"\"\\\"\"\\"\"\\\"\"\\"\"\\"\"\"</v>
      </c>
    </row>
    <row r="28" spans="1:9">
      <c r="A28" s="1">
        <v>28</v>
      </c>
      <c r="B28" s="1" t="s">
        <v>273</v>
      </c>
      <c r="D28" s="1" t="e">
        <f>VLOOKUP(B28,channelfireball!A:C,2,FALSE)</f>
        <v>#N/A</v>
      </c>
      <c r="E28" s="1" t="e">
        <f>VLOOKUP(B28,channelfireball!A:C,3,FALSE)</f>
        <v>#N/A</v>
      </c>
      <c r="F28" s="1">
        <f>VLOOKUP(B28,smds!B:C,2,FALSE)</f>
        <v>10</v>
      </c>
      <c r="G28" s="1" t="str">
        <f>VLOOKUP(B28,oracle!A:D,2,FALSE)</f>
        <v>2WW</v>
      </c>
      <c r="H28" s="1" t="str">
        <f>VLOOKUP(B28,oracle!A:D,3,FALSE)</f>
        <v>white</v>
      </c>
      <c r="I28" s="1" t="str">
        <f>VLOOKUP(B28,oracle!A:D,4,FALSE)</f>
        <v>\"\\"\"\\\"\"\\"\"\\\\"\"\\"\"\\\"\"\\"\"Flying, first strike, lifelink
At the beginning of your end step, if you both own and control Gisela, the Broken Blade and a creature named Bruna, the Fading Light, exile them, then meld them into Brisela, Voice of Nightmares.\\\\"\"\\"\"\\\"\"\\"\"\\\"\"\\"\"\\"\"\"</v>
      </c>
    </row>
    <row r="29" spans="1:9">
      <c r="A29" s="1">
        <v>29</v>
      </c>
      <c r="B29" s="1" t="s">
        <v>33</v>
      </c>
      <c r="D29" s="1">
        <f>VLOOKUP(B29,channelfireball!A:C,2,FALSE)</f>
        <v>1</v>
      </c>
      <c r="E29" s="1" t="str">
        <f>VLOOKUP(B29,channelfireball!A:C,3,FALSE)</f>
        <v>Defensive combat tricks are a particularly unloved category of cards. Are you really going to pass the turn with 4 mana open for Give No Ground, just in case your opponent goes for a big attack? Are you really going to cast it into your opponent’s open mana and risk getting blown out by a removal spell? Sure, sometimes you’ll do these things, and sometimes it will work out nicely, but Give No Ground is the type of card that you should not be planning your strategy around.</v>
      </c>
      <c r="F29" s="1">
        <f>VLOOKUP(B29,smds!B:C,2,FALSE)</f>
        <v>1</v>
      </c>
      <c r="G29" s="1" t="str">
        <f>VLOOKUP(B29,oracle!A:D,2,FALSE)</f>
        <v>3W</v>
      </c>
      <c r="H29" s="1" t="str">
        <f>VLOOKUP(B29,oracle!A:D,3,FALSE)</f>
        <v>white</v>
      </c>
      <c r="I29" s="1" t="str">
        <f>VLOOKUP(B29,oracle!A:D,4,FALSE)</f>
        <v>Target creature gets +2/+6 until end of turn and can block any number of creatures this turn.</v>
      </c>
    </row>
    <row r="30" spans="1:9">
      <c r="A30" s="1">
        <v>30</v>
      </c>
      <c r="B30" s="1" t="s">
        <v>35</v>
      </c>
      <c r="D30" s="1">
        <f>VLOOKUP(B30,channelfireball!A:C,2,FALSE)</f>
        <v>2.5</v>
      </c>
      <c r="E30" s="1" t="str">
        <f>VLOOKUP(B30,channelfireball!A:C,3,FALSE)</f>
        <v>2-drops are incredibly important for white aggressive decks, and Guardian of Pilgrims is a good, efficient one. Grizzly Bears is solid enough that you’re happy to play this on turn 2 just to get something on the board. If you draw it on turn 5, you can get a bit of extra value, letting one of your creatures attack into a bigger blocker. Add the fact that it has a relevant creature type, and you have a solid?card that you’ll be happy to snatch up during the middle picks of the draft, once you’ve solidified yourself in white.</v>
      </c>
      <c r="F30" s="1">
        <f>VLOOKUP(B30,smds!B:C,2,FALSE)</f>
        <v>1.1000000000000001</v>
      </c>
      <c r="G30" s="1" t="str">
        <f>VLOOKUP(B30,oracle!A:D,2,FALSE)</f>
        <v>1W</v>
      </c>
      <c r="H30" s="1" t="str">
        <f>VLOOKUP(B30,oracle!A:D,3,FALSE)</f>
        <v>white</v>
      </c>
      <c r="I30" s="1" t="str">
        <f>VLOOKUP(B30,oracle!A:D,4,FALSE)</f>
        <v>When Guardian of Pilgrims enters the battlefield, target creature gets +1/+1 until end of turn.</v>
      </c>
    </row>
    <row r="31" spans="1:9">
      <c r="A31" s="1">
        <v>31</v>
      </c>
      <c r="B31" s="1" t="s">
        <v>37</v>
      </c>
      <c r="D31" s="1">
        <f>VLOOKUP(B31,channelfireball!A:C,2,FALSE)</f>
        <v>2</v>
      </c>
      <c r="E31" s="1" t="str">
        <f>VLOOKUP(B31,channelfireball!A:C,3,FALSE)</f>
        <v>Choking Restraints is a premium common that might wind up in your graveyard in the very late game. Beyond that, it doesn’t look like it will be particularly easy or convenient to get Auras and equipments into your graveyard for the purposes of Ironclad Slayer. There are ways to mill yourself in Eldritch Moon/Shadows over Innistrad Limited, but that doesn’t seem to be a major theme of white.Ironclad Slayer is an average creature that offers the potential for some late game value. Even if you’re only returning an Aura 20% of the time, this is still a solid filler card.</v>
      </c>
      <c r="F31" s="1">
        <f>VLOOKUP(B31,smds!B:C,2,FALSE)</f>
        <v>1.1000000000000001</v>
      </c>
      <c r="G31" s="1" t="str">
        <f>VLOOKUP(B31,oracle!A:D,2,FALSE)</f>
        <v>2W</v>
      </c>
      <c r="H31" s="1" t="str">
        <f>VLOOKUP(B31,oracle!A:D,3,FALSE)</f>
        <v>white</v>
      </c>
      <c r="I31" s="1" t="str">
        <f>VLOOKUP(B31,oracle!A:D,4,FALSE)</f>
        <v>When Ironclad Slayer enters the battlefield, you may return target Aura or Equipment card from your graveyard to your hand.</v>
      </c>
    </row>
    <row r="32" spans="1:9">
      <c r="A32" s="1">
        <v>32</v>
      </c>
      <c r="B32" s="1" t="s">
        <v>39</v>
      </c>
      <c r="D32" s="1">
        <f>VLOOKUP(B32,channelfireball!A:C,2,FALSE)</f>
        <v>1</v>
      </c>
      <c r="E32" s="1" t="str">
        <f>VLOOKUP(B32,channelfireball!A:C,3,FALSE)</f>
        <v>Try not to maindeck Ironwright’s Cleansing, but there seem to be enough artifacts and enchantments in this Limited format that it wouldn’t be a complete catastrophe if you had to do so. Beyond that, it looks like a solid sideboard card.</v>
      </c>
      <c r="F32" s="1">
        <f>VLOOKUP(B32,smds!B:C,2,FALSE)</f>
        <v>0.7</v>
      </c>
      <c r="G32" s="1" t="str">
        <f>VLOOKUP(B32,oracle!A:D,2,FALSE)</f>
        <v>2W</v>
      </c>
      <c r="H32" s="1" t="str">
        <f>VLOOKUP(B32,oracle!A:D,3,FALSE)</f>
        <v>white</v>
      </c>
      <c r="I32" s="1" t="str">
        <f>VLOOKUP(B32,oracle!A:D,4,FALSE)</f>
        <v>Exile target artifact or enchantment.</v>
      </c>
    </row>
    <row r="33" spans="1:9">
      <c r="A33" s="1">
        <v>33</v>
      </c>
      <c r="B33" s="1" t="s">
        <v>283</v>
      </c>
      <c r="D33" s="1" t="e">
        <f>VLOOKUP(B33,channelfireball!A:C,2,FALSE)</f>
        <v>#N/A</v>
      </c>
      <c r="E33" s="1" t="e">
        <f>VLOOKUP(B33,channelfireball!A:C,3,FALSE)</f>
        <v>#N/A</v>
      </c>
      <c r="F33" s="1">
        <f>VLOOKUP(B33,smds!B:C,2,FALSE)</f>
        <v>3.4</v>
      </c>
      <c r="G33" s="1" t="str">
        <f>VLOOKUP(B33,oracle!A:D,2,FALSE)</f>
        <v>1W</v>
      </c>
      <c r="H33" s="1" t="str">
        <f>VLOOKUP(B33,oracle!A:D,3,FALSE)</f>
        <v>white</v>
      </c>
      <c r="I33" s="1" t="str">
        <f>VLOOKUP(B33,oracle!A:D,4,FALSE)</f>
        <v>\"\\"\"\\\"\"\\"\"\\\\"\"\\"\"\\\"\"\\"\"First strike, lifelink
At the beginning of the end step, if you gained 3 or more life this turn, transform Lone Rider.\\\\"\"\\"\"\\\"\"\\"\"\\\"\"\\"\"\\"\"\"</v>
      </c>
    </row>
    <row r="34" spans="1:9">
      <c r="A34" s="1">
        <v>34</v>
      </c>
      <c r="B34" s="1" t="s">
        <v>43</v>
      </c>
      <c r="D34" s="1">
        <f>VLOOKUP(B34,channelfireball!A:C,2,FALSE)</f>
        <v>1.5</v>
      </c>
      <c r="E34" s="1" t="str">
        <f>VLOOKUP(B34,channelfireball!A:C,3,FALSE)</f>
        <v>If you’ve read much of my writing on Limited, you’ll know that I have a strong tendency to dislike cards that are not creatures or removal spells. I’m going to err toward giving cards like Long Road Home low ratings. But where that means you shouldn’t be spending high draft picks on them, there can certainly still be a time and place for playing with them.Put Long Road Home in your deck main deck when you have several creatures with powerful enters-the-battlefield triggers. Sideboard it in to beat pesky Auras like Sleep Paralysis and Bound by Moonsilver. You can also use it to save your creature from a removal spell, or to remove a blocker on the turn you attack for lethal, but if those are the only things you can do, you’re better off leaving this at home.</v>
      </c>
      <c r="F34" s="1">
        <f>VLOOKUP(B34,smds!B:C,2,FALSE)</f>
        <v>1</v>
      </c>
      <c r="G34" s="1" t="str">
        <f>VLOOKUP(B34,oracle!A:D,2,FALSE)</f>
        <v>1W</v>
      </c>
      <c r="H34" s="1" t="str">
        <f>VLOOKUP(B34,oracle!A:D,3,FALSE)</f>
        <v>white</v>
      </c>
      <c r="I34" s="1" t="str">
        <f>VLOOKUP(B34,oracle!A:D,4,FALSE)</f>
        <v>Exile target creature. At the beginning of the next end step, return that card to the battlefield under its owner's control with a +1/+1 counter on it.</v>
      </c>
    </row>
    <row r="35" spans="1:9">
      <c r="A35" s="1">
        <v>35</v>
      </c>
      <c r="B35" s="1" t="s">
        <v>45</v>
      </c>
      <c r="D35" s="1">
        <f>VLOOKUP(B35,channelfireball!A:C,2,FALSE)</f>
        <v>1</v>
      </c>
      <c r="E35" s="1" t="str">
        <f>VLOOKUP(B35,channelfireball!A:C,3,FALSE)</f>
        <v>Lunarch Mantle is an average Aura, and average Auras are generally weak in Limited. If this was Spectral Flight, I’d be interested, and Lunarch Mantle can help you with a few corner-case situations, like getting delirium. Unfortunately, having to both spend mana and sacrifice a permanent means that you can’t keep?giving your creature flying turn after turn.Lunarch Mantle is a decent rate for an aggressive deck, and there are a few cards (like Ironclad Slayer) that incentivize you to play with Auras. All told, I’d say this is a below-average filler card.</v>
      </c>
      <c r="F35" s="1">
        <f>VLOOKUP(B35,smds!B:C,2,FALSE)</f>
        <v>1</v>
      </c>
      <c r="G35" s="1" t="str">
        <f>VLOOKUP(B35,oracle!A:D,2,FALSE)</f>
        <v>1W</v>
      </c>
      <c r="H35" s="1" t="str">
        <f>VLOOKUP(B35,oracle!A:D,3,FALSE)</f>
        <v>white</v>
      </c>
      <c r="I35" s="1" t="str">
        <f>VLOOKUP(B35,oracle!A:D,4,FALSE)</f>
        <v>\"\\"\"\\\"\"\\"\"\\\\"\"\\"\"\\\"\"\\"\"Enchant creature
Enchanted creature gets +2/+2 and has \\\\\"\"\\"\"\\\"\"\\"\"\\\\"\"\\"\"\\\"\"\\"\"{1}, Sacrifice a permanent: This creature gains flying until end of turn.\\\\\"\"\\"\"\\\"\"\\"\"\\\\"\"\\"\"\\\"\"\\"\"\\\\"\"\\"\"\\\"\"\\"\"\\\"\"\\"\"\\"\"\"</v>
      </c>
    </row>
    <row r="36" spans="1:9">
      <c r="A36" s="1">
        <v>36</v>
      </c>
      <c r="B36" s="1" t="s">
        <v>47</v>
      </c>
      <c r="D36" s="1">
        <f>VLOOKUP(B36,channelfireball!A:C,2,FALSE)</f>
        <v>1</v>
      </c>
      <c r="E36" s="1" t="str">
        <f>VLOOKUP(B36,channelfireball!A:C,3,FALSE)</f>
        <v>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v>
      </c>
      <c r="F36" s="1">
        <f>VLOOKUP(B36,smds!B:C,2,FALSE)</f>
        <v>0.8</v>
      </c>
      <c r="G36" s="1" t="str">
        <f>VLOOKUP(B36,oracle!A:D,2,FALSE)</f>
        <v>1W</v>
      </c>
      <c r="H36" s="1" t="str">
        <f>VLOOKUP(B36,oracle!A:D,3,FALSE)</f>
        <v>white</v>
      </c>
      <c r="I36" s="1" t="str">
        <f>VLOOKUP(B36,oracle!A:D,4,FALSE)</f>
        <v>{W}, Discard a card: You gain 3 life.</v>
      </c>
    </row>
    <row r="37" spans="1:9">
      <c r="A37" s="1">
        <v>37</v>
      </c>
      <c r="B37" s="1" t="s">
        <v>49</v>
      </c>
      <c r="D37" s="1">
        <f>VLOOKUP(B37,channelfireball!A:C,2,FALSE)</f>
        <v>1</v>
      </c>
      <c r="E37" s="1" t="str">
        <f>VLOOKUP(B37,channelfireball!A:C,3,FALSE)</f>
        <v>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v>
      </c>
      <c r="F37" s="1">
        <f>VLOOKUP(B37,smds!B:C,2,FALSE)</f>
        <v>0.9</v>
      </c>
      <c r="G37" s="1" t="str">
        <f>VLOOKUP(B37,oracle!A:D,2,FALSE)</f>
        <v>5WW</v>
      </c>
      <c r="H37" s="1" t="str">
        <f>VLOOKUP(B37,oracle!A:D,3,FALSE)</f>
        <v>white</v>
      </c>
      <c r="I37" s="1" t="str">
        <f>VLOOKUP(B37,oracle!A:D,4,FALSE)</f>
        <v>\"\\"\"\\\"\"\\"\"\\\\"\"\\"\"\\\"\"\\"\"You may reveal this card from your opening hand. If you do, at the beginning of the first upkeep, your life total becomes 26.
Your life total becomes 26.\\\\"\"\\"\"\\\"\"\\"\"\\\"\"\\"\"\\"\"\"</v>
      </c>
    </row>
    <row r="38" spans="1:9">
      <c r="A38" s="1">
        <v>38</v>
      </c>
      <c r="B38" s="1" t="s">
        <v>305</v>
      </c>
      <c r="D38" s="1" t="e">
        <f>VLOOKUP(B38,channelfireball!A:C,2,FALSE)</f>
        <v>#N/A</v>
      </c>
      <c r="E38" s="1" t="e">
        <f>VLOOKUP(B38,channelfireball!A:C,3,FALSE)</f>
        <v>#N/A</v>
      </c>
      <c r="F38" s="1">
        <f>VLOOKUP(B38,smds!B:C,2,FALSE)</f>
        <v>1</v>
      </c>
      <c r="G38" s="1" t="str">
        <f>VLOOKUP(B38,oracle!A:D,2,FALSE)</f>
        <v>1W</v>
      </c>
      <c r="H38" s="1" t="str">
        <f>VLOOKUP(B38,oracle!A:D,3,FALSE)</f>
        <v>white</v>
      </c>
      <c r="I38" s="1" t="str">
        <f>VLOOKUP(B38,oracle!A:D,4,FALSE)</f>
        <v>Prevent all damage that would be dealt this turn by non-Human sources.</v>
      </c>
    </row>
    <row r="39" spans="1:9">
      <c r="A39" s="1">
        <v>39</v>
      </c>
      <c r="B39" s="1" t="s">
        <v>51</v>
      </c>
      <c r="D39" s="1">
        <f>VLOOKUP(B39,channelfireball!A:C,2,FALSE)</f>
        <v>3</v>
      </c>
      <c r="E39" s="1" t="str">
        <f>VLOOKUP(B39,channelfireball!A:C,3,FALSE)</f>
        <v>Token generators are traditionally powerful in Limited. Sanctifier of Souls is a repeatable token maker, but is limited to the number of creatures you can get into your graveyard. This is a card that will have a big impact on a protracted game, and I can’t imagine cutting it from a white deck. That said, I don’t see it as being one of the strongest rares in the set.</v>
      </c>
      <c r="F39" s="1">
        <f>VLOOKUP(B39,smds!B:C,2,FALSE)</f>
        <v>9.4</v>
      </c>
      <c r="G39" s="1" t="str">
        <f>VLOOKUP(B39,oracle!A:D,2,FALSE)</f>
        <v>3W</v>
      </c>
      <c r="H39" s="1" t="str">
        <f>VLOOKUP(B39,oracle!A:D,3,FALSE)</f>
        <v>white</v>
      </c>
      <c r="I39" s="1" t="str">
        <f>VLOOKUP(B39,oracle!A:D,4,FALSE)</f>
        <v>\"\\"\"\\\"\"\\"\"\\\\"\"\\"\"\\\"\"\\"\"Whenever another creature enters the battlefield under your control, Sanctifier of Souls gets +1/+1 until end of turn.
{2}{W}, Exile a creature card from your graveyard: Put a 1/1 white Spirit creature token with flying onto the battlefield.\\\\"\"\\"\"\\\"\"\\"\"\\\"\"\\"\"\\"\"\"</v>
      </c>
    </row>
    <row r="40" spans="1:9">
      <c r="A40" s="1">
        <v>40</v>
      </c>
      <c r="B40" s="1" t="s">
        <v>53</v>
      </c>
      <c r="D40" s="1">
        <f>VLOOKUP(B40,channelfireball!A:C,2,FALSE)</f>
        <v>3</v>
      </c>
      <c r="E40" s="1" t="str">
        <f>VLOOKUP(B40,channelfireball!A:C,3,FALSE)</f>
        <v>Selfless Spirit is not a bomb, but it is a supremely good and efficient card. 2 mana, 2-power flyers are already premium cards in Limited, and this has the additional ability to save a better creature from removal or to bail you out of an otherwise-disastrous combat step.</v>
      </c>
      <c r="F40" s="1">
        <f>VLOOKUP(B40,smds!B:C,2,FALSE)</f>
        <v>9.1</v>
      </c>
      <c r="G40" s="1" t="str">
        <f>VLOOKUP(B40,oracle!A:D,2,FALSE)</f>
        <v>1W</v>
      </c>
      <c r="H40" s="1" t="str">
        <f>VLOOKUP(B40,oracle!A:D,3,FALSE)</f>
        <v>white</v>
      </c>
      <c r="I40" s="1" t="str">
        <f>VLOOKUP(B40,oracle!A:D,4,FALSE)</f>
        <v>\"\\"\"\\\"\"\\"\"\\\\"\"\\"\"\\\"\"\\"\"Flying
Sacrifice Selfless Spirit: Creatures you control gain indestructible until end of turn.\\\\"\"\\"\"\\\"\"\\"\"\\\"\"\\"\"\\"\"\"</v>
      </c>
    </row>
    <row r="41" spans="1:9">
      <c r="A41" s="1">
        <v>41</v>
      </c>
      <c r="B41" s="1" t="s">
        <v>55</v>
      </c>
      <c r="D41" s="1">
        <f>VLOOKUP(B41,channelfireball!A:C,2,FALSE)</f>
        <v>0</v>
      </c>
      <c r="E41" s="1" t="str">
        <f>VLOOKUP(B41,channelfireball!A:C,3,FALSE)</f>
        <v>If you have so much equipment in your deck that you’re considering Sigarda’s Aid, you’ve probably already done something very wrong. What’s worse is that this is card disadvantage, and does nothing as a late-game topdeck. If you work hard, you might be able to dream up a game that plays out in such a way where Sigarda’s Aid is decent, but trust me when I say that you’ll win a lot more if you ignore this card.</v>
      </c>
      <c r="F41" s="1">
        <f>VLOOKUP(B41,smds!B:C,2,FALSE)</f>
        <v>0.9</v>
      </c>
      <c r="G41" s="1" t="str">
        <f>VLOOKUP(B41,oracle!A:D,2,FALSE)</f>
        <v>W</v>
      </c>
      <c r="H41" s="1" t="str">
        <f>VLOOKUP(B41,oracle!A:D,3,FALSE)</f>
        <v>white</v>
      </c>
      <c r="I41" s="1" t="str">
        <f>VLOOKUP(B41,oracle!A:D,4,FALSE)</f>
        <v>\"\\"\"\\\"\"\\"\"\\\\"\"\\"\"\\\"\"\\"\"You may cast Aura and Equipment spells as though they had flash.
Whenever an Equipment enters the battlefield under your control, you may attach it to target creature you control.\\\\"\"\\"\"\\\"\"\\"\"\\\"\"\\"\"\\"\"\"</v>
      </c>
    </row>
    <row r="42" spans="1:9">
      <c r="A42" s="1">
        <v>42</v>
      </c>
      <c r="B42" s="1" t="s">
        <v>57</v>
      </c>
      <c r="D42" s="1">
        <f>VLOOKUP(B42,channelfireball!A:C,2,FALSE)</f>
        <v>3</v>
      </c>
      <c r="E42" s="1" t="str">
        <f>VLOOKUP(B42,channelfireball!A:C,3,FALSE)</f>
        <v>Sigardian Priest is a functional reprint (and a fairly uncreative one at that) of Avacynian Priest, which was one of the best white commons in original Innistrad. A lot of creatures are Humans, but a lot are not, and Sigardian Priest gives you control over the battlefield.Tappers tend to be excellent in Limited, and Sigardian Priest is a very good, efficient tapper.</v>
      </c>
      <c r="F42" s="1">
        <f>VLOOKUP(B42,smds!B:C,2,FALSE)</f>
        <v>1.7</v>
      </c>
      <c r="G42" s="1" t="str">
        <f>VLOOKUP(B42,oracle!A:D,2,FALSE)</f>
        <v>1W</v>
      </c>
      <c r="H42" s="1" t="str">
        <f>VLOOKUP(B42,oracle!A:D,3,FALSE)</f>
        <v>white</v>
      </c>
      <c r="I42" s="1" t="str">
        <f>VLOOKUP(B42,oracle!A:D,4,FALSE)</f>
        <v>{1}, {T}: Tap target non-Human creature.</v>
      </c>
    </row>
    <row r="43" spans="1:9">
      <c r="A43" s="1">
        <v>43</v>
      </c>
      <c r="B43" s="1" t="s">
        <v>59</v>
      </c>
      <c r="D43" s="1">
        <f>VLOOKUP(B43,channelfireball!A:C,2,FALSE)</f>
        <v>2</v>
      </c>
      <c r="E43" s="1" t="str">
        <f>VLOOKUP(B43,channelfireball!A:C,3,FALSE)</f>
        <v>You’d rather have a Courier Griffin than Spectral Reserves, but Courier Griffin was a strong filler card that would rarely get cut from a deck. Spectral Reserves seems like a completely fine, bread-and-butter card. You won’t want it in super-aggressive decks, but in average or controlling decks, this can buy you time, offer you value, and present some flying attackers.I’d also mention that Spectral Reserves gives you two?bodies to hold equipment, but that would be a bit of a flavor fail…</v>
      </c>
      <c r="F43" s="1">
        <f>VLOOKUP(B43,smds!B:C,2,FALSE)</f>
        <v>1</v>
      </c>
      <c r="G43" s="1" t="str">
        <f>VLOOKUP(B43,oracle!A:D,2,FALSE)</f>
        <v>3W</v>
      </c>
      <c r="H43" s="1" t="str">
        <f>VLOOKUP(B43,oracle!A:D,3,FALSE)</f>
        <v>white</v>
      </c>
      <c r="I43" s="1" t="str">
        <f>VLOOKUP(B43,oracle!A:D,4,FALSE)</f>
        <v>Put two 1/1 white Spirit creature tokens with flying onto the battlefield. You gain 2 life.</v>
      </c>
    </row>
    <row r="44" spans="1:9">
      <c r="A44" s="1">
        <v>44</v>
      </c>
      <c r="B44" s="1" t="s">
        <v>61</v>
      </c>
      <c r="D44" s="1">
        <f>VLOOKUP(B44,channelfireball!A:C,2,FALSE)</f>
        <v>2</v>
      </c>
      <c r="E44" s="1" t="str">
        <f>VLOOKUP(B44,channelfireball!A:C,3,FALSE)</f>
        <v>Aggressive white decks want 2-drops, and attacking as a 2/3?is a very solid rate for a 2-drop. Unfortunately, sitting around as a 2/1 creature also makes Steadfast Cathar vulnerable to the pinging effects (think Tooth Collector) that are reasonably prevalent in Eldritch Moon and Shadows over Innistrad. Overall, this is an average, or slightly above average card that you’ll play when you’re aggressive or when you need a 2-drop.</v>
      </c>
      <c r="F44" s="1">
        <f>VLOOKUP(B44,smds!B:C,2,FALSE)</f>
        <v>1.1000000000000001</v>
      </c>
      <c r="G44" s="1" t="str">
        <f>VLOOKUP(B44,oracle!A:D,2,FALSE)</f>
        <v>1W</v>
      </c>
      <c r="H44" s="1" t="str">
        <f>VLOOKUP(B44,oracle!A:D,3,FALSE)</f>
        <v>white</v>
      </c>
      <c r="I44" s="1" t="str">
        <f>VLOOKUP(B44,oracle!A:D,4,FALSE)</f>
        <v>Whenever Steadfast Cathar attacks, it gets +0/+2 until end of turn.</v>
      </c>
    </row>
    <row r="45" spans="1:9">
      <c r="A45" s="1">
        <v>45</v>
      </c>
      <c r="B45" s="1" t="s">
        <v>63</v>
      </c>
      <c r="D45" s="1">
        <f>VLOOKUP(B45,channelfireball!A:C,2,FALSE)</f>
        <v>2.5</v>
      </c>
      <c r="E45" s="1" t="str">
        <f>VLOOKUP(B45,channelfireball!A:C,3,FALSE)</f>
        <v>The first thing I look for in my 6-drop creature is its ability to stabilize the board and bring me back from a tough situation. Subjugator Angel doesn’t earn high marks in that category, having a measly 3 toughness, and an ability that doesn’t contribute much to defense.On the other hand, its ability to act as a “super Voldaren Duelist” is not to be ignored. There is one tough situation that Subjugator Angel can get you out of, which is when a stronger late-game deck has stabilized against you, and you need to finish them off before things away from you completely. The Angel is so good at this particular job that you might be willing to stretch your curve all the way up to 6 mana in your WR beatdown decks when you would've otherwise stopped at 4 or 5.As a?mediocre 6-drop for the decks that normally want 6-drops, and a stellar 6-drop for the decks that normally don’t want 6-drops, Subjugator Angel is an interesting card. In a completely normal-looking deck (let’s say an average WB deck), the raw power level makes this a card you’ll be happy to play with.</v>
      </c>
      <c r="F45" s="1">
        <f>VLOOKUP(B45,smds!B:C,2,FALSE)</f>
        <v>3.8</v>
      </c>
      <c r="G45" s="1" t="str">
        <f>VLOOKUP(B45,oracle!A:D,2,FALSE)</f>
        <v>4WW</v>
      </c>
      <c r="H45" s="1" t="str">
        <f>VLOOKUP(B45,oracle!A:D,3,FALSE)</f>
        <v>white</v>
      </c>
      <c r="I45" s="1" t="str">
        <f>VLOOKUP(B45,oracle!A:D,4,FALSE)</f>
        <v>\"\\"\"\\\"\"\\"\"\\\\"\"\\"\"\\\"\"\\"\"Flying
When Subjugator Angel enters the battlefield, tap all creatures your opponents control.\\\\"\"\\"\"\\\"\"\\"\"\\\"\"\\"\"\\"\"\"</v>
      </c>
    </row>
    <row r="46" spans="1:9">
      <c r="A46" s="1">
        <v>46</v>
      </c>
      <c r="B46" s="1" t="s">
        <v>65</v>
      </c>
      <c r="D46" s="1">
        <f>VLOOKUP(B46,channelfireball!A:C,2,FALSE)</f>
        <v>3</v>
      </c>
      <c r="E46" s="1" t="str">
        <f>VLOOKUP(B46,channelfireball!A:C,3,FALSE)</f>
        <v>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v>
      </c>
      <c r="F46" s="1">
        <f>VLOOKUP(B46,smds!B:C,2,FALSE)</f>
        <v>10</v>
      </c>
      <c r="G46" s="1" t="str">
        <f>VLOOKUP(B46,oracle!A:D,2,FALSE)</f>
        <v>2W</v>
      </c>
      <c r="H46" s="1" t="str">
        <f>VLOOKUP(B46,oracle!A:D,3,FALSE)</f>
        <v>white</v>
      </c>
      <c r="I46" s="1" t="str">
        <f>VLOOKUP(B46,oracle!A:D,4,FALSE)</f>
        <v>\"\\"\"\\\"\"\\"\"\\\\"\"\\"\"\\\"\"\\"\"First strike
Creatures and nonbasic lands your opponents control enter the battlefield tapped.\\\\"\"\\"\"\\\"\"\\"\"\\\"\"\\"\"\\"\"\"</v>
      </c>
    </row>
    <row r="47" spans="1:9">
      <c r="A47" s="1">
        <v>47</v>
      </c>
      <c r="B47" s="1" t="s">
        <v>277</v>
      </c>
      <c r="D47" s="1" t="e">
        <f>VLOOKUP(B47,channelfireball!A:C,2,FALSE)</f>
        <v>#N/A</v>
      </c>
      <c r="E47" s="1" t="e">
        <f>VLOOKUP(B47,channelfireball!A:C,3,FALSE)</f>
        <v>#N/A</v>
      </c>
      <c r="F47" s="1">
        <f>VLOOKUP(B47,smds!B:C,2,FALSE)</f>
        <v>8.8000000000000007</v>
      </c>
      <c r="G47" s="1" t="str">
        <f>VLOOKUP(B47,oracle!A:D,2,FALSE)</f>
        <v>3WW</v>
      </c>
      <c r="H47" s="1" t="str">
        <f>VLOOKUP(B47,oracle!A:D,3,FALSE)</f>
        <v>white</v>
      </c>
      <c r="I47" s="1" t="str">
        <f>VLOOKUP(B47,oracle!A:D,4,FALSE)</f>
        <v>\"\\"\"\\\"\"\\"\"\\\\"\"\\"\"\\\"\"\\"\"First strike
When Thalia's Lancers enters the battlefield, you may search your library for a legendary card, reveal it, put it into your hand, then shuffle your library.\\\\"\"\\"\"\\\"\"\\"\"\\\"\"\\"\"\\"\"\"</v>
      </c>
    </row>
    <row r="48" spans="1:9">
      <c r="A48" s="1">
        <v>48</v>
      </c>
      <c r="B48" s="1" t="s">
        <v>70</v>
      </c>
      <c r="D48" s="1">
        <f>VLOOKUP(B48,channelfireball!A:C,2,FALSE)</f>
        <v>1</v>
      </c>
      <c r="E48" s="1" t="str">
        <f>VLOOKUP(B48,channelfireball!A:C,3,FALSE)</f>
        <v>Thraben Standard Bearer’s effect is costly, and it doesn’t have enough impact on the game. It’s like Stern Constable in the sense that you’ll only play it when you have a lot of combos with madness and/or delirium. The Standard Bearer’s ability is more powerful than the Constable’s, but the fact that it costs 2 mana to use means that it doesn’t even do its job of enabling discarding particularly well. I do not like this card.</v>
      </c>
      <c r="F48" s="1">
        <f>VLOOKUP(B48,smds!B:C,2,FALSE)</f>
        <v>1</v>
      </c>
      <c r="G48" s="1" t="str">
        <f>VLOOKUP(B48,oracle!A:D,2,FALSE)</f>
        <v>W</v>
      </c>
      <c r="H48" s="1" t="str">
        <f>VLOOKUP(B48,oracle!A:D,3,FALSE)</f>
        <v>white</v>
      </c>
      <c r="I48" s="1" t="str">
        <f>VLOOKUP(B48,oracle!A:D,4,FALSE)</f>
        <v>{1}{W}, {T}, Discard a card: Put a 1/1 white Human Soldier creature token onto the battlefield.</v>
      </c>
    </row>
    <row r="49" spans="1:9">
      <c r="A49" s="1">
        <v>49</v>
      </c>
      <c r="B49" s="1" t="s">
        <v>72</v>
      </c>
      <c r="D49" s="1">
        <f>VLOOKUP(B49,channelfireball!A:C,2,FALSE)</f>
        <v>3</v>
      </c>
      <c r="E49" s="1" t="str">
        <f>VLOOKUP(B49,channelfireball!A:C,3,FALSE)</f>
        <v>Advanced Stitchwing is on par with Stitchwing Skaab and significantly better than Ghoulsteed, which makes it a very strong Limited card. A 3/4?flyer is capable of dominating games, and this one can come back over and over again. Add the fact that you can discard or mill your own Advanced Stitchwing for value, and you have a premium card that ought to go highly in booster draft.</v>
      </c>
      <c r="F49" s="1">
        <f>VLOOKUP(B49,smds!B:C,2,FALSE)</f>
        <v>2.7</v>
      </c>
      <c r="G49" s="1" t="str">
        <f>VLOOKUP(B49,oracle!A:D,2,FALSE)</f>
        <v>3UU</v>
      </c>
      <c r="H49" s="1" t="str">
        <f>VLOOKUP(B49,oracle!A:D,3,FALSE)</f>
        <v>blue</v>
      </c>
      <c r="I49" s="1" t="str">
        <f>VLOOKUP(B49,oracle!A:D,4,FALSE)</f>
        <v>\"\\"\"\\\"\"\\"\"\\\\"\"\\"\"\\\"\"\\"\"Flying
{2}{U}, Discard two cards: Return Advanced Stitchwing from your graveyard to the battlefield tapped.\\\\"\"\\"\"\\\"\"\\"\"\\\"\"\\"\"\\"\"\"</v>
      </c>
    </row>
    <row r="50" spans="1:9">
      <c r="A50" s="1">
        <v>50</v>
      </c>
      <c r="B50" s="1" t="s">
        <v>74</v>
      </c>
      <c r="D50" s="1">
        <f>VLOOKUP(B50,channelfireball!A:C,2,FALSE)</f>
        <v>2.5</v>
      </c>
      <c r="E50" s="1" t="str">
        <f>VLOOKUP(B50,channelfireball!A:C,3,FALSE)</f>
        <v>Frost Breath would already be a good card in?Shadows over Innistrad block since it’s fairly aggressive and there are archetypes where having a lot of cheap instants are helpful. The madness is only a small bonus, but a small bonus on an already good card makes for something you’re quite happy with.</v>
      </c>
      <c r="F50" s="1">
        <f>VLOOKUP(B50,smds!B:C,2,FALSE)</f>
        <v>1.4</v>
      </c>
      <c r="G50" s="1" t="str">
        <f>VLOOKUP(B50,oracle!A:D,2,FALSE)</f>
        <v>2U</v>
      </c>
      <c r="H50" s="1" t="str">
        <f>VLOOKUP(B50,oracle!A:D,3,FALSE)</f>
        <v>blue</v>
      </c>
      <c r="I50" s="1" t="str">
        <f>VLOOKUP(B50,oracle!A:D,4,FALSE)</f>
        <v>\"\\"\"\\\"\"\\"\"\\\\"\"\\"\"\\\"\"\\"\"Tap up to two target creatures. Those creatures don't untap during their controller's next untap step.
Madness {3}{U} （If you discard this card, discard it into exile. When you do, cast it for its madness cost or put it into your graveyard.）\\\\"\"\\"\"\\\"\"\\"\"\\\"\"\\"\"\\"\"\"</v>
      </c>
    </row>
    <row r="51" spans="1:9">
      <c r="A51" s="1">
        <v>51</v>
      </c>
      <c r="B51" s="1" t="s">
        <v>76</v>
      </c>
      <c r="D51" s="1">
        <f>VLOOKUP(B51,channelfireball!A:C,2,FALSE)</f>
        <v>0.5</v>
      </c>
      <c r="E51" s="1" t="str">
        <f>VLOOKUP(B51,channelfireball!A:C,3,FALSE)</f>
        <v>Coax from the Blind Eternities can let you tutor for a handful of the powerful rares in Eldritch Moon. The problem is that you then have to keep your powerful rare in the sideboard! You could contrive situations where this card is good, such as having multiples, or having multiple different Eldrazi that you’ve decided not to put in your deck anyway. All things considered, though, this is a bad Limited card that should mostly be ignored.</v>
      </c>
      <c r="F51" s="1">
        <f>VLOOKUP(B51,smds!B:C,2,FALSE)</f>
        <v>0.7</v>
      </c>
      <c r="G51" s="1" t="str">
        <f>VLOOKUP(B51,oracle!A:D,2,FALSE)</f>
        <v>2U</v>
      </c>
      <c r="H51" s="1" t="str">
        <f>VLOOKUP(B51,oracle!A:D,3,FALSE)</f>
        <v>blue</v>
      </c>
      <c r="I51" s="1" t="str">
        <f>VLOOKUP(B51,oracle!A:D,4,FALSE)</f>
        <v>You may choose an Eldrazi card you own from outside the game or in exile, reveal that card, and put it into your hand.</v>
      </c>
    </row>
    <row r="52" spans="1:9">
      <c r="A52" s="1">
        <v>52</v>
      </c>
      <c r="B52" s="1" t="s">
        <v>78</v>
      </c>
      <c r="D52" s="1">
        <f>VLOOKUP(B52,channelfireball!A:C,2,FALSE)</f>
        <v>0.5</v>
      </c>
      <c r="E52" s="1" t="str">
        <f>VLOOKUP(B52,channelfireball!A:C,3,FALSE)</f>
        <v>Contingency Plan is very bad. For the cost of 2 mana you get card disadvantage and no effect on the board. You do get to mill yourself for a bunch with the small upside of fixing your next draw step or two, but you have to have a very specific deck before this is a passable effect, let alone one you’re excited about. If playing with Contingency Plan is your contingency plan for drafting a self-mill deck, then I recommend not drafting a self-mill deck.</v>
      </c>
      <c r="F52" s="1">
        <f>VLOOKUP(B52,smds!B:C,2,FALSE)</f>
        <v>0.7</v>
      </c>
      <c r="G52" s="1" t="str">
        <f>VLOOKUP(B52,oracle!A:D,2,FALSE)</f>
        <v>1U</v>
      </c>
      <c r="H52" s="1" t="str">
        <f>VLOOKUP(B52,oracle!A:D,3,FALSE)</f>
        <v>blue</v>
      </c>
      <c r="I52" s="1" t="str">
        <f>VLOOKUP(B52,oracle!A:D,4,FALSE)</f>
        <v>Look at the top five cards of your library. Put any number of them into your graveyard and the rest back on top of your library in any order.</v>
      </c>
    </row>
    <row r="53" spans="1:9">
      <c r="A53" s="1">
        <v>53</v>
      </c>
      <c r="B53" s="1" t="s">
        <v>80</v>
      </c>
      <c r="D53" s="1">
        <f>VLOOKUP(B53,channelfireball!A:C,2,FALSE)</f>
        <v>1.5</v>
      </c>
      <c r="E53" s="1" t="str">
        <f>VLOOKUP(B53,channelfireball!A:C,3,FALSE)</f>
        <v>Cancel is a?decidedly?average Limited card. Compared to Cancel, Convolute loses a little bit of late-game value due to the risk that the opponent might be able to pay the 4 mana. On the other hand, it gains a little bit of early-game value by being easier to cast, with less demanding color requirements.Overall, Convolute is slightly-below-average filler in most normal decks. It’s slightly-above-average filler in decks that have a lot of instants and that?keep?their mana untapped anyway. You should generally avoid putting more than one copy in your main deck.</v>
      </c>
      <c r="F53" s="1">
        <f>VLOOKUP(B53,smds!B:C,2,FALSE)</f>
        <v>0.9</v>
      </c>
      <c r="G53" s="1" t="str">
        <f>VLOOKUP(B53,oracle!A:D,2,FALSE)</f>
        <v>2U</v>
      </c>
      <c r="H53" s="1" t="str">
        <f>VLOOKUP(B53,oracle!A:D,3,FALSE)</f>
        <v>blue</v>
      </c>
      <c r="I53" s="1" t="str">
        <f>VLOOKUP(B53,oracle!A:D,4,FALSE)</f>
        <v>Counter target spell unless its controller pays {4}.</v>
      </c>
    </row>
    <row r="54" spans="1:9">
      <c r="A54" s="1">
        <v>54</v>
      </c>
      <c r="B54" s="1" t="s">
        <v>298</v>
      </c>
      <c r="D54" s="1" t="e">
        <f>VLOOKUP(B54,channelfireball!A:C,2,FALSE)</f>
        <v>#N/A</v>
      </c>
      <c r="E54" s="1" t="e">
        <f>VLOOKUP(B54,channelfireball!A:C,3,FALSE)</f>
        <v>#N/A</v>
      </c>
      <c r="F54" s="1">
        <f>VLOOKUP(B54,smds!B:C,2,FALSE)</f>
        <v>1.5</v>
      </c>
      <c r="G54" s="1" t="str">
        <f>VLOOKUP(B54,oracle!A:D,2,FALSE)</f>
        <v>1U</v>
      </c>
      <c r="H54" s="1" t="str">
        <f>VLOOKUP(B54,oracle!A:D,3,FALSE)</f>
        <v>blue</v>
      </c>
      <c r="I54" s="1" t="str">
        <f>VLOOKUP(B54,oracle!A:D,4,FALSE)</f>
        <v>\"\\"\"\\\"\"\\"\"\\\\"\"\\"\"\\\"\"\\"\"{T}: Add {C} to your mana pool. Spend this mana only to cast an instant or sorcery spell.
At the beginning of your upkeep, if there are three or more instant and/or sorcery cards in your graveyard, transform Curious Homunculus.\\\\"\"\\"\"\\\"\"\\"\"\\\"\"\\"\"\\"\"\"</v>
      </c>
    </row>
    <row r="55" spans="1:9">
      <c r="A55" s="1">
        <v>55</v>
      </c>
      <c r="B55" s="1" t="s">
        <v>84</v>
      </c>
      <c r="D55" s="1">
        <f>VLOOKUP(B55,channelfireball!A:C,2,FALSE)</f>
        <v>0.5</v>
      </c>
      <c r="E55" s="1" t="str">
        <f>VLOOKUP(B55,channelfireball!A:C,3,FALSE)</f>
        <v>Displace has some corner-case applications, but really doesn’t do much. 3 mana is far too expensive of a way to protect your creatures from removal spells. Retriggering enters-the-battlefield effects or untapping blockers will also typically not be worth a card. When your opponent has 4 or more detrimental Auras they want to stick on your creatures―dis is da place for Displace.</v>
      </c>
      <c r="F55" s="1">
        <f>VLOOKUP(B55,smds!B:C,2,FALSE)</f>
        <v>0.8</v>
      </c>
      <c r="G55" s="1" t="str">
        <f>VLOOKUP(B55,oracle!A:D,2,FALSE)</f>
        <v>2U</v>
      </c>
      <c r="H55" s="1" t="str">
        <f>VLOOKUP(B55,oracle!A:D,3,FALSE)</f>
        <v>blue</v>
      </c>
      <c r="I55" s="1" t="str">
        <f>VLOOKUP(B55,oracle!A:D,4,FALSE)</f>
        <v>Exile up to two target creatures you control, then return those cards to the battlefield under their owner's control.</v>
      </c>
    </row>
    <row r="56" spans="1:9">
      <c r="A56" s="1">
        <v>56</v>
      </c>
      <c r="B56" s="1" t="s">
        <v>281</v>
      </c>
      <c r="D56" s="1" t="e">
        <f>VLOOKUP(B56,channelfireball!A:C,2,FALSE)</f>
        <v>#N/A</v>
      </c>
      <c r="E56" s="1" t="e">
        <f>VLOOKUP(B56,channelfireball!A:C,3,FALSE)</f>
        <v>#N/A</v>
      </c>
      <c r="F56" s="1">
        <f>VLOOKUP(B56,smds!B:C,2,FALSE)</f>
        <v>7.3</v>
      </c>
      <c r="G56" s="1" t="str">
        <f>VLOOKUP(B56,oracle!A:D,2,FALSE)</f>
        <v>3UU</v>
      </c>
      <c r="H56" s="1" t="str">
        <f>VLOOKUP(B56,oracle!A:D,3,FALSE)</f>
        <v>blue</v>
      </c>
      <c r="I56" s="1" t="str">
        <f>VLOOKUP(B56,oracle!A:D,4,FALSE)</f>
        <v>\"\\"\"\\\"\"\\"\"\\\\"\"\\"\"\\\"\"\\"\"Flying
Whenever you cast an instant or sorcery spell, put a 1/1 blue Human Wizard creature token onto the battlefield. Then if you control three or more Wizards, transform Docent of Perfection.\\\\"\"\\"\"\\\"\"\\"\"\\\"\"\\"\"\\"\"\"</v>
      </c>
    </row>
    <row r="57" spans="1:9">
      <c r="A57" s="1">
        <v>57</v>
      </c>
      <c r="B57" s="1" t="s">
        <v>88</v>
      </c>
      <c r="D57" s="1">
        <f>VLOOKUP(B57,channelfireball!A:C,2,FALSE)</f>
        <v>1.5</v>
      </c>
      <c r="E57" s="1" t="str">
        <f>VLOOKUP(B57,channelfireball!A:C,3,FALSE)</f>
        <v>Sorcery-speed hurts bounce spells a lot, since it means that you won’t get the value of blowing out combat tricks and Auras. 2-mana instant-speed bounce spells like Unsubstantiate will generally be better than Drag Under, and there’s no shortage of those in this Limited format. But Drag Under is a perfectly reasonable Limited card as well.If you’re playing a spells-matter deck, you’ll be interested in Drag Under since it replaces itself while helping you keep pace on the board. It’ll be especially good in the combo-esque Rise From the Tides decks since it helps buy time while filling your graveyard.Beyond that, any blue deck that doesn’t get the 1 or 2 Just the Wind effects that it wants will be happy to play a Drag Under. It’s also a solid 23rd card that’ll never be embarrassing to play.</v>
      </c>
      <c r="F57" s="1">
        <f>VLOOKUP(B57,smds!B:C,2,FALSE)</f>
        <v>1</v>
      </c>
      <c r="G57" s="1" t="str">
        <f>VLOOKUP(B57,oracle!A:D,2,FALSE)</f>
        <v>2U</v>
      </c>
      <c r="H57" s="1" t="str">
        <f>VLOOKUP(B57,oracle!A:D,3,FALSE)</f>
        <v>blue</v>
      </c>
      <c r="I57" s="1" t="str">
        <f>VLOOKUP(B57,oracle!A:D,4,FALSE)</f>
        <v>\"\\"\"\\\"\"\\"\"\\\\"\"\\"\"\\\"\"\\"\"Return target creature to its owner's hand.
Draw a card.\\\\"\"\\"\"\\\"\"\\"\"\\\"\"\\"\"\\"\"\"</v>
      </c>
    </row>
    <row r="58" spans="1:9">
      <c r="A58" s="1">
        <v>58</v>
      </c>
      <c r="B58" s="1" t="s">
        <v>90</v>
      </c>
      <c r="D58" s="1">
        <f>VLOOKUP(B58,channelfireball!A:C,2,FALSE)</f>
        <v>1.5</v>
      </c>
      <c r="E58" s="1" t="str">
        <f>VLOOKUP(B58,channelfireball!A:C,3,FALSE)</f>
        <v>4 mana is too expensive for a 3/2 ground creature. Enlightened Maniac gives you a bit of extra value in a free chump-block, or the option to bounce-and-recast (or Displace) it for another creature. It’s also the perfect body to use for emerge. But if I had no way to make use of the 0/2 body, I’d be fairly disappointed to play with Enlightened Maniac.</v>
      </c>
      <c r="F58" s="1">
        <f>VLOOKUP(B58,smds!B:C,2,FALSE)</f>
        <v>1</v>
      </c>
      <c r="G58" s="1" t="str">
        <f>VLOOKUP(B58,oracle!A:D,2,FALSE)</f>
        <v>3U</v>
      </c>
      <c r="H58" s="1" t="str">
        <f>VLOOKUP(B58,oracle!A:D,3,FALSE)</f>
        <v>blue</v>
      </c>
      <c r="I58" s="1" t="str">
        <f>VLOOKUP(B58,oracle!A:D,4,FALSE)</f>
        <v>When Enlightened Maniac enters the battlefield, put a 3/2 colorless Eldrazi Horror creature token onto the battlefield.</v>
      </c>
    </row>
    <row r="59" spans="1:9">
      <c r="A59" s="1">
        <v>59</v>
      </c>
      <c r="B59" s="1" t="s">
        <v>92</v>
      </c>
      <c r="D59" s="1">
        <f>VLOOKUP(B59,channelfireball!A:C,2,FALSE)</f>
        <v>2</v>
      </c>
      <c r="E59" s="1" t="str">
        <f>VLOOKUP(B59,channelfireball!A:C,3,FALSE)</f>
        <v>I tend to like any card that can trade off for value in the early game. Exultant Cultist isn’t a good beatdown creature, and it doesn’t have evasion or any other useful abilities. But the games that you get to play it and trade with a 2- or 3-drop creature, it’s going to be excellent. It’s not even the end of the world if you have to chump block with it. This is a pretty strong filler card for defensive decks.</v>
      </c>
      <c r="F59" s="1">
        <f>VLOOKUP(B59,smds!B:C,2,FALSE)</f>
        <v>1</v>
      </c>
      <c r="G59" s="1" t="str">
        <f>VLOOKUP(B59,oracle!A:D,2,FALSE)</f>
        <v>2U</v>
      </c>
      <c r="H59" s="1" t="str">
        <f>VLOOKUP(B59,oracle!A:D,3,FALSE)</f>
        <v>blue</v>
      </c>
      <c r="I59" s="1" t="str">
        <f>VLOOKUP(B59,oracle!A:D,4,FALSE)</f>
        <v>When Exultant Cultist dies, draw a card.</v>
      </c>
    </row>
    <row r="60" spans="1:9">
      <c r="A60" s="1">
        <v>60</v>
      </c>
      <c r="B60" s="1" t="s">
        <v>94</v>
      </c>
      <c r="D60" s="1">
        <f>VLOOKUP(B60,channelfireball!A:C,2,FALSE)</f>
        <v>2</v>
      </c>
      <c r="E60" s="1" t="str">
        <f>VLOOKUP(B60,channelfireball!A:C,3,FALSE)</f>
        <v>Like Exultant Cultist, Fogwalker is a great way for defensive decks to add to the board in the early game while getting a bit of bonus value for their troubles. I’ve never been too proud to play a Seagraf Skaab, so I like everything about Fogwalker. I like that it can block most 2-drops without dying, I like that it can lock down a flying creature for a turn, or generally help you in a damage race. I also like that skulk can let it pluck away for a few damage later in the game, once you no longer need it on defense.</v>
      </c>
      <c r="F60" s="1">
        <f>VLOOKUP(B60,smds!B:C,2,FALSE)</f>
        <v>1</v>
      </c>
      <c r="G60" s="1" t="str">
        <f>VLOOKUP(B60,oracle!A:D,2,FALSE)</f>
        <v>1U</v>
      </c>
      <c r="H60" s="1" t="str">
        <f>VLOOKUP(B60,oracle!A:D,3,FALSE)</f>
        <v>blue</v>
      </c>
      <c r="I60" s="1" t="str">
        <f>VLOOKUP(B60,oracle!A:D,4,FALSE)</f>
        <v>\"\\"\"\\\"\"\\"\"\\\\"\"\\"\"\\\"\"\\"\"Skulk （This creature can't be blocked by creatures with greater power.）
When Fogwalker enters the battlefield, target creature an opponent controls doesn't untap during its controller's next untap step.\\\\"\"\\"\"\\\"\"\\"\"\\\"\"\\"\"\\"\"\"</v>
      </c>
    </row>
    <row r="61" spans="1:9">
      <c r="A61" s="1">
        <v>61</v>
      </c>
      <c r="B61" s="1" t="s">
        <v>304</v>
      </c>
      <c r="D61" s="1" t="e">
        <f>VLOOKUP(B61,channelfireball!A:C,2,FALSE)</f>
        <v>#N/A</v>
      </c>
      <c r="E61" s="1" t="e">
        <f>VLOOKUP(B61,channelfireball!A:C,3,FALSE)</f>
        <v>#N/A</v>
      </c>
      <c r="F61" s="1">
        <f>VLOOKUP(B61,smds!B:C,2,FALSE)</f>
        <v>1</v>
      </c>
      <c r="G61" s="1" t="str">
        <f>VLOOKUP(B61,oracle!A:D,2,FALSE)</f>
        <v>3U</v>
      </c>
      <c r="H61" s="1" t="str">
        <f>VLOOKUP(B61,oracle!A:D,3,FALSE)</f>
        <v>blue</v>
      </c>
      <c r="I61" s="1" t="str">
        <f>VLOOKUP(B61,oracle!A:D,4,FALSE)</f>
        <v>Target opponent looks at the top four cards of your library and separates them into a face-down pile and a face-up pile. Put one pile into your hand and the other into your graveyard.</v>
      </c>
    </row>
    <row r="62" spans="1:9">
      <c r="A62" s="1">
        <v>62</v>
      </c>
      <c r="B62" s="1" t="s">
        <v>98</v>
      </c>
      <c r="D62" s="1">
        <f>VLOOKUP(B62,channelfireball!A:C,2,FALSE)</f>
        <v>2</v>
      </c>
      <c r="E62" s="1" t="str">
        <f>VLOOKUP(B62,channelfireball!A:C,3,FALSE)</f>
        <v>Sigiled Starfish anyone? The extra point of toughness is definitely not worth the extra mana, making Geist of the Archives a bit worse than Sigiled Starfish. But this is still a powerful effect in Limited, helping you to smooth your draw, find your bombs and answer cards, and make sure you don’t flood out in a long game.If you can use both a ground blocker and a little extra late-game power, then Geist of the Archives is a card you’ll be very happy to play with.</v>
      </c>
      <c r="F62" s="1">
        <f>VLOOKUP(B62,smds!B:C,2,FALSE)</f>
        <v>1.7</v>
      </c>
      <c r="G62" s="1" t="str">
        <f>VLOOKUP(B62,oracle!A:D,2,FALSE)</f>
        <v>2U</v>
      </c>
      <c r="H62" s="1" t="str">
        <f>VLOOKUP(B62,oracle!A:D,3,FALSE)</f>
        <v>blue</v>
      </c>
      <c r="I62" s="1" t="str">
        <f>VLOOKUP(B62,oracle!A:D,4,FALSE)</f>
        <v>\"\\"\"\\\"\"\\"\"\\\\"\"\\"\"\\\"\"\\"\"Defender
At the beginning of your upkeep, scry 1. （Look at the top card of your library. You may put that card on the bottom of your library.）\\\\"\"\\"\"\\\"\"\\"\"\\\"\"\\"\"\\"\"\"</v>
      </c>
    </row>
    <row r="63" spans="1:9">
      <c r="A63" s="1">
        <v>63</v>
      </c>
      <c r="B63" s="1" t="s">
        <v>297</v>
      </c>
      <c r="D63" s="1" t="e">
        <f>VLOOKUP(B63,channelfireball!A:C,2,FALSE)</f>
        <v>#N/A</v>
      </c>
      <c r="E63" s="1" t="e">
        <f>VLOOKUP(B63,channelfireball!A:C,3,FALSE)</f>
        <v>#N/A</v>
      </c>
      <c r="F63" s="1">
        <f>VLOOKUP(B63,smds!B:C,2,FALSE)</f>
        <v>1.6</v>
      </c>
      <c r="G63" s="1" t="str">
        <f>VLOOKUP(B63,oracle!A:D,2,FALSE)</f>
        <v>2U</v>
      </c>
      <c r="H63" s="1" t="str">
        <f>VLOOKUP(B63,oracle!A:D,3,FALSE)</f>
        <v>blue</v>
      </c>
      <c r="I63" s="1" t="str">
        <f>VLOOKUP(B63,oracle!A:D,4,FALSE)</f>
        <v>{T}: Put the top two cards of your library into your graveyard. Then if there is a colorless creature card in your graveyard, transform Grizzled Angler.</v>
      </c>
    </row>
    <row r="64" spans="1:9">
      <c r="A64" s="1">
        <v>64</v>
      </c>
      <c r="B64" s="1" t="s">
        <v>102</v>
      </c>
      <c r="D64" s="1">
        <f>VLOOKUP(B64,channelfireball!A:C,2,FALSE)</f>
        <v>2.5</v>
      </c>
      <c r="E64" s="1" t="str">
        <f>VLOOKUP(B64,channelfireball!A:C,3,FALSE)</f>
        <v>When I first read Identity Thief I said to myself, “So it attacks as the best creature on the battlefield.” Upon further inspection, that’s a gross oversimplification.For starters, if the best creature on the battlefield is yours, and you want to attack with it, then you’ll have to thieve the identity of something else instead. On the other hand, if you target an opposing creature, you make it unable to block for the turn. Other uses of Identity Thief include knocking off Auras and counters, and retriggering enters-the-battlefield abilities.On the whole, this is a cool card that gives you a good amount of control over the battlefield. If it played better defense, it would be a 3.0 or 3.5.</v>
      </c>
      <c r="F64" s="1">
        <f>VLOOKUP(B64,smds!B:C,2,FALSE)</f>
        <v>4.4000000000000004</v>
      </c>
      <c r="G64" s="1" t="str">
        <f>VLOOKUP(B64,oracle!A:D,2,FALSE)</f>
        <v>2UU</v>
      </c>
      <c r="H64" s="1" t="str">
        <f>VLOOKUP(B64,oracle!A:D,3,FALSE)</f>
        <v>blue</v>
      </c>
      <c r="I64" s="1" t="str">
        <f>VLOOKUP(B64,oracle!A:D,4,FALSE)</f>
        <v>Whenever Identity Thief attacks, you may exile another target nontoken creature. If you do, Identity Thief becomes a copy of that creature until end of turn. Return the exiled card to the battlefield under its owner's control at the beginning of the next end step.</v>
      </c>
    </row>
    <row r="65" spans="1:9">
      <c r="A65" s="1">
        <v>65</v>
      </c>
      <c r="B65" s="1" t="s">
        <v>104</v>
      </c>
      <c r="D65" s="1">
        <f>VLOOKUP(B65,channelfireball!A:C,2,FALSE)</f>
        <v>2</v>
      </c>
      <c r="E65" s="1" t="str">
        <f>VLOOKUP(B65,channelfireball!A:C,3,FALSE)</f>
        <v>Imprisoned in the Moon is an average-quality removal spell. It can answer any creature but can be destroyed to free the creature. I’d much rather pay the extra mana for Sleep Paralysis than give my opponent an extra mana for the rest of the game. That said, Sleep Paralysis is quite a good card, and I think Imprisoned in the Moon will still usually make the cut.One thing that is very nice, as compared to other Auras like Sleep Paralysis and Bound by Moonsilver is that the opponent will have a hard time bouncing and recasting their creature. The bounce spells in this format (Just the Wind, Unsubstantiate, etc.) cannot bounce lands.The ability to answer a planeswalker might come up, but I doubt it’ll ever be correct to cast this on an opposing land.</v>
      </c>
      <c r="F65" s="1">
        <f>VLOOKUP(B65,smds!B:C,2,FALSE)</f>
        <v>5.5</v>
      </c>
      <c r="G65" s="1" t="str">
        <f>VLOOKUP(B65,oracle!A:D,2,FALSE)</f>
        <v>2U</v>
      </c>
      <c r="H65" s="1" t="str">
        <f>VLOOKUP(B65,oracle!A:D,3,FALSE)</f>
        <v>blue</v>
      </c>
      <c r="I65" s="1" t="str">
        <f>VLOOKUP(B65,oracle!A:D,4,FALSE)</f>
        <v>\"\\"\"\\\"\"\\"\"\\\\"\"\\"\"\\\"\"\\"\"Enchant creature, land, or planeswalker
Enchanted permanent is a colorless land with \\\\\"\"\\"\"\\\"\"\\"\"\\\\"\"\\"\"\\\"\"\\"\"{T}: Add {C} to your mana pool\\\\\"\"\\"\"\\\"\"\\"\"\\\\"\"\\"\"\\\"\"\\"\" and loses all other card types and abilities.\\\\"\"\\"\"\\\"\"\\"\"\\\"\"\\"\"\\"\"\"</v>
      </c>
    </row>
    <row r="66" spans="1:9">
      <c r="A66" s="1">
        <v>66</v>
      </c>
      <c r="B66" s="1" t="s">
        <v>106</v>
      </c>
      <c r="D66" s="1">
        <f>VLOOKUP(B66,channelfireball!A:C,2,FALSE)</f>
        <v>2.5</v>
      </c>
      <c r="E66" s="1" t="str">
        <f>VLOOKUP(B66,channelfireball!A:C,3,FALSE)</f>
        <v>Ingenious Skaab is a very solid body that can hit quite hard if it goes unblocked and you have even a single noncreature spell to cast. In a color lacking a premium common removal spell, Ingenious Skaab could easily be among the best commons.</v>
      </c>
      <c r="F66" s="1">
        <f>VLOOKUP(B66,smds!B:C,2,FALSE)</f>
        <v>1.2</v>
      </c>
      <c r="G66" s="1" t="str">
        <f>VLOOKUP(B66,oracle!A:D,2,FALSE)</f>
        <v>2U</v>
      </c>
      <c r="H66" s="1" t="str">
        <f>VLOOKUP(B66,oracle!A:D,3,FALSE)</f>
        <v>blue</v>
      </c>
      <c r="I66" s="1" t="str">
        <f>VLOOKUP(B66,oracle!A:D,4,FALSE)</f>
        <v>\"\\"\"\\\"\"\\"\"\\\\"\"\\"\"\\\"\"\\"\"Prowess （Whenever you cast a noncreature spell, this creature gets +1/+1 until end of turn.）
{U}: Ingenious Skaab gets +1/-1 until end of turn.\\\\"\"\\"\"\\\"\"\\"\"\\\"\"\\"\"\\"\"\"</v>
      </c>
    </row>
    <row r="67" spans="1:9">
      <c r="A67" s="1">
        <v>67</v>
      </c>
      <c r="B67" s="1" t="s">
        <v>108</v>
      </c>
      <c r="D67" s="1">
        <f>VLOOKUP(B67,channelfireball!A:C,2,FALSE)</f>
        <v>1.5</v>
      </c>
      <c r="E67" s="1" t="str">
        <f>VLOOKUP(B67,channelfireball!A:C,3,FALSE)</f>
        <v>Hill Giant is slightly-below-average filler for this Limited format, but it’s still reasonable if you need to fill out your mana curve. Add the fact that many blue decks will be interested in delirium and/or have other reasons to mill themselves, and you have a card that will probably make the cut in about 2 out of 3 of your blue decks.</v>
      </c>
      <c r="F67" s="1">
        <f>VLOOKUP(B67,smds!B:C,2,FALSE)</f>
        <v>0.9</v>
      </c>
      <c r="G67" s="1" t="str">
        <f>VLOOKUP(B67,oracle!A:D,2,FALSE)</f>
        <v>3U</v>
      </c>
      <c r="H67" s="1" t="str">
        <f>VLOOKUP(B67,oracle!A:D,3,FALSE)</f>
        <v>blue</v>
      </c>
      <c r="I67" s="1" t="str">
        <f>VLOOKUP(B67,oracle!A:D,4,FALSE)</f>
        <v>When Laboratory Brute enters the battlefield, put the top four cards of your library into your graveyard.</v>
      </c>
    </row>
    <row r="68" spans="1:9">
      <c r="A68" s="1">
        <v>68</v>
      </c>
      <c r="B68" s="1" t="s">
        <v>110</v>
      </c>
      <c r="D68" s="1">
        <f>VLOOKUP(B68,channelfireball!A:C,2,FALSE)</f>
        <v>0.5</v>
      </c>
      <c r="E68" s="1" t="str">
        <f>VLOOKUP(B68,channelfireball!A:C,3,FALSE)</f>
        <v>A permission spell that lets the opponent choose what it counters is not exactly stellar. At first, I thought that you could at least combo this with Ironclad Slayer, but it’s not even an Aura! I guess the value in Lunar Force is supposed to be a contribution to delirium. All things considered, I think you’d have to be a bit of a lunatic to play with this.</v>
      </c>
      <c r="F68" s="1">
        <f>VLOOKUP(B68,smds!B:C,2,FALSE)</f>
        <v>0.9</v>
      </c>
      <c r="G68" s="1" t="str">
        <f>VLOOKUP(B68,oracle!A:D,2,FALSE)</f>
        <v>2U</v>
      </c>
      <c r="H68" s="1" t="str">
        <f>VLOOKUP(B68,oracle!A:D,3,FALSE)</f>
        <v>blue</v>
      </c>
      <c r="I68" s="1" t="str">
        <f>VLOOKUP(B68,oracle!A:D,4,FALSE)</f>
        <v>When an opponent casts a spell, sacrifice Lunar Force and counter that spell.</v>
      </c>
    </row>
    <row r="69" spans="1:9">
      <c r="A69" s="1">
        <v>69</v>
      </c>
      <c r="B69" s="1" t="s">
        <v>112</v>
      </c>
      <c r="D69" s="1">
        <f>VLOOKUP(B69,channelfireball!A:C,2,FALSE)</f>
        <v>2</v>
      </c>
      <c r="E69" s="1" t="str">
        <f>VLOOKUP(B69,channelfireball!A:C,3,FALSE)</f>
        <v>The stock of Spirits is on the rise! Mausoleum Wanderer is a Judge’s Familiar that sometimes attacks for 2, and can force the opponent to pay extra if you get very tricky. All of this makes for a solid and appealing card.Unfortunately, this is the type of card that was designed with Constructed in mind, and it’s far less exciting for Limited play. It’ll range from average to strong depending on how dedicated you are to Spirit tribal synergies.</v>
      </c>
      <c r="F69" s="1">
        <f>VLOOKUP(B69,smds!B:C,2,FALSE)</f>
        <v>4.2</v>
      </c>
      <c r="G69" s="1" t="str">
        <f>VLOOKUP(B69,oracle!A:D,2,FALSE)</f>
        <v>U</v>
      </c>
      <c r="H69" s="1" t="str">
        <f>VLOOKUP(B69,oracle!A:D,3,FALSE)</f>
        <v>blue</v>
      </c>
      <c r="I69" s="1" t="str">
        <f>VLOOKUP(B69,oracle!A:D,4,FALSE)</f>
        <v>\"\\"\"\\\"\"\\"\"\\\\"\"\\"\"\\\"\"\\"\"Flying
Whenever another Spirit enters the battlefield under your control, Mausoleum Wanderer gets +1/+1 until end of turn.
Sacrifice Mausoleum Wanderer: Counter target instant or sorcery spell unless its controller pays {X}, where X is Mausoleum Wanderer's power.\\\\"\"\\"\"\\\"\"\\"\"\\\"\"\\"\"\\"\"\"</v>
      </c>
    </row>
    <row r="70" spans="1:9">
      <c r="A70" s="1">
        <v>70</v>
      </c>
      <c r="B70" s="1" t="s">
        <v>310</v>
      </c>
      <c r="D70" s="1" t="e">
        <f>VLOOKUP(B70,channelfireball!A:C,2,FALSE)</f>
        <v>#N/A</v>
      </c>
      <c r="E70" s="1" t="e">
        <f>VLOOKUP(B70,channelfireball!A:C,3,FALSE)</f>
        <v>#N/A</v>
      </c>
      <c r="F70" s="1">
        <f>VLOOKUP(B70,smds!B:C,2,FALSE)</f>
        <v>0.9</v>
      </c>
      <c r="G70" s="1" t="str">
        <f>VLOOKUP(B70,oracle!A:D,2,FALSE)</f>
        <v>5UU</v>
      </c>
      <c r="H70" s="1" t="str">
        <f>VLOOKUP(B70,oracle!A:D,3,FALSE)</f>
        <v>blue</v>
      </c>
      <c r="I70" s="1" t="str">
        <f>VLOOKUP(B70,oracle!A:D,4,FALSE)</f>
        <v>Whenever an opponent casts his or her first spell each turn, that player exiles the top card of his or her library. If it's a nonland card, you may cast it without paying its mana cost.</v>
      </c>
    </row>
    <row r="71" spans="1:9">
      <c r="A71" s="1">
        <v>71</v>
      </c>
      <c r="B71" s="1" t="s">
        <v>116</v>
      </c>
      <c r="D71" s="1">
        <f>VLOOKUP(B71,channelfireball!A:C,2,FALSE)</f>
        <v>3</v>
      </c>
      <c r="E71" s="1" t="str">
        <f>VLOOKUP(B71,channelfireball!A:C,3,FALSE)</f>
        <v>Pestermite is back! What it lacks in the ability to untap a permanent it makes up for in having a repeatable effect in a deck with other Spirits. Even as a one-shot tapper, Nebelgast Herald is a super efficient Limited card that will virtually always make the cut. In a dedicated Spirit deck, it will give you a ton of control over the battlefield, and is going to be very frustrating for the opponent to play against. Your sorcery-speed Spirits will only tap down blockers to help you on offense, but a healthy number of the Spirits in Eldritch Moon have flash, and will give you more Pestermite effects to help you in a race.</v>
      </c>
      <c r="F71" s="1">
        <f>VLOOKUP(B71,smds!B:C,2,FALSE)</f>
        <v>2.7</v>
      </c>
      <c r="G71" s="1" t="str">
        <f>VLOOKUP(B71,oracle!A:D,2,FALSE)</f>
        <v>2U</v>
      </c>
      <c r="H71" s="1" t="str">
        <f>VLOOKUP(B71,oracle!A:D,3,FALSE)</f>
        <v>blue</v>
      </c>
      <c r="I71" s="1" t="str">
        <f>VLOOKUP(B71,oracle!A:D,4,FALSE)</f>
        <v>\"\\"\"\\\"\"\\"\"\\\\"\"\\"\"\\\"\"\\"\"Flash （You may cast this spell any time you could cast an instant.）
Flying
Whenever Nebelgast Herald or another Spirit enters the battlefield under your control, tap target creature an opponent controls.\\\\"\"\\"\"\\\"\"\\"\"\\\"\"\\"\"\\"\"\"</v>
      </c>
    </row>
    <row r="72" spans="1:9">
      <c r="A72" s="1">
        <v>72</v>
      </c>
      <c r="B72" s="1" t="s">
        <v>118</v>
      </c>
      <c r="D72" s="1">
        <f>VLOOKUP(B72,channelfireball!A:C,2,FALSE)</f>
        <v>4.5</v>
      </c>
      <c r="E72" s="1" t="str">
        <f>VLOOKUP(B72,channelfireball!A:C,3,FALSE)</f>
        <v>Much like Docent of Perfection, Niblis of Frost starts with an extremely powerful flying body and becomes absurd with just a couple of instants and sorceries. If you’ve done the work to draft around this, you’ll virtually never lose when you draw the Niblis and it survives. This strikes me as one of the best cards in the set for Limited.</v>
      </c>
      <c r="F72" s="1">
        <f>VLOOKUP(B72,smds!B:C,2,FALSE)</f>
        <v>9.9</v>
      </c>
      <c r="G72" s="1" t="str">
        <f>VLOOKUP(B72,oracle!A:D,2,FALSE)</f>
        <v>2UU</v>
      </c>
      <c r="H72" s="1" t="str">
        <f>VLOOKUP(B72,oracle!A:D,3,FALSE)</f>
        <v>blue</v>
      </c>
      <c r="I72" s="1" t="str">
        <f>VLOOKUP(B72,oracle!A:D,4,FALSE)</f>
        <v>\"\\"\"\\\"\"\\"\"\\\\"\"\\"\"\\\"\"\\"\"Flying
Prowess （Whenever you cast a noncreature spell, this creature gets +1/+1 until end of turn.）
Whenever you cast an instant or sorcery spell, tap target creature an opponent controls. That creature doesn't untap during its controller's next untap step.\\\\"\"\\"\"\\\"\"\\"\"\\\"\"\\"\"\\"\"\"</v>
      </c>
    </row>
    <row r="73" spans="1:9">
      <c r="A73" s="1">
        <v>73</v>
      </c>
      <c r="B73" s="1" t="s">
        <v>120</v>
      </c>
      <c r="D73" s="1">
        <f>VLOOKUP(B73,channelfireball!A:C,2,FALSE)</f>
        <v>2.5</v>
      </c>
      <c r="E73" s="1" t="str">
        <f>VLOOKUP(B73,channelfireball!A:C,3,FALSE)</f>
        <v>6 mana to draw 3 cards is a pretty fair rate for Limited (6 mana for 4 cards is a bomb). In a stalled game, this can swing a game in your favor even at full price. Factor in that it can be cast for 4 mana in the very late game, or in a dedicated delirium deck, and you have quite a strong Limited card.You won’t play this in every draft deck, but the decks that do want it will be very, very happy to have it.</v>
      </c>
      <c r="F73" s="1">
        <f>VLOOKUP(B73,smds!B:C,2,FALSE)</f>
        <v>1</v>
      </c>
      <c r="G73" s="1" t="str">
        <f>VLOOKUP(B73,oracle!A:D,2,FALSE)</f>
        <v>4UU</v>
      </c>
      <c r="H73" s="1" t="str">
        <f>VLOOKUP(B73,oracle!A:D,3,FALSE)</f>
        <v>blue</v>
      </c>
      <c r="I73" s="1" t="str">
        <f>VLOOKUP(B73,oracle!A:D,4,FALSE)</f>
        <v>\"\\"\"\\\"\"\\"\"\\\\"\"\\"\"\\\"\"\\"\"Delirium --- Scour the Laboratory costs {2} less to cast if there are four or more card types among cards in your graveyard.
Draw three cards.\\\\"\"\\"\"\\\"\"\\"\"\\\"\"\\"\"\\"\"\"</v>
      </c>
    </row>
    <row r="74" spans="1:9">
      <c r="A74" s="1">
        <v>74</v>
      </c>
      <c r="B74" s="1" t="s">
        <v>122</v>
      </c>
      <c r="D74" s="1">
        <f>VLOOKUP(B74,channelfireball!A:C,2,FALSE)</f>
        <v>1.5</v>
      </c>
      <c r="E74" s="1" t="str">
        <f>VLOOKUP(B74,channelfireball!A:C,3,FALSE)</f>
        <v>Reducing the power on an opposing creature isn’t a particularly strong effect, but the price is right on Spontaneous Mutation. In slow decks that want to invest a lot of mana on card drawing (like Scour the Laboratory), Spontaneous Mutation is a great way to make up the tempo disadvantage and protect yourself. Even in a more normal deck, it’s a fine way to answer evasion creatures, and might be a good sideboard card against decks with a lot of flyers.Again, not every deck will want Spontaneous Mutation, but it will be a very strong and efficient card in the decks that do want it, and you’ll have a good chance of picking them up late in a draft.</v>
      </c>
      <c r="F74" s="1">
        <f>VLOOKUP(B74,smds!B:C,2,FALSE)</f>
        <v>0.9</v>
      </c>
      <c r="G74" s="1" t="str">
        <f>VLOOKUP(B74,oracle!A:D,2,FALSE)</f>
        <v>U</v>
      </c>
      <c r="H74" s="1" t="str">
        <f>VLOOKUP(B74,oracle!A:D,3,FALSE)</f>
        <v>blue</v>
      </c>
      <c r="I74" s="1" t="str">
        <f>VLOOKUP(B74,oracle!A:D,4,FALSE)</f>
        <v>\"\\"\"\\\"\"\\"\"\\\\"\"\\"\"\\\"\"\\"\"Flash （You may cast this spell any time you could cast an instant.）
Enchant creature
Enchanted creature gets -X/-0, where X is the number of cards in your graveyard.\\\\"\"\\"\"\\\"\"\\"\"\\\"\"\\"\"\\"\"\"</v>
      </c>
    </row>
    <row r="75" spans="1:9">
      <c r="A75" s="1">
        <v>75</v>
      </c>
      <c r="B75" s="1" t="s">
        <v>124</v>
      </c>
      <c r="D75" s="1">
        <f>VLOOKUP(B75,channelfireball!A:C,2,FALSE)</f>
        <v>1</v>
      </c>
      <c r="E75" s="1" t="str">
        <f>VLOOKUP(B75,channelfireball!A:C,3,FALSE)</f>
        <v>This is a fancy way of printing what amounts to a vanilla 4-mana counterspell. I like a Cancel more than most, but I’d be quite unhappy to main deck a 4-mana Cancel, and would only sideboard it in for very slow matchups.</v>
      </c>
      <c r="F75" s="1">
        <f>VLOOKUP(B75,smds!B:C,2,FALSE)</f>
        <v>0.9</v>
      </c>
      <c r="G75" s="1" t="str">
        <f>VLOOKUP(B75,oracle!A:D,2,FALSE)</f>
        <v>2UU</v>
      </c>
      <c r="H75" s="1" t="str">
        <f>VLOOKUP(B75,oracle!A:D,3,FALSE)</f>
        <v>blue</v>
      </c>
      <c r="I75" s="1" t="str">
        <f>VLOOKUP(B75,oracle!A:D,4,FALSE)</f>
        <v>Exile all other spells and counter all abilities.</v>
      </c>
    </row>
    <row r="76" spans="1:9">
      <c r="A76" s="1">
        <v>76</v>
      </c>
      <c r="B76" s="1" t="s">
        <v>126</v>
      </c>
      <c r="D76" s="1">
        <f>VLOOKUP(B76,channelfireball!A:C,2,FALSE)</f>
        <v>1.5</v>
      </c>
      <c r="E76" s="1" t="str">
        <f>VLOOKUP(B76,channelfireball!A:C,3,FALSE)</f>
        <v>In an average deck, you need 4 copies to be very excited about Take Inventory, which is simply not something you can plan for with only 2 packs of Eldritch Moon. For a dedicated “spells matter” deck, you’d be thrilled to play 3 copies, and might play with Take Inventory even if you can only get 1 or 2.It’s always nice to pay attention to cards like this, in case you think you might wheel 1, or if you want to keep the door open for getting extremely lucky. But I think you’ll generally be making a mistake to spend a high pick on Take Inventory early in the draft.</v>
      </c>
      <c r="F76" s="1">
        <f>VLOOKUP(B76,smds!B:C,2,FALSE)</f>
        <v>1</v>
      </c>
      <c r="G76" s="1" t="str">
        <f>VLOOKUP(B76,oracle!A:D,2,FALSE)</f>
        <v>1U</v>
      </c>
      <c r="H76" s="1" t="str">
        <f>VLOOKUP(B76,oracle!A:D,3,FALSE)</f>
        <v>blue</v>
      </c>
      <c r="I76" s="1" t="str">
        <f>VLOOKUP(B76,oracle!A:D,4,FALSE)</f>
        <v>Draw a card, then draw cards equal to the number of cards named Take Inventory in your graveyard.</v>
      </c>
    </row>
    <row r="77" spans="1:9">
      <c r="A77" s="1">
        <v>77</v>
      </c>
      <c r="B77" s="1" t="s">
        <v>128</v>
      </c>
      <c r="D77" s="1">
        <f>VLOOKUP(B77,channelfireball!A:C,2,FALSE)</f>
        <v>2.5</v>
      </c>
      <c r="E77" s="1" t="str">
        <f>VLOOKUP(B77,channelfireball!A:C,3,FALSE)</f>
        <v>2-power 2-drops with evasion tend to be quite good, and Tattered Haunter is no exception. It might be held back a little bit by the fact that blue isn’t the most aggressive color in Eldritch Moon/Shadows over Innistrad Limited, but it’s still going to be excellent in decks like UW Spirits and UR Beatdown.Tattered Haunter is just one more reason that Spirits are shaping up to be a very successful tribe in Eldritch Moon Limited.</v>
      </c>
      <c r="F77" s="1">
        <f>VLOOKUP(B77,smds!B:C,2,FALSE)</f>
        <v>1.3</v>
      </c>
      <c r="G77" s="1" t="str">
        <f>VLOOKUP(B77,oracle!A:D,2,FALSE)</f>
        <v>1U</v>
      </c>
      <c r="H77" s="1" t="str">
        <f>VLOOKUP(B77,oracle!A:D,3,FALSE)</f>
        <v>blue</v>
      </c>
      <c r="I77" s="1" t="str">
        <f>VLOOKUP(B77,oracle!A:D,4,FALSE)</f>
        <v>\"\\"\"\\\"\"\\"\"\\\\"\"\\"\"\\\"\"\\"\"Flying
Tattered Haunter can block only creatures with flying.\\\\"\"\\"\"\\\"\"\\"\"\\\"\"\\"\"\\"\"\"</v>
      </c>
    </row>
    <row r="78" spans="1:9">
      <c r="A78" s="1">
        <v>78</v>
      </c>
      <c r="B78" s="1" t="s">
        <v>130</v>
      </c>
      <c r="D78" s="1">
        <f>VLOOKUP(B78,channelfireball!A:C,2,FALSE)</f>
        <v>1</v>
      </c>
      <c r="E78" s="1" t="str">
        <f>VLOOKUP(B78,channelfireball!A:C,3,FALSE)</f>
        <v>Highly situational cards like Turn Aside are never high draft picks. In an emergency where you’ve only drafted 19 or 20 playables, you could put Turn Aside in your main deck and hope things work out for the perfect blowout. Preferably, though, this is?sideboard material.</v>
      </c>
      <c r="F78" s="1">
        <f>VLOOKUP(B78,smds!B:C,2,FALSE)</f>
        <v>0.8</v>
      </c>
      <c r="G78" s="1" t="str">
        <f>VLOOKUP(B78,oracle!A:D,2,FALSE)</f>
        <v>U</v>
      </c>
      <c r="H78" s="1" t="str">
        <f>VLOOKUP(B78,oracle!A:D,3,FALSE)</f>
        <v>blue</v>
      </c>
      <c r="I78" s="1" t="str">
        <f>VLOOKUP(B78,oracle!A:D,4,FALSE)</f>
        <v>Counter target spell that targets a permanent you control.</v>
      </c>
    </row>
    <row r="79" spans="1:9">
      <c r="A79" s="1">
        <v>79</v>
      </c>
      <c r="B79" s="1" t="s">
        <v>132</v>
      </c>
      <c r="D79" s="1">
        <f>VLOOKUP(B79,channelfireball!A:C,2,FALSE)</f>
        <v>2.5</v>
      </c>
      <c r="E79" s="1" t="str">
        <f>VLOOKUP(B79,channelfireball!A:C,3,FALSE)</f>
        <v>Most Limited decks benefit from having 1 or 2 bounce spells, and Unsubstantiate is a good bounce spell. You’ll still be bouncing creatures 80+% of the time, but once in a while Remanding that Descend Upon the Sinful or Devil’s Playground will be a game-winning play.All of Innistrad’s bounce spells are hurt by the fact that bounce is relatively plentiful. I’m less likely to spend a high pick on Unsubstantiate when there’s a good chance I’ll be able to pick up a Just the Wind on the cheap later in the draft.</v>
      </c>
      <c r="F79" s="1">
        <f>VLOOKUP(B79,smds!B:C,2,FALSE)</f>
        <v>1.3</v>
      </c>
      <c r="G79" s="1" t="str">
        <f>VLOOKUP(B79,oracle!A:D,2,FALSE)</f>
        <v>1U</v>
      </c>
      <c r="H79" s="1" t="str">
        <f>VLOOKUP(B79,oracle!A:D,3,FALSE)</f>
        <v>blue</v>
      </c>
      <c r="I79" s="1" t="str">
        <f>VLOOKUP(B79,oracle!A:D,4,FALSE)</f>
        <v>Return target spell or creature to its owner's hand.</v>
      </c>
    </row>
    <row r="80" spans="1:9">
      <c r="A80" s="1">
        <v>80</v>
      </c>
      <c r="B80" s="1" t="s">
        <v>134</v>
      </c>
      <c r="D80" s="1">
        <f>VLOOKUP(B80,channelfireball!A:C,2,FALSE)</f>
        <v>3</v>
      </c>
      <c r="E80" s="1" t="str">
        <f>VLOOKUP(B80,channelfireball!A:C,3,FALSE)</f>
        <v>Wharf Infiltrator has the potential to run away with a game very quickly. You should pick it highly, and always play it, in order to give yourself a good chance at some easy wins.Looting and making 3/2 creatures are both extremely powerful abilities to trigger when your creature deals combat damage. But both abilities are slightly worse than they look on Wharf Infiltrator because you have to discard your good cards in order to make the 3/2 creatures. Later in the game, if you want to cycle through your extra lands, you won’t be making Eldrazi Horrors anymore. That said, having a looter in a stalled game is often good enough to win anyway.</v>
      </c>
      <c r="F80" s="1">
        <f>VLOOKUP(B80,smds!B:C,2,FALSE)</f>
        <v>7.6</v>
      </c>
      <c r="G80" s="1" t="str">
        <f>VLOOKUP(B80,oracle!A:D,2,FALSE)</f>
        <v>1U</v>
      </c>
      <c r="H80" s="1" t="str">
        <f>VLOOKUP(B80,oracle!A:D,3,FALSE)</f>
        <v>blue</v>
      </c>
      <c r="I80" s="1" t="str">
        <f>VLOOKUP(B80,oracle!A:D,4,FALSE)</f>
        <v>\"\\"\"\\\"\"\\"\"\\\\"\"\\"\"\\\"\"\\"\"Skulk （This creature can't be blocked by creatures with greater power.）
Whenever Wharf Infiltrator deals combat damage to a player, you may draw a card. If you do, discard a card.
Whenever you discard a creature card, you may pay {2}. If you do, put a 3/2 colorless Eldrazi Horror creature token onto the battlefield.\\\\"\"\\"\"\\\"\"\\"\"\\\"\"\\"\"\\"\"\"</v>
      </c>
    </row>
    <row r="81" spans="1:9">
      <c r="A81" s="1">
        <v>81</v>
      </c>
      <c r="B81" s="1" t="s">
        <v>136</v>
      </c>
      <c r="D81" s="1">
        <f>VLOOKUP(B81,channelfireball!A:C,2,FALSE)</f>
        <v>2.5</v>
      </c>
      <c r="E81" s="1" t="str">
        <f>VLOOKUP(B81,channelfireball!A:C,3,FALSE)</f>
        <v>Boon of Emrakul is a solid removal spell. It’s sorcery speed and can’t kill giant monsters, but it will do a nice job taking out most creatures that cost less than 5 mana. This is the type of card you really want a copy or 2 of to keep your opponent from punking you out with an evasion creature, or dominating the board with a Sigardian Priest.Naturally, you’d rather have all Murders and Dead Weights, but the world we?live in is one in which we?typically have to make due with non-premium removal. As far as non-premium removal goes, Boon of Emrakul is reliable and affordable, and should earn moderately high draft picks.The combo with Ironclad Slayer might prove to be a driving force in BW.</v>
      </c>
      <c r="F81" s="1">
        <f>VLOOKUP(B81,smds!B:C,2,FALSE)</f>
        <v>1.6</v>
      </c>
      <c r="G81" s="1" t="str">
        <f>VLOOKUP(B81,oracle!A:D,2,FALSE)</f>
        <v>2B</v>
      </c>
      <c r="H81" s="1" t="str">
        <f>VLOOKUP(B81,oracle!A:D,3,FALSE)</f>
        <v>black</v>
      </c>
      <c r="I81" s="1" t="str">
        <f>VLOOKUP(B81,oracle!A:D,4,FALSE)</f>
        <v>\"\\"\"\\\"\"\\"\"\\\\"\"\\"\"\\\"\"\\"\"Enchant creature
Enchanted creature gets +3/-3.\\\\"\"\\"\"\\\"\"\\"\"\\\"\"\\"\"\\"\"\"</v>
      </c>
    </row>
    <row r="82" spans="1:9">
      <c r="A82" s="1">
        <v>82</v>
      </c>
      <c r="B82" s="1" t="s">
        <v>137</v>
      </c>
      <c r="D82" s="1">
        <f>VLOOKUP(B82,channelfireball!A:C,2,FALSE)</f>
        <v>1.5</v>
      </c>
      <c r="E82" s="1" t="str">
        <f>VLOOKUP(B82,channelfireball!A:C,3,FALSE)</f>
        <v>When things break right, you can spend 1 or 3 mana on Borrowed Malevolence to help your creature win a fight in combat. But by far the most practical use of this card is picking off 1-toughness creatures. You should either be sideboarding Borrowed Malevolence against decks with weenie creatures, or maindecking it then?sideboarding it out against decks that don’t have weenie creatures.</v>
      </c>
      <c r="F82" s="1">
        <f>VLOOKUP(B82,smds!B:C,2,FALSE)</f>
        <v>1</v>
      </c>
      <c r="G82" s="1" t="str">
        <f>VLOOKUP(B82,oracle!A:D,2,FALSE)</f>
        <v>B</v>
      </c>
      <c r="H82" s="1" t="str">
        <f>VLOOKUP(B82,oracle!A:D,3,FALSE)</f>
        <v>black</v>
      </c>
      <c r="I82" s="1" t="str">
        <f>VLOOKUP(B82,oracle!A:D,4,FALSE)</f>
        <v>\"\\"\"\\\"\"\\"\"\\\\"\"\\"\"\\\"\"\\"\"Escalate {2} （Pay this cost for each mode chosen beyond the first.）
Choose one or both ---
? Target creature gets +1/+1 until end of turn.
? Target creature gets -1/-1 until end of turn.\\\\"\"\\"\"\\\"\"\\"\"\\\"\"\\"\"\\"\"\"</v>
      </c>
    </row>
    <row r="83" spans="1:9">
      <c r="A83" s="1">
        <v>83</v>
      </c>
      <c r="B83" s="1" t="s">
        <v>138</v>
      </c>
      <c r="D83" s="1">
        <f>VLOOKUP(B83,channelfireball!A:C,2,FALSE)</f>
        <v>1.5</v>
      </c>
      <c r="E83" s="1" t="str">
        <f>VLOOKUP(B83,channelfireball!A:C,3,FALSE)</f>
        <v>Raise Dead is never really bad in Limited. In a vanilla deck, you can either start 1 copy of this card or skip it as you see fit. If you have?Zombies, bomb rare creatures, or self-mill, then it becomes an effect you want access to.</v>
      </c>
      <c r="F83" s="1">
        <f>VLOOKUP(B83,smds!B:C,2,FALSE)</f>
        <v>0.9</v>
      </c>
      <c r="G83" s="1" t="str">
        <f>VLOOKUP(B83,oracle!A:D,2,FALSE)</f>
        <v>1B</v>
      </c>
      <c r="H83" s="1" t="str">
        <f>VLOOKUP(B83,oracle!A:D,3,FALSE)</f>
        <v>black</v>
      </c>
      <c r="I83" s="1" t="str">
        <f>VLOOKUP(B83,oracle!A:D,4,FALSE)</f>
        <v>Return target creature card from your graveyard to your hand. If it's a Zombie card, draw a card.</v>
      </c>
    </row>
    <row r="84" spans="1:9">
      <c r="A84" s="1">
        <v>84</v>
      </c>
      <c r="B84" s="1" t="s">
        <v>139</v>
      </c>
      <c r="D84" s="1">
        <f>VLOOKUP(B84,channelfireball!A:C,2,FALSE)</f>
        <v>2.5</v>
      </c>
      <c r="E84" s="1" t="str">
        <f>VLOOKUP(B84,channelfireball!A:C,3,FALSE)</f>
        <v>This is certainly better than Sip of Hemlock, which was already pretty good. I loved drafting black in Theros block, and while Sip of Hemlock wasn’t one of the absolute best commons, it would virtually always make my deck, even in multiples. Compared to Sip, Certain Death gains you 2 life, and is marginally easier to cast (even splashable in a Sealed deck or some bizarre Draft decks).But an important note is that Theros was a format with heroic, where games could be won and lost by the ability to answer a single, monstrous threat. Eldritch Moon plus Shadows over Innistrad Limited isn’t like that, and you’ll sometimes wind up having to swallow your pride and point Certain Death at a 3-drop.All things considered, I’m starting Certain Death with a high rating. It’s never a big mistake to prioritize removal in the early days of a new Limited format, and this is an effect that controlling black decks really want somewhere in their 40 cards. But the value of Certain Death drops off in multiples, and I can see its rating settling at closer to a 2.0.</v>
      </c>
      <c r="F84" s="1">
        <f>VLOOKUP(B84,smds!B:C,2,FALSE)</f>
        <v>1</v>
      </c>
      <c r="G84" s="1" t="str">
        <f>VLOOKUP(B84,oracle!A:D,2,FALSE)</f>
        <v>5B</v>
      </c>
      <c r="H84" s="1" t="str">
        <f>VLOOKUP(B84,oracle!A:D,3,FALSE)</f>
        <v>black</v>
      </c>
      <c r="I84" s="1" t="str">
        <f>VLOOKUP(B84,oracle!A:D,4,FALSE)</f>
        <v>Destroy target creature. Its controller loses 2 life and you gain 2 life.</v>
      </c>
    </row>
    <row r="85" spans="1:9">
      <c r="A85" s="1">
        <v>85</v>
      </c>
      <c r="B85" s="1" t="s">
        <v>140</v>
      </c>
      <c r="D85" s="1">
        <f>VLOOKUP(B85,channelfireball!A:C,2,FALSE)</f>
        <v>2.5</v>
      </c>
      <c r="E85" s="1" t="str">
        <f>VLOOKUP(B85,channelfireball!A:C,3,FALSE)</f>
        <v>A lot of the escalate cards have one mode that you’ll usually turn?to in Limited. For Collective Brutality, it’s killing a 2-toughness creature. Stripping an instant or sorcery from the opponent’s hand is also a good effect, but once in a while it will be complicated by the fact that you’ll want to wait until there’s a good creature to target before firing off your Collective Brutality.Draining your opponent for 2 life will rarely be worth the extra card (unless he or she is at 2). But keep an eye out for using Collective Brutality alongside madness cards.</v>
      </c>
      <c r="F85" s="1">
        <f>VLOOKUP(B85,smds!B:C,2,FALSE)</f>
        <v>7</v>
      </c>
      <c r="G85" s="1" t="str">
        <f>VLOOKUP(B85,oracle!A:D,2,FALSE)</f>
        <v>1B</v>
      </c>
      <c r="H85" s="1" t="str">
        <f>VLOOKUP(B85,oracle!A:D,3,FALSE)</f>
        <v>black</v>
      </c>
      <c r="I85" s="1" t="str">
        <f>VLOOKUP(B85,oracle!A:D,4,FALSE)</f>
        <v>\"\\"\"\\\"\"\\"\"\\\\"\"\\"\"\\\"\"\\"\"Escalate --- Discard a card. （Pay this cost for each mode chosen beyond the first.）
Choose one or more ---
? Target opponent reveals his or her hand. You choose an instant or sorcery card from it. That player discards that card.
? Target creature gets -2/-2 until end of turn.
? Target opponent loses 2 life and you gain 2 life.\\\\"\"\\"\"\\\"\"\\"\"\\\"\"\\"\"\\"\"\"</v>
      </c>
    </row>
    <row r="86" spans="1:9">
      <c r="A86" s="1">
        <v>86</v>
      </c>
      <c r="B86" s="1" t="s">
        <v>141</v>
      </c>
      <c r="D86" s="1">
        <f>VLOOKUP(B86,channelfireball!A:C,2,FALSE)</f>
        <v>3.5</v>
      </c>
      <c r="E86" s="1" t="str">
        <f>VLOOKUP(B86,channelfireball!A:C,3,FALSE)</f>
        <v>Cryptbreaker can take a while to get going, but it only costs 1 mana and can take over a game all on its own. Note that you don’t need to make 3 tokens before using the second ability―you can tap your other Zombies, and Cryptbreaker is a Zombie itself. It’s not farfetched to think that by turn 3, Cryptbreaker might have already allowed you to cash in your worst card for a 2/2 Zombie, and drawn you an extra card. All it takes is having another Zombie in your hand that costs 3 or less mana.And let’s not forget that it’s a repeatable instant-speed madness enabler.</v>
      </c>
      <c r="F86" s="1">
        <f>VLOOKUP(B86,smds!B:C,2,FALSE)</f>
        <v>9.1999999999999993</v>
      </c>
      <c r="G86" s="1" t="str">
        <f>VLOOKUP(B86,oracle!A:D,2,FALSE)</f>
        <v>B</v>
      </c>
      <c r="H86" s="1" t="str">
        <f>VLOOKUP(B86,oracle!A:D,3,FALSE)</f>
        <v>black</v>
      </c>
      <c r="I86" s="1" t="str">
        <f>VLOOKUP(B86,oracle!A:D,4,FALSE)</f>
        <v>\"\\"\"\\\"\"\\"\"\\\\"\"\\"\"\\\"\"\\"\"{1}{B}, {T}, Discard a card: Put a 2/2 black Zombie creature token onto the battlefield.
Tap three untapped Zombies you control: You draw a card and you lose 1 life.\\\\"\"\\"\"\\\"\"\\"\"\\\"\"\\"\"\\"\"\"</v>
      </c>
    </row>
    <row r="87" spans="1:9">
      <c r="A87" s="1">
        <v>87</v>
      </c>
      <c r="B87" s="1" t="s">
        <v>142</v>
      </c>
      <c r="D87" s="1">
        <f>VLOOKUP(B87,channelfireball!A:C,2,FALSE)</f>
        <v>4</v>
      </c>
      <c r="E87" s="1" t="str">
        <f>VLOOKUP(B87,channelfireball!A:C,3,FALSE)</f>
        <v>Dark Salvation is a powerful rare that offers the potential for solid card advantage. 5 mana for 2 Zombies is a slightly below average rate, but the flexibility to spend 3, 5, 7, or 9 mana makes the first line of text on Dark Salvation a card you’d be happy to play with. Tack on the ability to kill an opposing creature and you have a premium card that can really swing games. Remember that it counts your preexisting Zombies as well, so it’s really not far-fetched to kill a 4/4 or 5/5 creature with this.</v>
      </c>
      <c r="F87" s="1">
        <f>VLOOKUP(B87,smds!B:C,2,FALSE)</f>
        <v>8.8000000000000007</v>
      </c>
      <c r="G87" s="1" t="str">
        <f>VLOOKUP(B87,oracle!A:D,2,FALSE)</f>
        <v>ＸＸB</v>
      </c>
      <c r="H87" s="1" t="str">
        <f>VLOOKUP(B87,oracle!A:D,3,FALSE)</f>
        <v>multi</v>
      </c>
      <c r="I87" s="1" t="str">
        <f>VLOOKUP(B87,oracle!A:D,4,FALSE)</f>
        <v>Target player puts X 2/2 black Zombie creature tokens onto the battlefield, then up to one target creature gets -1/-1 until end of turn for each Zombie that player controls.</v>
      </c>
    </row>
    <row r="88" spans="1:9">
      <c r="A88" s="1">
        <v>88</v>
      </c>
      <c r="B88" s="1" t="s">
        <v>143</v>
      </c>
      <c r="D88" s="1">
        <f>VLOOKUP(B88,channelfireball!A:C,2,FALSE)</f>
        <v>2.5</v>
      </c>
      <c r="E88" s="1" t="str">
        <f>VLOOKUP(B88,channelfireball!A:C,3,FALSE)</f>
        <v>At 7 mana, Dusk Feaster could be an occasional role player, but would be a bit too expensive for widespread appeal. 5 mana for a 4/5?flyer, however, is a rate you can usually only get in Limited on a premium rare. This is a pretty big payoff for drafting delirium. Even in an average deck, you’ll sometimes achieve delirium before hitting your seventh land, making it more realistic that Dusk Feaster makes it to the party in time.Don’t be afraid to leave this on the bench in your aggressive, non-delirium decks. It’s a powerful card that many black decks will want to pay close attention to.</v>
      </c>
      <c r="F88" s="1">
        <f>VLOOKUP(B88,smds!B:C,2,FALSE)</f>
        <v>1.6</v>
      </c>
      <c r="G88" s="1" t="str">
        <f>VLOOKUP(B88,oracle!A:D,2,FALSE)</f>
        <v>5BB</v>
      </c>
      <c r="H88" s="1" t="str">
        <f>VLOOKUP(B88,oracle!A:D,3,FALSE)</f>
        <v>black</v>
      </c>
      <c r="I88" s="1" t="str">
        <f>VLOOKUP(B88,oracle!A:D,4,FALSE)</f>
        <v>\"\\"\"\\\"\"\\"\"\\\\"\"\\"\"\\\"\"\\"\"Delirium --- Dusk Feaster costs {2} less to cast if there are four or more card types among cards in your graveyard.
Flying\\\\"\"\\"\"\\\"\"\\"\"\\\"\"\\"\"\\"\"\"</v>
      </c>
    </row>
    <row r="89" spans="1:9">
      <c r="A89" s="1">
        <v>89</v>
      </c>
      <c r="B89" s="1" t="s">
        <v>144</v>
      </c>
      <c r="D89" s="1">
        <f>VLOOKUP(B89,channelfireball!A:C,2,FALSE)</f>
        <v>2.5</v>
      </c>
      <c r="E89" s="1" t="str">
        <f>VLOOKUP(B89,channelfireball!A:C,3,FALSE)</f>
        <v>Gavony Unhallowed starts with average stats, but then begins to get a bit unruly. This is a nice ability to have on a creature that starts with high toughness since it’s not fragile, and has a better chance of surviving those big, messy combat steps. Being a Zombie also helps, and I think this is a card that will make the cut in most black decks.Sacrificing creatures isn’t a huge theme in Eldritch Moon or Shadows over Innistrad, but there are a handful of cards that help you do it, and they’ll all pair well with Gavony Unhallowed.</v>
      </c>
      <c r="F89" s="1">
        <f>VLOOKUP(B89,smds!B:C,2,FALSE)</f>
        <v>1</v>
      </c>
      <c r="G89" s="1" t="str">
        <f>VLOOKUP(B89,oracle!A:D,2,FALSE)</f>
        <v>3B</v>
      </c>
      <c r="H89" s="1" t="str">
        <f>VLOOKUP(B89,oracle!A:D,3,FALSE)</f>
        <v>black</v>
      </c>
      <c r="I89" s="1" t="str">
        <f>VLOOKUP(B89,oracle!A:D,4,FALSE)</f>
        <v>Whenever another creature you control dies, put a +1/+1 counter on Gavony Unhallowed.</v>
      </c>
    </row>
    <row r="90" spans="1:9">
      <c r="A90" s="1">
        <v>90</v>
      </c>
      <c r="B90" s="1" t="s">
        <v>145</v>
      </c>
      <c r="D90" s="1">
        <f>VLOOKUP(B90,channelfireball!A:C,2,FALSE)</f>
        <v>1.5</v>
      </c>
      <c r="E90" s="1" t="str">
        <f>VLOOKUP(B90,channelfireball!A:C,3,FALSE)</f>
        <v>Graf Harvest is both slow and mana-intensive. The power level is pretty high, and in other Limited formats, this might be a borderline bomb. But Eldritch Moon/Shadows over Innistrad Limited will be relatively fast, and there are plenty of other activated abilities (especially Clues) that you can spend your extra mana on.Graf Harvest still seems like a card that your slower draft decks (and probably the majority of Sealed decks) will want 1?copy of. The fact that you’ll never want multiples, and that aggressive decks won’t want it, means that you won’t have to put a special premium on Graf Harvest during the draft.</v>
      </c>
      <c r="F90" s="1">
        <f>VLOOKUP(B90,smds!B:C,2,FALSE)</f>
        <v>1.1000000000000001</v>
      </c>
      <c r="G90" s="1" t="str">
        <f>VLOOKUP(B90,oracle!A:D,2,FALSE)</f>
        <v>B</v>
      </c>
      <c r="H90" s="1" t="str">
        <f>VLOOKUP(B90,oracle!A:D,3,FALSE)</f>
        <v>black</v>
      </c>
      <c r="I90" s="1" t="str">
        <f>VLOOKUP(B90,oracle!A:D,4,FALSE)</f>
        <v>\"\\"\"\\\"\"\\"\"\\\\"\"\\"\"\\\"\"\\"\"Zombies you control have menace. （They can't be blocked except by two or more creatures.）
{3}{B}, Exile a creature card from your graveyard: Put a 2/2 black Zombie creature token onto the battlefield.\\\\"\"\\"\"\\\"\"\\"\"\\\"\"\\"\"\\"\"\"</v>
      </c>
    </row>
    <row r="91" spans="1:9">
      <c r="A91" s="1">
        <v>91</v>
      </c>
      <c r="B91" s="1" t="s">
        <v>301</v>
      </c>
      <c r="D91" s="1" t="e">
        <f>VLOOKUP(B91,channelfireball!A:C,2,FALSE)</f>
        <v>#N/A</v>
      </c>
      <c r="E91" s="1" t="e">
        <f>VLOOKUP(B91,channelfireball!A:C,3,FALSE)</f>
        <v>#N/A</v>
      </c>
      <c r="F91" s="1">
        <f>VLOOKUP(B91,smds!B:C,2,FALSE)</f>
        <v>1.3</v>
      </c>
      <c r="G91" s="1" t="str">
        <f>VLOOKUP(B91,oracle!A:D,2,FALSE)</f>
        <v>1B</v>
      </c>
      <c r="H91" s="1" t="str">
        <f>VLOOKUP(B91,oracle!A:D,3,FALSE)</f>
        <v>black</v>
      </c>
      <c r="I91" s="1" t="str">
        <f>VLOOKUP(B91,oracle!A:D,4,FALSE)</f>
        <v>At the beginning of combat on your turn, if you both own and control Graf Rats and a creature named Midnight Scavengers, exile them, then meld them into Chittering Host.</v>
      </c>
    </row>
    <row r="92" spans="1:9">
      <c r="A92" s="1">
        <v>92</v>
      </c>
      <c r="B92" s="1" t="s">
        <v>147</v>
      </c>
      <c r="D92" s="1">
        <f>VLOOKUP(B92,channelfireball!A:C,2,FALSE)</f>
        <v>2.5</v>
      </c>
      <c r="E92" s="1" t="str">
        <f>VLOOKUP(B92,channelfireball!A:C,3,FALSE)</f>
        <v>Single cards that give you two?relevant creatures tend to be strong in Limited, and the fact that your 1/1 bonus token has flying means that both bodies are relevant. Discarding 2 cards to return Haunted Dead isn’t a stellar rate, but it will come up a lot in the late game and allows you to trigger madness at instant speed. Overall, this is a strong card.</v>
      </c>
      <c r="F92" s="1">
        <f>VLOOKUP(B92,smds!B:C,2,FALSE)</f>
        <v>2.5</v>
      </c>
      <c r="G92" s="1" t="str">
        <f>VLOOKUP(B92,oracle!A:D,2,FALSE)</f>
        <v>3B</v>
      </c>
      <c r="H92" s="1" t="str">
        <f>VLOOKUP(B92,oracle!A:D,3,FALSE)</f>
        <v>black</v>
      </c>
      <c r="I92" s="1" t="str">
        <f>VLOOKUP(B92,oracle!A:D,4,FALSE)</f>
        <v>\"\\"\"\\\"\"\\"\"\\\\"\"\\"\"\\\"\"\\"\"When Haunted Dead enters the battlefield, put a 1/1 white Spirit creature token with flying onto the battlefield.
{1}{B}, Discard two cards: Return Haunted Dead from your graveyard to the battlefield tapped.\\\\"\"\\"\"\\\"\"\\"\"\\\"\"\\"\"\\"\"\"</v>
      </c>
    </row>
    <row r="93" spans="1:9">
      <c r="A93" s="1">
        <v>93</v>
      </c>
      <c r="B93" s="1" t="s">
        <v>0</v>
      </c>
      <c r="D93" s="1">
        <f>VLOOKUP(B93,channelfireball!A:C,2,FALSE)</f>
        <v>4</v>
      </c>
      <c r="E93" s="1" t="str">
        <f>VLOOKUP(B93,channelfireball!A:C,3,FALSE)</f>
        <v>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v>
      </c>
      <c r="F93" s="1">
        <f>VLOOKUP(B93,smds!B:C,2,FALSE)</f>
        <v>10</v>
      </c>
      <c r="G93" s="1" t="str">
        <f>VLOOKUP(B93,oracle!A:D,2,FALSE)</f>
        <v>1BB</v>
      </c>
      <c r="H93" s="1" t="str">
        <f>VLOOKUP(B93,oracle!A:D,3,FALSE)</f>
        <v>black</v>
      </c>
      <c r="I93" s="1" t="str">
        <f>VLOOKUP(B93,oracle!A:D,4,FALSE)</f>
        <v>\"+1: Up to one target creature gets -2/-1 until your next turn.
-2: Put the top two cards of your library into your graveyard, then you may return a creature card from your graveyard to your hand.
-7: You get an emblem with \\"\"At the beginning of your end step, put X 2/2 black Zombie creature tokens onto the battlefield, where X is two plus the number of Zombies you control.\\"\"\"</v>
      </c>
    </row>
    <row r="94" spans="1:9">
      <c r="A94" s="1">
        <v>94</v>
      </c>
      <c r="B94" s="1" t="s">
        <v>295</v>
      </c>
      <c r="D94" s="1" t="e">
        <f>VLOOKUP(B94,channelfireball!A:C,2,FALSE)</f>
        <v>#N/A</v>
      </c>
      <c r="E94" s="1" t="e">
        <f>VLOOKUP(B94,channelfireball!A:C,3,FALSE)</f>
        <v>#N/A</v>
      </c>
      <c r="F94" s="1">
        <f>VLOOKUP(B94,smds!B:C,2,FALSE)</f>
        <v>1.7</v>
      </c>
      <c r="G94" s="1" t="str">
        <f>VLOOKUP(B94,oracle!A:D,2,FALSE)</f>
        <v>2B</v>
      </c>
      <c r="H94" s="1" t="str">
        <f>VLOOKUP(B94,oracle!A:D,3,FALSE)</f>
        <v>black</v>
      </c>
      <c r="I94" s="1" t="str">
        <f>VLOOKUP(B94,oracle!A:D,4,FALSE)</f>
        <v>Liliana's Elite gets +1/+1 for each creature card in your graveyard.</v>
      </c>
    </row>
    <row r="95" spans="1:9">
      <c r="A95" s="1">
        <v>95</v>
      </c>
      <c r="B95" s="1" t="s">
        <v>149</v>
      </c>
      <c r="D95" s="1">
        <f>VLOOKUP(B95,channelfireball!A:C,2,FALSE)</f>
        <v>2.5</v>
      </c>
      <c r="E95" s="1" t="str">
        <f>VLOOKUP(B95,channelfireball!A:C,3,FALSE)</f>
        <v>When covering white, I described Faithbearer Paladin as, “basically my definition of a filler card.” A 4/3 is marginally better than a 3/4, and tacking haste onto a creature like this is easily worth a full point of rating.Markov Crusader will make your Vampire deck a colossal favorite to win any kind of damage race, and pairing this with Stensia Masquerade is going to be gross.It’s also worth noting that when there are plenty of playable Raise Dead effects in a format, a powerful creature like Markov Crusader, which trades off easily and provides you with a big life total buffer in the process, gets a bit better.</v>
      </c>
      <c r="F95" s="1">
        <f>VLOOKUP(B95,smds!B:C,2,FALSE)</f>
        <v>2.1</v>
      </c>
      <c r="G95" s="1" t="str">
        <f>VLOOKUP(B95,oracle!A:D,2,FALSE)</f>
        <v>4B</v>
      </c>
      <c r="H95" s="1" t="str">
        <f>VLOOKUP(B95,oracle!A:D,3,FALSE)</f>
        <v>black</v>
      </c>
      <c r="I95" s="1" t="str">
        <f>VLOOKUP(B95,oracle!A:D,4,FALSE)</f>
        <v>\"\\"\"\\\"\"\\"\"\\\\"\"\\"\"\\\"\"\\"\"Lifelink
Markov Crusader has haste as long as you control another Vampire.\\\\"\"\\"\"\\\"\"\\"\"\\\"\"\\"\"\\"\"\"</v>
      </c>
    </row>
    <row r="96" spans="1:9">
      <c r="A96" s="1">
        <v>96</v>
      </c>
      <c r="B96" s="1" t="s">
        <v>294</v>
      </c>
      <c r="D96" s="1" t="e">
        <f>VLOOKUP(B96,channelfireball!A:C,2,FALSE)</f>
        <v>#N/A</v>
      </c>
      <c r="E96" s="1" t="e">
        <f>VLOOKUP(B96,channelfireball!A:C,3,FALSE)</f>
        <v>#N/A</v>
      </c>
      <c r="F96" s="1">
        <f>VLOOKUP(B96,smds!B:C,2,FALSE)</f>
        <v>1.7</v>
      </c>
      <c r="G96" s="1" t="str">
        <f>VLOOKUP(B96,oracle!A:D,2,FALSE)</f>
        <v>4B</v>
      </c>
      <c r="H96" s="1" t="str">
        <f>VLOOKUP(B96,oracle!A:D,3,FALSE)</f>
        <v>black</v>
      </c>
      <c r="I96" s="1" t="str">
        <f>VLOOKUP(B96,oracle!A:D,4,FALSE)</f>
        <v>\"\\"\"\\\"\"\\"\"\\\\"\"\\"\"\\\"\"\\"\"When Midnight Scavengers enters the battlefield, you may return target creature card with converted mana cost 3 or less from your graveyard to your hand.
（Melds with Graf Rats.）\\\\"\"\\"\"\\\"\"\\"\"\\\"\"\\"\"\\"\"\"</v>
      </c>
    </row>
    <row r="97" spans="1:9">
      <c r="A97" s="1">
        <v>97</v>
      </c>
      <c r="B97" s="1" t="s">
        <v>151</v>
      </c>
      <c r="D97" s="1">
        <f>VLOOKUP(B97,channelfireball!A:C,2,FALSE)</f>
        <v>3.5</v>
      </c>
      <c r="E97" s="1" t="str">
        <f>VLOOKUP(B97,channelfireball!A:C,3,FALSE)</f>
        <v>Great. Instant-speed, unconditional removal. Great.</v>
      </c>
      <c r="F97" s="1">
        <f>VLOOKUP(B97,smds!B:C,2,FALSE)</f>
        <v>5</v>
      </c>
      <c r="G97" s="1" t="str">
        <f>VLOOKUP(B97,oracle!A:D,2,FALSE)</f>
        <v>1BB</v>
      </c>
      <c r="H97" s="1" t="str">
        <f>VLOOKUP(B97,oracle!A:D,3,FALSE)</f>
        <v>black</v>
      </c>
      <c r="I97" s="1" t="str">
        <f>VLOOKUP(B97,oracle!A:D,4,FALSE)</f>
        <v>Destroy target creature.</v>
      </c>
    </row>
    <row r="98" spans="1:9">
      <c r="A98" s="1">
        <v>98</v>
      </c>
      <c r="B98" s="1" t="s">
        <v>152</v>
      </c>
      <c r="D98" s="1">
        <f>VLOOKUP(B98,channelfireball!A:C,2,FALSE)</f>
        <v>4</v>
      </c>
      <c r="E98" s="1" t="str">
        <f>VLOOKUP(B98,channelfireball!A:C,3,FALSE)</f>
        <v>Casting Noosegraf Mob isn’t quite the same as putting five 2/2 Zombies directly into play, but it’s pretty close. It’s very hard for the opponent to answer the Mob without giving you a lot of value. For example, against the beatdown player who wants to remove your blocker and finish you off, their?would-be-lethal spell now generate you an extra blocker.The Mob pairs exceptionally well with cards like Cemetery Recruitment and Macabre Waltz.</v>
      </c>
      <c r="F98" s="1">
        <f>VLOOKUP(B98,smds!B:C,2,FALSE)</f>
        <v>8</v>
      </c>
      <c r="G98" s="1" t="str">
        <f>VLOOKUP(B98,oracle!A:D,2,FALSE)</f>
        <v>4BB</v>
      </c>
      <c r="H98" s="1" t="str">
        <f>VLOOKUP(B98,oracle!A:D,3,FALSE)</f>
        <v>black</v>
      </c>
      <c r="I98" s="1" t="str">
        <f>VLOOKUP(B98,oracle!A:D,4,FALSE)</f>
        <v>\"\\"\"\\\"\"\\"\"\\\\"\"\\"\"\\\"\"\\"\"Noosegraf Mob enters the battlefield with five +1/+1 counters on it.
Whenever a player casts a spell, remove a +1/+1 counter from Noosegraf Mob. If you do, put a 2/2 black Zombie creature token onto the battlefield.\\\\"\"\\"\"\\\"\"\\"\"\\\"\"\\"\"\\"\"\"</v>
      </c>
    </row>
    <row r="99" spans="1:9">
      <c r="A99" s="1">
        <v>99</v>
      </c>
      <c r="B99" s="1" t="s">
        <v>153</v>
      </c>
      <c r="D99" s="1">
        <f>VLOOKUP(B99,channelfireball!A:C,2,FALSE)</f>
        <v>1</v>
      </c>
      <c r="E99" s="1" t="str">
        <f>VLOOKUP(B99,channelfireball!A:C,3,FALSE)</f>
        <v>Diabolic Edict effects aren’t great in Limited in general, and are especially mediocre in this block?because of token makers and disposable bodies like Sanitarium Skeleton. Oath of Liliana has a tiny bit of extra value in being an enchantment that might somehow end up in the graveyard to help with delirium, and maybe getting you a 2/2 Zombie once in a blue moon alongside a planeswalker. But, all told, this is an unexciting Limited card.</v>
      </c>
      <c r="F99" s="1">
        <f>VLOOKUP(B99,smds!B:C,2,FALSE)</f>
        <v>3.3</v>
      </c>
      <c r="G99" s="1" t="str">
        <f>VLOOKUP(B99,oracle!A:D,2,FALSE)</f>
        <v>2B</v>
      </c>
      <c r="H99" s="1" t="str">
        <f>VLOOKUP(B99,oracle!A:D,3,FALSE)</f>
        <v>black</v>
      </c>
      <c r="I99" s="1" t="str">
        <f>VLOOKUP(B99,oracle!A:D,4,FALSE)</f>
        <v>\"\\"\"\\\"\"\\"\"\\\\"\"\\"\"\\\"\"\\"\"When Oath of Liliana enters the battlefield, each opponent sacrifices a creature.
At the beginning of each end step, if a planeswalker entered the battlefield under your control this turn, put a 2/2 black Zombie creature token onto the battlefield.\\\\"\"\\"\"\\\"\"\\"\"\\\"\"\\"\"\\"\"\"</v>
      </c>
    </row>
    <row r="100" spans="1:9">
      <c r="A100" s="1">
        <v>100</v>
      </c>
      <c r="B100" s="1" t="s">
        <v>300</v>
      </c>
      <c r="D100" s="1" t="e">
        <f>VLOOKUP(B100,channelfireball!A:C,2,FALSE)</f>
        <v>#N/A</v>
      </c>
      <c r="E100" s="1" t="e">
        <f>VLOOKUP(B100,channelfireball!A:C,3,FALSE)</f>
        <v>#N/A</v>
      </c>
      <c r="F100" s="1">
        <f>VLOOKUP(B100,smds!B:C,2,FALSE)</f>
        <v>1.5</v>
      </c>
      <c r="G100" s="1" t="str">
        <f>VLOOKUP(B100,oracle!A:D,2,FALSE)</f>
        <v>1B</v>
      </c>
      <c r="H100" s="1" t="str">
        <f>VLOOKUP(B100,oracle!A:D,3,FALSE)</f>
        <v>black</v>
      </c>
      <c r="I100" s="1" t="str">
        <f>VLOOKUP(B100,oracle!A:D,4,FALSE)</f>
        <v>Discard a card: Olivia's Dragoon gains flying until end of turn.</v>
      </c>
    </row>
    <row r="101" spans="1:9">
      <c r="A101" s="1">
        <v>101</v>
      </c>
      <c r="B101" s="1" t="s">
        <v>155</v>
      </c>
      <c r="D101" s="1">
        <f>VLOOKUP(B101,channelfireball!A:C,2,FALSE)</f>
        <v>1</v>
      </c>
      <c r="E101" s="1" t="str">
        <f>VLOOKUP(B101,channelfireball!A:C,3,FALSE)</f>
        <v>If this was a Mind Rot, you’d have to pry it from my cold, dead fingers. But Mind Rot offers card advantage, and despite the terrifying artwork on this card, its power level is questionable. You can force the opponent to skip his or her next draw step, but that effect does nothing if they’re empty-handed, and denying them a draw step is a lot worse than forcing them to discard their best 1 or 2 cards.The lose-3-life clause makes Prying Questions a passable card, but the bottom line is that this is a noncreature, nonremoval spell that doesn’t impact the board, and doesn’t provide an effect that you ever desperately need. I don’t see much reason to ever play with this.</v>
      </c>
      <c r="F101" s="1">
        <f>VLOOKUP(B101,smds!B:C,2,FALSE)</f>
        <v>0.8</v>
      </c>
      <c r="G101" s="1" t="str">
        <f>VLOOKUP(B101,oracle!A:D,2,FALSE)</f>
        <v>2B</v>
      </c>
      <c r="H101" s="1" t="str">
        <f>VLOOKUP(B101,oracle!A:D,3,FALSE)</f>
        <v>black</v>
      </c>
      <c r="I101" s="1" t="str">
        <f>VLOOKUP(B101,oracle!A:D,4,FALSE)</f>
        <v>Target opponent loses 3 life and puts a card from his or her hand on top of his or her library.</v>
      </c>
    </row>
    <row r="102" spans="1:9">
      <c r="A102" s="1">
        <v>102</v>
      </c>
      <c r="B102" s="1" t="s">
        <v>156</v>
      </c>
      <c r="D102" s="1">
        <f>VLOOKUP(B102,channelfireball!A:C,2,FALSE)</f>
        <v>2.5</v>
      </c>
      <c r="E102" s="1" t="str">
        <f>VLOOKUP(B102,channelfireball!A:C,3,FALSE)</f>
        <v>Rise from the Grave has been a strong Limited card every time it’s been printed. One of the greatest appeals is that you’re not confined?to your own graveyard―you can take your opponent’s best creature as well.Rise from the Grave is a premium version of the Reanimate effect (by Limited standards). It’s a little bit more replaceable in Eldritch Moon than it has been in the past since you can always play Cemetery Recruitment or Macabre Waltz instead if you’re in a pinch. But this is still a strong card that will almost always make the cut.</v>
      </c>
      <c r="F102" s="1">
        <f>VLOOKUP(B102,smds!B:C,2,FALSE)</f>
        <v>1.1000000000000001</v>
      </c>
      <c r="G102" s="1" t="str">
        <f>VLOOKUP(B102,oracle!A:D,2,FALSE)</f>
        <v>4B</v>
      </c>
      <c r="H102" s="1" t="str">
        <f>VLOOKUP(B102,oracle!A:D,3,FALSE)</f>
        <v>black</v>
      </c>
      <c r="I102" s="1" t="str">
        <f>VLOOKUP(B102,oracle!A:D,4,FALSE)</f>
        <v>Put target creature card from a graveyard onto the battlefield under your control. That creature is a black Zombie in addition to its other colors and types.</v>
      </c>
    </row>
    <row r="103" spans="1:9">
      <c r="A103" s="1">
        <v>103</v>
      </c>
      <c r="B103" s="1" t="s">
        <v>157</v>
      </c>
      <c r="D103" s="1">
        <f>VLOOKUP(B103,channelfireball!A:C,2,FALSE)</f>
        <v>4</v>
      </c>
      <c r="E103" s="1" t="str">
        <f>VLOOKUP(B103,channelfireball!A:C,3,FALSE)</f>
        <v>I spent a long time staring at Ruthless Disposal before I could actually start writing. First of all, the black cards in Eldritch Moon feature some of the most compelling artwork I can remember seeing in MTG, and Ruthless Disposal is particularly gruesome (a.k.a. awesome). Second of all, the effect on this card seems too good to be true! Kill your opponent’s 2 best creatures, no questions asked?!At a glance, the price is also pretty high, but in practice I think the costs will be fairly easy to meet, and you’ll be happy to pay them. You’ll almost always have some kind of disposable creature in play, and you can discard an extra land, or a card that has value in the graveyard―that’s not even to mention that you might happen to have a madness card.There will be games here and there where Ruthless Disposal isn’t great, such as against a WR Weenie deck or against a swarm of Spirit tokens. But the power level is simply outrageous, and there are certain decks―like bigger green decks―that I can’t envision ever beating this card.Ruthless Disposal is my early pick for the best nonrare in Eldritch Moon.</v>
      </c>
      <c r="F103" s="1">
        <f>VLOOKUP(B103,smds!B:C,2,FALSE)</f>
        <v>2.2999999999999998</v>
      </c>
      <c r="G103" s="1" t="str">
        <f>VLOOKUP(B103,oracle!A:D,2,FALSE)</f>
        <v>4B</v>
      </c>
      <c r="H103" s="1" t="str">
        <f>VLOOKUP(B103,oracle!A:D,3,FALSE)</f>
        <v>black</v>
      </c>
      <c r="I103" s="1" t="str">
        <f>VLOOKUP(B103,oracle!A:D,4,FALSE)</f>
        <v>\"\\"\"\\\"\"\\"\"\\\\"\"\\"\"\\\"\"\\"\"As an additional cost to cast Ruthless Disposal, discard a card and sacrifice a creature.
Two target creatures each get -13/-13 until end of turn.\\\\"\"\\"\"\\\"\"\\"\"\\\"\"\\"\"\\"\"\"</v>
      </c>
    </row>
    <row r="104" spans="1:9">
      <c r="A104" s="1">
        <v>104</v>
      </c>
      <c r="B104" s="1" t="s">
        <v>158</v>
      </c>
      <c r="D104" s="1">
        <f>VLOOKUP(B104,channelfireball!A:C,2,FALSE)</f>
        <v>1.5</v>
      </c>
      <c r="E104" s="1" t="str">
        <f>VLOOKUP(B104,channelfireball!A:C,3,FALSE)</f>
        <v>Skirsdag Supplicant is average filler. 3 mana for a 2/3?with a medium ability is a dead-average card. If it were a Vampire or Zombie, it might be a bit better, but black doesn’t have much way to benefit from having a Human creature. This becomes solid if you need a madness enabler, but in most decks this is just a mana curve filler.</v>
      </c>
      <c r="F104" s="1">
        <f>VLOOKUP(B104,smds!B:C,2,FALSE)</f>
        <v>1</v>
      </c>
      <c r="G104" s="1" t="str">
        <f>VLOOKUP(B104,oracle!A:D,2,FALSE)</f>
        <v>2B</v>
      </c>
      <c r="H104" s="1" t="str">
        <f>VLOOKUP(B104,oracle!A:D,3,FALSE)</f>
        <v>black</v>
      </c>
      <c r="I104" s="1" t="str">
        <f>VLOOKUP(B104,oracle!A:D,4,FALSE)</f>
        <v>{B}, {T}, Discard a card: Each player loses 2 life.</v>
      </c>
    </row>
    <row r="105" spans="1:9">
      <c r="A105" s="1">
        <v>105</v>
      </c>
      <c r="B105" s="1" t="s">
        <v>159</v>
      </c>
      <c r="D105" s="1">
        <f>VLOOKUP(B105,channelfireball!A:C,2,FALSE)</f>
        <v>1</v>
      </c>
      <c r="E105" s="1" t="str">
        <f>VLOOKUP(B105,channelfireball!A:C,3,FALSE)</f>
        <v>This is a strange one to evaluate. It can be a highly efficient rate for an aggressive Aura, but the aggressive decks that would ordinarily want an Aura like this usually won’t be the ones putting the effort in to achieve delirium early in the game.This is a very poor card if you’re only getting +1/+1. It’s also a poor card if you can’t count on getting delirium until turn 7 or 8. It’s powerful in a dedicated delirium deck, but those decks will be hard-pressed to play a noncreature, nonremoval, non-delirium-enabling spell. Don’t work too hard trying to get Strange Augmentation to be good.</v>
      </c>
      <c r="F105" s="1">
        <f>VLOOKUP(B105,smds!B:C,2,FALSE)</f>
        <v>0.8</v>
      </c>
      <c r="G105" s="1" t="str">
        <f>VLOOKUP(B105,oracle!A:D,2,FALSE)</f>
        <v>B</v>
      </c>
      <c r="H105" s="1" t="str">
        <f>VLOOKUP(B105,oracle!A:D,3,FALSE)</f>
        <v>black</v>
      </c>
      <c r="I105" s="1" t="str">
        <f>VLOOKUP(B105,oracle!A:D,4,FALSE)</f>
        <v>\"\\"\"\\\"\"\\"\"\\\\"\"\\"\"\\\"\"\\"\"Enchant creature
Enchanted creature gets +1/+1.
Delirium --- Enchanted creature gets an additional +2/+2 as long as there are four or more card types among cards in your graveyard.\\\\"\"\\"\"\\\"\"\\"\"\\\"\"\\"\"\\"\"\"</v>
      </c>
    </row>
    <row r="106" spans="1:9">
      <c r="A106" s="1">
        <v>106</v>
      </c>
      <c r="B106" s="1" t="s">
        <v>160</v>
      </c>
      <c r="D106" s="1">
        <f>VLOOKUP(B106,channelfireball!A:C,2,FALSE)</f>
        <v>3</v>
      </c>
      <c r="E106" s="1" t="str">
        <f>VLOOKUP(B106,channelfireball!A:C,3,FALSE)</f>
        <v>Stromkirk Condemned has reasonable stats on its own, and gets powerful fast when you start adding madness and/or Vampire tribal synergies. You’ll be happy to play this in all decks with 9 or more Swamps, and picking it up early is a strong incentive to go BR.</v>
      </c>
      <c r="F106" s="1">
        <f>VLOOKUP(B106,smds!B:C,2,FALSE)</f>
        <v>6.5</v>
      </c>
      <c r="G106" s="1" t="str">
        <f>VLOOKUP(B106,oracle!A:D,2,FALSE)</f>
        <v>BB</v>
      </c>
      <c r="H106" s="1" t="str">
        <f>VLOOKUP(B106,oracle!A:D,3,FALSE)</f>
        <v>black</v>
      </c>
      <c r="I106" s="1" t="str">
        <f>VLOOKUP(B106,oracle!A:D,4,FALSE)</f>
        <v>Discard a card: Vampires you control get +1/+1 until end of turn. Activate this ability only once each turn.</v>
      </c>
    </row>
    <row r="107" spans="1:9">
      <c r="A107" s="1">
        <v>107</v>
      </c>
      <c r="B107" s="1" t="s">
        <v>161</v>
      </c>
      <c r="D107" s="1">
        <f>VLOOKUP(B107,channelfireball!A:C,2,FALSE)</f>
        <v>1.5</v>
      </c>
      <c r="E107" s="1" t="str">
        <f>VLOOKUP(B107,channelfireball!A:C,3,FALSE)</f>
        <v>Divination is a strong Limited card. Compared to Divination, Succumb to Temptation is an instant, but it forces you to lose 2 life, and it has more demanding colored mana requirements. Perhaps worst of all, it’s not in the color (blue) that really wants card-drawing spells, and wants to hold its mana up for instants.My best advice is to err on the side of avoiding this card. But I confess that I’ll probably succumb to the temptation to play it a little more often than I’m proud to admit.</v>
      </c>
      <c r="F107" s="1">
        <f>VLOOKUP(B107,smds!B:C,2,FALSE)</f>
        <v>1</v>
      </c>
      <c r="G107" s="1" t="str">
        <f>VLOOKUP(B107,oracle!A:D,2,FALSE)</f>
        <v>1BB</v>
      </c>
      <c r="H107" s="1" t="str">
        <f>VLOOKUP(B107,oracle!A:D,3,FALSE)</f>
        <v>black</v>
      </c>
      <c r="I107" s="1" t="str">
        <f>VLOOKUP(B107,oracle!A:D,4,FALSE)</f>
        <v>You draw two cards and you lose 2 life.</v>
      </c>
    </row>
    <row r="108" spans="1:9">
      <c r="A108" s="1">
        <v>108</v>
      </c>
      <c r="B108" s="1" t="s">
        <v>162</v>
      </c>
      <c r="D108" s="1">
        <f>VLOOKUP(B108,channelfireball!A:C,2,FALSE)</f>
        <v>2</v>
      </c>
      <c r="E108" s="1" t="str">
        <f>VLOOKUP(B108,channelfireball!A:C,3,FALSE)</f>
        <v>Finally, black gets a common creature that’s legitimately great when you can count on achieving delirium! Thraben Foulbloods is what Stallion of Ashmouth and Hound of the Farbogs wish they could be.At 3 mana for a 3/2 Zombie, the Foulbloods already meet my criteria as an acceptable filler card. If you can make them attack as a 4/3 menace within a reasonable time frame, you have a very strong creature.</v>
      </c>
      <c r="F108" s="1">
        <f>VLOOKUP(B108,smds!B:C,2,FALSE)</f>
        <v>1.1000000000000001</v>
      </c>
      <c r="G108" s="1" t="str">
        <f>VLOOKUP(B108,oracle!A:D,2,FALSE)</f>
        <v>2B</v>
      </c>
      <c r="H108" s="1" t="str">
        <f>VLOOKUP(B108,oracle!A:D,3,FALSE)</f>
        <v>black</v>
      </c>
      <c r="I108" s="1" t="str">
        <f>VLOOKUP(B108,oracle!A:D,4,FALSE)</f>
        <v>Delirium --- Thraben Foulbloods gets +1/+1 and has menace as long as there are four or more card types among cards in your graveyard. （A creature with menace can't be blocked except by two or more creatures.）</v>
      </c>
    </row>
    <row r="109" spans="1:9">
      <c r="A109" s="1">
        <v>109</v>
      </c>
      <c r="B109" s="1" t="s">
        <v>163</v>
      </c>
      <c r="D109" s="1">
        <f>VLOOKUP(B109,channelfireball!A:C,2,FALSE)</f>
        <v>3</v>
      </c>
      <c r="E109" s="1" t="str">
        <f>VLOOKUP(B109,channelfireball!A:C,3,FALSE)</f>
        <v>Tree of Perdition is an excellent blocker that can nuke the opponent for 7 life points if you draw it early enough. The combo with Triskaidekaphobia is also good enough to be worth speculating on.</v>
      </c>
      <c r="F109" s="1">
        <f>VLOOKUP(B109,smds!B:C,2,FALSE)</f>
        <v>5.4</v>
      </c>
      <c r="G109" s="1" t="str">
        <f>VLOOKUP(B109,oracle!A:D,2,FALSE)</f>
        <v>3B</v>
      </c>
      <c r="H109" s="1" t="str">
        <f>VLOOKUP(B109,oracle!A:D,3,FALSE)</f>
        <v>black</v>
      </c>
      <c r="I109" s="1" t="str">
        <f>VLOOKUP(B109,oracle!A:D,4,FALSE)</f>
        <v>\"\\"\"\\\"\"\\"\"\\\\"\"\\"\"\\\"\"\\"\"Defender
{T}: Exchange target opponent's life total with Tree of Perdition's toughness.\\\\"\"\\"\"\\\"\"\\"\"\\\"\"\\"\"\\"\"\"</v>
      </c>
    </row>
    <row r="110" spans="1:9">
      <c r="A110" s="1">
        <v>110</v>
      </c>
      <c r="B110" s="1" t="s">
        <v>164</v>
      </c>
      <c r="D110" s="1">
        <f>VLOOKUP(B110,channelfireball!A:C,2,FALSE)</f>
        <v>1.5</v>
      </c>
      <c r="E110" s="1" t="str">
        <f>VLOOKUP(B110,channelfireball!A:C,3,FALSE)</f>
        <v>Standing alone, Vampire Cutthroat is too low-impact to be a good Limited card, but it’s efficient enough that if you have Vampire tribal synergies, or good equipment and Auras that need to be carried, then this is a card you might get excited about.</v>
      </c>
      <c r="F110" s="1">
        <f>VLOOKUP(B110,smds!B:C,2,FALSE)</f>
        <v>1.1000000000000001</v>
      </c>
      <c r="G110" s="1" t="str">
        <f>VLOOKUP(B110,oracle!A:D,2,FALSE)</f>
        <v>B</v>
      </c>
      <c r="H110" s="1" t="str">
        <f>VLOOKUP(B110,oracle!A:D,3,FALSE)</f>
        <v>black</v>
      </c>
      <c r="I110" s="1" t="str">
        <f>VLOOKUP(B110,oracle!A:D,4,FALSE)</f>
        <v>\"\\"\"\\\"\"\\"\"\\\\"\"\\"\"\\\"\"\\"\"Skulk （This creature can't be blocked by creatures with greater power.）
Lifelink （Damage dealt by this creature also causes you to gain that much life.）\\\\"\"\\"\"\\\"\"\\"\"\\\"\"\\"\"\\"\"\"</v>
      </c>
    </row>
    <row r="111" spans="1:9">
      <c r="A111" s="1">
        <v>111</v>
      </c>
      <c r="B111" s="1" t="s">
        <v>279</v>
      </c>
      <c r="D111" s="1" t="e">
        <f>VLOOKUP(B111,channelfireball!A:C,2,FALSE)</f>
        <v>#N/A</v>
      </c>
      <c r="E111" s="1" t="e">
        <f>VLOOKUP(B111,channelfireball!A:C,3,FALSE)</f>
        <v>#N/A</v>
      </c>
      <c r="F111" s="1">
        <f>VLOOKUP(B111,smds!B:C,2,FALSE)</f>
        <v>7.8</v>
      </c>
      <c r="G111" s="1" t="str">
        <f>VLOOKUP(B111,oracle!A:D,2,FALSE)</f>
        <v>3BB</v>
      </c>
      <c r="H111" s="1" t="str">
        <f>VLOOKUP(B111,oracle!A:D,3,FALSE)</f>
        <v>black</v>
      </c>
      <c r="I111" s="1" t="str">
        <f>VLOOKUP(B111,oracle!A:D,4,FALSE)</f>
        <v>\"\\"\"\\\"\"\\"\"\\\\"\"\\"\"\\\"\"\\"\"Flying
Sacrifice three other creatures: Transform Voldaren Pariah.
Madness {B}{B}{B} （If you discard this card, discard it into exile. When you do, cast it for its madness cost or put it into your graveyard.）\\\\"\"\\"\"\\\"\"\\"\"\\\"\"\\"\"\\"\"\"</v>
      </c>
    </row>
    <row r="112" spans="1:9">
      <c r="A112" s="1">
        <v>112</v>
      </c>
      <c r="B112" s="1" t="s">
        <v>166</v>
      </c>
      <c r="D112" s="1">
        <f>VLOOKUP(B112,channelfireball!A:C,2,FALSE)</f>
        <v>1.5</v>
      </c>
      <c r="E112" s="1" t="str">
        <f>VLOOKUP(B112,channelfireball!A:C,3,FALSE)</f>
        <v>Wailing Ghoul is certainly not exciting, but is the type of card you’ll pick up late to round out your Zombie deck or your defensive black control deck.</v>
      </c>
      <c r="F112" s="1">
        <f>VLOOKUP(B112,smds!B:C,2,FALSE)</f>
        <v>1</v>
      </c>
      <c r="G112" s="1" t="str">
        <f>VLOOKUP(B112,oracle!A:D,2,FALSE)</f>
        <v>1B</v>
      </c>
      <c r="H112" s="1" t="str">
        <f>VLOOKUP(B112,oracle!A:D,3,FALSE)</f>
        <v>black</v>
      </c>
      <c r="I112" s="1" t="str">
        <f>VLOOKUP(B112,oracle!A:D,4,FALSE)</f>
        <v>When Wailing Ghoul enters the battlefield, put the top two cards of your library into your graveyard.</v>
      </c>
    </row>
    <row r="113" spans="1:9">
      <c r="A113" s="1">
        <v>113</v>
      </c>
      <c r="B113" s="1" t="s">
        <v>167</v>
      </c>
      <c r="D113" s="1">
        <f>VLOOKUP(B113,channelfireball!A:C,2,FALSE)</f>
        <v>2</v>
      </c>
      <c r="E113" s="1" t="str">
        <f>VLOOKUP(B113,channelfireball!A:C,3,FALSE)</f>
        <v>Weirded Vampire is pretty much exactly equal to Twins of Maurer Estates. It’s marginally better to hardcast, but a bit worse to madness out. One subtle factor is that Eldritch Moon has a high concentration of flash creatures, so I predict that players will be a little more cagey about attacking into open mana than they might’ve been in all Shadows over Innistrad Limited.Weirded Vampire is a solid card that you’ll be happy to play with if you have Vampire synergies, or a couple ways to enable madness. Failing that, it’s a mediocre filler card.</v>
      </c>
      <c r="F113" s="1">
        <f>VLOOKUP(B113,smds!B:C,2,FALSE)</f>
        <v>1</v>
      </c>
      <c r="G113" s="1" t="str">
        <f>VLOOKUP(B113,oracle!A:D,2,FALSE)</f>
        <v>3B</v>
      </c>
      <c r="H113" s="1" t="str">
        <f>VLOOKUP(B113,oracle!A:D,3,FALSE)</f>
        <v>black</v>
      </c>
      <c r="I113" s="1" t="str">
        <f>VLOOKUP(B113,oracle!A:D,4,FALSE)</f>
        <v>Madness {2}{B} （If you discard this card, discard it into exile. When you do, cast it for its madness cost or put it into your graveyard.）</v>
      </c>
    </row>
    <row r="114" spans="1:9">
      <c r="A114" s="1">
        <v>114</v>
      </c>
      <c r="B114" s="1" t="s">
        <v>168</v>
      </c>
      <c r="D114" s="1">
        <f>VLOOKUP(B114,channelfireball!A:C,2,FALSE)</f>
        <v>1.5</v>
      </c>
      <c r="E114" s="1" t="str">
        <f>VLOOKUP(B114,channelfireball!A:C,3,FALSE)</f>
        <v>Hymn to Tourach is one of my all-time favorite Magic cards, and this is probably as close as you’re ever going to get to a reprint. Unfortunately, a lot of the power (more accurately, the cheesiness) of Hymn was casting it on turn 2 and nailing your opponent’s lands or cheap plays. By the time most Limited decks can get delirium, the opponent will have had a fair chance to empty his or her hand.Making the opponent discard one at random isn’t a horrible effect, and sometimes you will land the good, clean 2-for-1. But make sure this isn’t your biggest payoff for drafting a delirium deck.</v>
      </c>
      <c r="F114" s="1">
        <f>VLOOKUP(B114,smds!B:C,2,FALSE)</f>
        <v>1</v>
      </c>
      <c r="G114" s="1" t="str">
        <f>VLOOKUP(B114,oracle!A:D,2,FALSE)</f>
        <v>1B</v>
      </c>
      <c r="H114" s="1" t="str">
        <f>VLOOKUP(B114,oracle!A:D,3,FALSE)</f>
        <v>black</v>
      </c>
      <c r="I114" s="1" t="str">
        <f>VLOOKUP(B114,oracle!A:D,4,FALSE)</f>
        <v>\"\\"\"\\\"\"\\"\"\\\\"\"\\"\"\\\"\"\\"\"Target opponent discards a card at random.
Delirium --- If there are four or more card types among cards in your graveyard, that player discards two cards at random instead.\\\\"\"\\"\"\\\"\"\\"\"\\\"\"\\"\"\\"\"\"</v>
      </c>
    </row>
    <row r="115" spans="1:9">
      <c r="A115" s="1">
        <v>115</v>
      </c>
      <c r="B115" s="1" t="s">
        <v>169</v>
      </c>
      <c r="D115" s="1">
        <f>VLOOKUP(B115,channelfireball!A:C,2,FALSE)</f>
        <v>2</v>
      </c>
      <c r="E115" s="1" t="str">
        <f>VLOOKUP(B115,channelfireball!A:C,3,FALSE)</f>
        <v>This card is a reasonably good combat trick. I wouldn’t expect to actually kill two creatures with Abandon Reason more than about 10-15%?of the times you cast it. But you’ll often kill one, and getting an extra damage from an unblocked creature, plus the potential for extra value from madnessing it out (plus the chance that you actually do kill two creatures!), results in a solid card.I expect this to make the cut in most aggressive red decks, but not necessarily be a high draft pick.</v>
      </c>
      <c r="F115" s="1">
        <f>VLOOKUP(B115,smds!B:C,2,FALSE)</f>
        <v>1.2</v>
      </c>
      <c r="G115" s="1" t="str">
        <f>VLOOKUP(B115,oracle!A:D,2,FALSE)</f>
        <v>2R</v>
      </c>
      <c r="H115" s="1" t="str">
        <f>VLOOKUP(B115,oracle!A:D,3,FALSE)</f>
        <v>red</v>
      </c>
      <c r="I115" s="1" t="str">
        <f>VLOOKUP(B115,oracle!A:D,4,FALSE)</f>
        <v>\"\\"\"\\\"\"\\"\"\\\\"\"\\"\"\\\"\"\\"\"Up to two target creatures each get +1/+0 and gain first strike until end of turn.
Madness {1}{R} （If you discard this card, discard it into exile. When you do, cast it for its madness cost or put it into your graveyard.）\\\\"\"\\"\"\\\"\"\\"\"\\\"\"\\"\"\\"\"\"</v>
      </c>
    </row>
    <row r="116" spans="1:9">
      <c r="A116" s="1">
        <v>116</v>
      </c>
      <c r="B116" s="1" t="s">
        <v>299</v>
      </c>
      <c r="D116" s="1" t="e">
        <f>VLOOKUP(B116,channelfireball!A:C,2,FALSE)</f>
        <v>#N/A</v>
      </c>
      <c r="E116" s="1" t="e">
        <f>VLOOKUP(B116,channelfireball!A:C,3,FALSE)</f>
        <v>#N/A</v>
      </c>
      <c r="F116" s="1">
        <f>VLOOKUP(B116,smds!B:C,2,FALSE)</f>
        <v>1.5</v>
      </c>
      <c r="G116" s="1" t="str">
        <f>VLOOKUP(B116,oracle!A:D,2,FALSE)</f>
        <v>4R</v>
      </c>
      <c r="H116" s="1" t="str">
        <f>VLOOKUP(B116,oracle!A:D,3,FALSE)</f>
        <v>red</v>
      </c>
      <c r="I116" s="1" t="str">
        <f>VLOOKUP(B116,oracle!A:D,4,FALSE)</f>
        <v>\"\\"\"\\\"\"\\"\"\\\\"\"\\"\"\\\"\"\\"\"Alchemist's Greeting deals 4 damage to target creature.
Madness {1}{R} （If you discard this card, discard it into exile. When you do, cast it for its madness cost or put it into your graveyard.）\\\\"\"\\"\"\\\"\"\\"\"\\\"\"\\"\"\\"\"\"</v>
      </c>
    </row>
    <row r="117" spans="1:9">
      <c r="A117" s="1">
        <v>117</v>
      </c>
      <c r="B117" s="1" t="s">
        <v>171</v>
      </c>
      <c r="D117" s="1">
        <f>VLOOKUP(B117,channelfireball!A:C,2,FALSE)</f>
        <v>2.5</v>
      </c>
      <c r="E117" s="1" t="str">
        <f>VLOOKUP(B117,channelfireball!A:C,3,FALSE)</f>
        <v>Assembled Alphas is annoying to attack into, and has a reasonable approximation of unblockable. But it’s a 6-mana creature in a format where 6-mana creatures aren’t at a premium. Compared to a vanilla 6-drop like Kessig Dire Swine, its biggest advantage is that your opponent won’t have the option of gang-blocking to try and take it down. Beyond that, though, I don’t envision this winning many games that a common 6-drop wouldn’t have been able to win anyway.If you’re looking for a top-end creature, this is a great one to have. But I don’t think you need to spend a first pick on this.</v>
      </c>
      <c r="F117" s="1">
        <f>VLOOKUP(B117,smds!B:C,2,FALSE)</f>
        <v>9</v>
      </c>
      <c r="G117" s="1" t="str">
        <f>VLOOKUP(B117,oracle!A:D,2,FALSE)</f>
        <v>5R</v>
      </c>
      <c r="H117" s="1" t="str">
        <f>VLOOKUP(B117,oracle!A:D,3,FALSE)</f>
        <v>red</v>
      </c>
      <c r="I117" s="1" t="str">
        <f>VLOOKUP(B117,oracle!A:D,4,FALSE)</f>
        <v>Whenever Assembled Alphas blocks or becomes blocked by a creature, Assembled Alphas deals 3 damage to that creature and 3 damage to that creature's controller.</v>
      </c>
    </row>
    <row r="118" spans="1:9">
      <c r="A118" s="1">
        <v>118</v>
      </c>
      <c r="B118" s="1" t="s">
        <v>172</v>
      </c>
      <c r="D118" s="1">
        <f>VLOOKUP(B118,channelfireball!A:C,2,FALSE)</f>
        <v>4</v>
      </c>
      <c r="E118" s="1" t="str">
        <f>VLOOKUP(B118,channelfireball!A:C,3,FALSE)</f>
        <v>In an average deck, you should count on Bedlam Reveler costing about 6 mana, but playing it out as the last card in your hand, getting a reasonable body, and drawing 3 cards gives you a phenomenal effect.In a dedicated spells deck, you’ll cast it on the cheap and make better use of the prowess. While it does get better the more spells you have, I think Bedlam Reveler is simply a great card that you don’t have to go too far out of your way to make?great use of. The more important “build-around” aspect of this card is avoiding permission spells and situational cards that need to sit in your hand for a long time (since you’ll always want to be empty-handed when you cast it).</v>
      </c>
      <c r="F118" s="1">
        <f>VLOOKUP(B118,smds!B:C,2,FALSE)</f>
        <v>7</v>
      </c>
      <c r="G118" s="1" t="str">
        <f>VLOOKUP(B118,oracle!A:D,2,FALSE)</f>
        <v>6RR</v>
      </c>
      <c r="H118" s="1" t="str">
        <f>VLOOKUP(B118,oracle!A:D,3,FALSE)</f>
        <v>red</v>
      </c>
      <c r="I118" s="1" t="str">
        <f>VLOOKUP(B118,oracle!A:D,4,FALSE)</f>
        <v>\"\\"\"\\\"\"\\"\"\\\\"\"\\"\"\\\"\"\\"\"Bedlam Reveler costs {1} less to cast for each instant and sorcery card in your graveyard.
Prowess （Whenever you cast a noncreature spell, this creature gets +1/+1 until end of turn.）
When Bedlam Reveler enters the battlefield, discard your hand, then draw three cards.\\\\"\"\\"\"\\\"\"\\"\"\\\"\"\\"\"\\"\"\"</v>
      </c>
    </row>
    <row r="119" spans="1:9">
      <c r="A119" s="1">
        <v>119</v>
      </c>
      <c r="B119" s="1" t="s">
        <v>173</v>
      </c>
      <c r="D119" s="1">
        <f>VLOOKUP(B119,channelfireball!A:C,2,FALSE)</f>
        <v>1.5</v>
      </c>
      <c r="E119" s="1" t="str">
        <f>VLOOKUP(B119,channelfireball!A:C,3,FALSE)</f>
        <v>The effect of Blood Mist is relatively powerful, but it’s a bit too expensive to be a great Limited card. Comparing this to Uncaged Fury, you spend an extra mana, you miss out on the +1/+1, and it’s not an instant, meaning you have to commit to which creature you’re targeting, and your opponent sees it coming. All of that leads me to believe you want something in the ballpark of four good, clean attack steps with a strong creature before Blood Mist becomes worth its investment.Granted, there will be some games where Blood Mist is very good, and its value does depend a lot on your exact creature suite. If you have big tramplers and evasion creatures, it’s going to get better. If you curve into it on turn 4, you might put your opponent in chump-block mode pretty quickly.Overall, I think this card is playable, but not exciting. It does nothing for you on defense, and it gives your opponent too much warning about what’ll be coming at them. I expect it to make the cut approximately half the time.</v>
      </c>
      <c r="F119" s="1">
        <f>VLOOKUP(B119,smds!B:C,2,FALSE)</f>
        <v>1.3</v>
      </c>
      <c r="G119" s="1" t="str">
        <f>VLOOKUP(B119,oracle!A:D,2,FALSE)</f>
        <v>3R</v>
      </c>
      <c r="H119" s="1" t="str">
        <f>VLOOKUP(B119,oracle!A:D,3,FALSE)</f>
        <v>red</v>
      </c>
      <c r="I119" s="1" t="str">
        <f>VLOOKUP(B119,oracle!A:D,4,FALSE)</f>
        <v>At the beginning of combat on your turn, target creature you control gains double strike until end of turn.</v>
      </c>
    </row>
    <row r="120" spans="1:9">
      <c r="A120" s="1">
        <v>120</v>
      </c>
      <c r="B120" s="1" t="s">
        <v>174</v>
      </c>
      <c r="D120" s="1">
        <f>VLOOKUP(B120,channelfireball!A:C,2,FALSE)</f>
        <v>1</v>
      </c>
      <c r="E120" s="1" t="str">
        <f>VLOOKUP(B120,channelfireball!A:C,3,FALSE)</f>
        <v>Bold Impaler is a functional reprint of Lavastep Raider, except that it has a relevant creature type. Unfortunately, Lavastep Raider was pretty bad.This can be acceptable filler if you’re dedicated to Vampire tribal, if you’re suicidally aggressive, or if you have a lot of cheap Auras. Usually, though, I recommend staying away.</v>
      </c>
      <c r="F120" s="1">
        <f>VLOOKUP(B120,smds!B:C,2,FALSE)</f>
        <v>0.9</v>
      </c>
      <c r="G120" s="1" t="str">
        <f>VLOOKUP(B120,oracle!A:D,2,FALSE)</f>
        <v>R</v>
      </c>
      <c r="H120" s="1" t="str">
        <f>VLOOKUP(B120,oracle!A:D,3,FALSE)</f>
        <v>red</v>
      </c>
      <c r="I120" s="1" t="str">
        <f>VLOOKUP(B120,oracle!A:D,4,FALSE)</f>
        <v>{2}{R}: Bold Impaler gets +2/+0 until end of turn.</v>
      </c>
    </row>
    <row r="121" spans="1:9">
      <c r="A121" s="1">
        <v>121</v>
      </c>
      <c r="B121" s="1" t="s">
        <v>175</v>
      </c>
      <c r="D121" s="1">
        <f>VLOOKUP(B121,channelfireball!A:C,2,FALSE)</f>
        <v>2</v>
      </c>
      <c r="E121" s="1" t="str">
        <f>VLOOKUP(B121,channelfireball!A:C,3,FALSE)</f>
        <v>1 mana for 3 extra power is a decent enough rate that it’ll sometimes be fine to just cash this in for damage to the opponent. Normally, the weakness of a card that only pumps your creature’s power would be that it doesn’t help said creature survive combat. But with Borrowed Hostility, you have the option to choose first strike mode or to invest the full 4 mana when you need to.This looks like a solid combat trick for an aggressive deck, and gets better if a lot of your creatures already have first strike or trample.</v>
      </c>
      <c r="F121" s="1">
        <f>VLOOKUP(B121,smds!B:C,2,FALSE)</f>
        <v>1</v>
      </c>
      <c r="G121" s="1" t="str">
        <f>VLOOKUP(B121,oracle!A:D,2,FALSE)</f>
        <v>R</v>
      </c>
      <c r="H121" s="1" t="str">
        <f>VLOOKUP(B121,oracle!A:D,3,FALSE)</f>
        <v>red</v>
      </c>
      <c r="I121" s="1" t="str">
        <f>VLOOKUP(B121,oracle!A:D,4,FALSE)</f>
        <v>\"\\"\"\\\"\"\\"\"\\\\"\"\\"\"\\\"\"\\"\"Escalate {3} （Pay this cost for each mode chosen beyond the first.）
Choose one or both ---
? Target creature gets +3/+0 until end of turn.
? Target creature gains first strike until end of turn.\\\\"\"\\"\"\\\"\"\\"\"\\\"\"\\"\"\\"\"\"</v>
      </c>
    </row>
    <row r="122" spans="1:9">
      <c r="A122" s="1">
        <v>122</v>
      </c>
      <c r="B122" s="1" t="s">
        <v>176</v>
      </c>
      <c r="D122" s="1">
        <f>VLOOKUP(B122,channelfireball!A:C,2,FALSE)</f>
        <v>2.5</v>
      </c>
      <c r="E122" s="1" t="str">
        <f>VLOOKUP(B122,channelfireball!A:C,3,FALSE)</f>
        <v>Brazen Wolves can attack as a 4/3 and block as a 2/3, which makes it noticeably better than Howlpack Wolf, which was already a very solid card. 4 power on a 3-drop is a rate that’s not easy to find, and this looks to be a solid?card that virtually all red decks will be happy to play. It would take a more brazen man than I to say anything bad about this card.</v>
      </c>
      <c r="F122" s="1">
        <f>VLOOKUP(B122,smds!B:C,2,FALSE)</f>
        <v>1.4</v>
      </c>
      <c r="G122" s="1" t="str">
        <f>VLOOKUP(B122,oracle!A:D,2,FALSE)</f>
        <v>2R</v>
      </c>
      <c r="H122" s="1" t="str">
        <f>VLOOKUP(B122,oracle!A:D,3,FALSE)</f>
        <v>red</v>
      </c>
      <c r="I122" s="1" t="str">
        <f>VLOOKUP(B122,oracle!A:D,4,FALSE)</f>
        <v>Whenever Brazen Wolves attacks, it gets +2/+0 until end of turn.</v>
      </c>
    </row>
    <row r="123" spans="1:9">
      <c r="A123" s="1">
        <v>123</v>
      </c>
      <c r="B123" s="1" t="s">
        <v>177</v>
      </c>
      <c r="D123" s="1">
        <f>VLOOKUP(B123,channelfireball!A:C,2,FALSE)</f>
        <v>4</v>
      </c>
      <c r="E123" s="1" t="str">
        <f>VLOOKUP(B123,channelfireball!A:C,3,FALSE)</f>
        <v>Let’s start by evaluating Collective Defiance as 4 mana for 4 damage to a creature and 3 damage to the opponent. That’s what it’s going to be most of the time, and that’s excellent. For a 5th?mana, you’ll have the option to cycle the last couple of cards in your hand, which can be a great bonus if you’ve been planning for it, or if things coincidentally work out nicely for the ability. Also, look for times where you can force your opponent to Winds of Change his or her hand in order to ruin his or her well-laid plans.</v>
      </c>
      <c r="F123" s="1">
        <f>VLOOKUP(B123,smds!B:C,2,FALSE)</f>
        <v>9.5</v>
      </c>
      <c r="G123" s="1" t="str">
        <f>VLOOKUP(B123,oracle!A:D,2,FALSE)</f>
        <v>1RR</v>
      </c>
      <c r="H123" s="1" t="str">
        <f>VLOOKUP(B123,oracle!A:D,3,FALSE)</f>
        <v>red</v>
      </c>
      <c r="I123" s="1" t="str">
        <f>VLOOKUP(B123,oracle!A:D,4,FALSE)</f>
        <v>\"\\"\"\\\"\"\\"\"\\\\"\"\\"\"\\\"\"\\"\"Escalate {1} （Pay this cost for each mode chosen beyond the first.）
Choose one or more ---
? Target player discards all the cards in his or her hand, then draws that many cards.
? Collective Defiance deals 4 damage to target creature.
? Collective Defiance deals 3 damage to target opponent.\\\\"\"\\"\"\\\"\"\\"\"\\\"\"\\"\"\\"\"\"</v>
      </c>
    </row>
    <row r="124" spans="1:9">
      <c r="A124" s="1">
        <v>124</v>
      </c>
      <c r="B124" s="1" t="s">
        <v>290</v>
      </c>
      <c r="D124" s="1" t="e">
        <f>VLOOKUP(B124,channelfireball!A:C,2,FALSE)</f>
        <v>#N/A</v>
      </c>
      <c r="E124" s="1" t="e">
        <f>VLOOKUP(B124,channelfireball!A:C,3,FALSE)</f>
        <v>#N/A</v>
      </c>
      <c r="F124" s="1">
        <f>VLOOKUP(B124,smds!B:C,2,FALSE)</f>
        <v>2</v>
      </c>
      <c r="G124" s="1" t="str">
        <f>VLOOKUP(B124,oracle!A:D,2,FALSE)</f>
        <v>2R</v>
      </c>
      <c r="H124" s="1" t="str">
        <f>VLOOKUP(B124,oracle!A:D,3,FALSE)</f>
        <v>red</v>
      </c>
      <c r="I124" s="1" t="str">
        <f>VLOOKUP(B124,oracle!A:D,4,FALSE)</f>
        <v>\"\\"\"\\\"\"\\"\"\\\\"\"\\"\"\\\"\"\\"\"Whenever Conduit of Storms attacks, add {R} to your mana pool at the beginning of your next main phase this turn.
{3}{R}{R}: Transform Conduit of Storms.\\\\"\"\\"\"\\\"\"\\"\"\\\"\"\\"\"\\"\"\"</v>
      </c>
    </row>
    <row r="125" spans="1:9">
      <c r="A125" s="1">
        <v>125</v>
      </c>
      <c r="B125" s="1" t="s">
        <v>296</v>
      </c>
      <c r="D125" s="1" t="e">
        <f>VLOOKUP(B125,channelfireball!A:C,2,FALSE)</f>
        <v>#N/A</v>
      </c>
      <c r="E125" s="1" t="e">
        <f>VLOOKUP(B125,channelfireball!A:C,3,FALSE)</f>
        <v>#N/A</v>
      </c>
      <c r="F125" s="1">
        <f>VLOOKUP(B125,smds!B:C,2,FALSE)</f>
        <v>1.6</v>
      </c>
      <c r="G125" s="1" t="str">
        <f>VLOOKUP(B125,oracle!A:D,2,FALSE)</f>
        <v>1R</v>
      </c>
      <c r="H125" s="1" t="str">
        <f>VLOOKUP(B125,oracle!A:D,3,FALSE)</f>
        <v>red</v>
      </c>
      <c r="I125" s="1" t="str">
        <f>VLOOKUP(B125,oracle!A:D,4,FALSE)</f>
        <v>Menace （This creature can't be blocked except by two or more creatures.）</v>
      </c>
    </row>
    <row r="126" spans="1:9">
      <c r="A126" s="1">
        <v>126</v>
      </c>
      <c r="B126" s="1" t="s">
        <v>180</v>
      </c>
      <c r="D126" s="1">
        <f>VLOOKUP(B126,channelfireball!A:C,2,FALSE)</f>
        <v>1</v>
      </c>
      <c r="E126" s="1" t="str">
        <f>VLOOKUP(B126,channelfireball!A:C,3,FALSE)</f>
        <v>At sorcery speed, Distemper of the Blood is quite bad to hard-cast. It becomes good if you’re playing an aggressive deck that can usually count on having a madness enabler. Overall, it’s hard to make this work, and you shouldn’t be picking it highly.</v>
      </c>
      <c r="F126" s="1">
        <f>VLOOKUP(B126,smds!B:C,2,FALSE)</f>
        <v>0.9</v>
      </c>
      <c r="G126" s="1" t="str">
        <f>VLOOKUP(B126,oracle!A:D,2,FALSE)</f>
        <v>1R</v>
      </c>
      <c r="H126" s="1" t="str">
        <f>VLOOKUP(B126,oracle!A:D,3,FALSE)</f>
        <v>red</v>
      </c>
      <c r="I126" s="1" t="str">
        <f>VLOOKUP(B126,oracle!A:D,4,FALSE)</f>
        <v>\"\\"\"\\\"\"\\"\"\\\\"\"\\"\"\\\"\"\\"\"Target creature gets +2/+2 and gains trample until end of turn.
Madness {R} （If you discard this card, discard it into exile. When you do, cast it for its madness cost or put it into your graveyard.）\\\\"\"\\"\"\\\"\"\\"\"\\\"\"\\"\"\\"\"\"</v>
      </c>
    </row>
    <row r="127" spans="1:9">
      <c r="A127" s="1">
        <v>127</v>
      </c>
      <c r="B127" s="1" t="s">
        <v>181</v>
      </c>
      <c r="D127" s="1">
        <f>VLOOKUP(B127,channelfireball!A:C,2,FALSE)</f>
        <v>2</v>
      </c>
      <c r="E127" s="1" t="str">
        <f>VLOOKUP(B127,channelfireball!A:C,3,FALSE)</f>
        <v>My analysis of Falkenrath Reaver is much the same as Deranged Whelp (the Whelp is a little better, however). Red wants 2-drops, and the Vampire creature type on this makes it fairly desirable.</v>
      </c>
      <c r="F127" s="1">
        <f>VLOOKUP(B127,smds!B:C,2,FALSE)</f>
        <v>1</v>
      </c>
      <c r="G127" s="1" t="str">
        <f>VLOOKUP(B127,oracle!A:D,2,FALSE)</f>
        <v>1R</v>
      </c>
      <c r="H127" s="1" t="str">
        <f>VLOOKUP(B127,oracle!A:D,3,FALSE)</f>
        <v>red</v>
      </c>
      <c r="I127" s="1">
        <f>VLOOKUP(B127,oracle!A:D,4,FALSE)</f>
        <v>0</v>
      </c>
    </row>
    <row r="128" spans="1:9">
      <c r="A128" s="1">
        <v>128</v>
      </c>
      <c r="B128" s="1" t="s">
        <v>182</v>
      </c>
      <c r="D128" s="1">
        <f>VLOOKUP(B128,channelfireball!A:C,2,FALSE)</f>
        <v>2</v>
      </c>
      <c r="E128" s="1" t="str">
        <f>VLOOKUP(B128,channelfireball!A:C,3,FALSE)</f>
        <v>Furyblade Vampire can help you to have some extremely powerful curve-outs, but I wouldn’t jam it in just any deck. For a 2-drop, this thing hits incredibly hard, but you won’t simply want to start dumping your hand to it starting on turn 3. In a deck with no madness, you’d rather have Falkenrath Reaver. In a deck with a solid amount of madness, or a couple of Uncaged Furies, this becomes scary very quickly.</v>
      </c>
      <c r="F128" s="1">
        <f>VLOOKUP(B128,smds!B:C,2,FALSE)</f>
        <v>2</v>
      </c>
      <c r="G128" s="1" t="str">
        <f>VLOOKUP(B128,oracle!A:D,2,FALSE)</f>
        <v>1R</v>
      </c>
      <c r="H128" s="1" t="str">
        <f>VLOOKUP(B128,oracle!A:D,3,FALSE)</f>
        <v>red</v>
      </c>
      <c r="I128" s="1" t="str">
        <f>VLOOKUP(B128,oracle!A:D,4,FALSE)</f>
        <v>\"\\"\"\\\"\"\\"\"Trample
At the beginning of combat on your turn, you may discard a card. If you do, Furyblade Vampire gets +3/+0 until end of turn.\\\"\"\\"\"\\"\"\"</v>
      </c>
    </row>
    <row r="129" spans="1:9">
      <c r="A129" s="1">
        <v>129</v>
      </c>
      <c r="B129" s="1" t="s">
        <v>183</v>
      </c>
      <c r="D129" s="1">
        <f>VLOOKUP(B129,channelfireball!A:C,2,FALSE)</f>
        <v>3</v>
      </c>
      <c r="E129" s="1" t="str">
        <f>VLOOKUP(B129,channelfireball!A:C,3,FALSE)</f>
        <v>You’ve always known Shock to be a good (though not outrageous) Limited card. Shock rarely wanted to target players in Limited anyway, so the small possibility of dealing a third damage easily makes up for not being able to hit the opponent. I pick Galvanic Bombardment to be the best red common in Eldritch Moon Limited.</v>
      </c>
      <c r="F129" s="1">
        <f>VLOOKUP(B129,smds!B:C,2,FALSE)</f>
        <v>2</v>
      </c>
      <c r="G129" s="1" t="str">
        <f>VLOOKUP(B129,oracle!A:D,2,FALSE)</f>
        <v>R</v>
      </c>
      <c r="H129" s="1" t="str">
        <f>VLOOKUP(B129,oracle!A:D,3,FALSE)</f>
        <v>red</v>
      </c>
      <c r="I129" s="1" t="str">
        <f>VLOOKUP(B129,oracle!A:D,4,FALSE)</f>
        <v>Galvanic Bombardment deals X damage to target creature, where X is 2 plus the number of cards named Galvanic Bombardment in your graveyard.</v>
      </c>
    </row>
    <row r="130" spans="1:9">
      <c r="A130" s="1">
        <v>130</v>
      </c>
      <c r="B130" s="1" t="s">
        <v>280</v>
      </c>
      <c r="D130" s="1" t="e">
        <f>VLOOKUP(B130,channelfireball!A:C,2,FALSE)</f>
        <v>#N/A</v>
      </c>
      <c r="E130" s="1" t="e">
        <f>VLOOKUP(B130,channelfireball!A:C,3,FALSE)</f>
        <v>#N/A</v>
      </c>
      <c r="F130" s="1">
        <f>VLOOKUP(B130,smds!B:C,2,FALSE)</f>
        <v>7.4</v>
      </c>
      <c r="G130" s="1" t="str">
        <f>VLOOKUP(B130,oracle!A:D,2,FALSE)</f>
        <v>2R</v>
      </c>
      <c r="H130" s="1" t="str">
        <f>VLOOKUP(B130,oracle!A:D,3,FALSE)</f>
        <v>red</v>
      </c>
      <c r="I130" s="1" t="str">
        <f>VLOOKUP(B130,oracle!A:D,4,FALSE)</f>
        <v>\"\\"\"\\\"\"\\"\"Whenever Hanweir Garrison attacks, put two 1/1 red Human creature tokens onto the battlefield tapped and attacking.
（Melds with Hanweir Battlements.）\\\"\"\\"\"\\"\"\"</v>
      </c>
    </row>
    <row r="131" spans="1:9">
      <c r="A131" s="1">
        <v>131</v>
      </c>
      <c r="B131" s="1" t="s">
        <v>185</v>
      </c>
      <c r="D131" s="1">
        <f>VLOOKUP(B131,channelfireball!A:C,2,FALSE)</f>
        <v>0</v>
      </c>
      <c r="E131" s="1" t="str">
        <f>VLOOKUP(B131,channelfireball!A:C,3,FALSE)</f>
        <v>This is what my teammate Andrew Cuneo would call “a sideboard card.”</v>
      </c>
      <c r="F131" s="1">
        <f>VLOOKUP(B131,smds!B:C,2,FALSE)</f>
        <v>0.7</v>
      </c>
      <c r="G131" s="1" t="str">
        <f>VLOOKUP(B131,oracle!A:D,2,FALSE)</f>
        <v>2R</v>
      </c>
      <c r="H131" s="1" t="str">
        <f>VLOOKUP(B131,oracle!A:D,3,FALSE)</f>
        <v>red</v>
      </c>
      <c r="I131" s="1" t="str">
        <f>VLOOKUP(B131,oracle!A:D,4,FALSE)</f>
        <v>Target opponent gains control of target permanent you control.</v>
      </c>
    </row>
    <row r="132" spans="1:9">
      <c r="A132" s="1">
        <v>132</v>
      </c>
      <c r="B132" s="1" t="s">
        <v>186</v>
      </c>
      <c r="D132" s="1">
        <f>VLOOKUP(B132,channelfireball!A:C,2,FALSE)</f>
        <v>3</v>
      </c>
      <c r="E132" s="1" t="str">
        <f>VLOOKUP(B132,channelfireball!A:C,3,FALSE)</f>
        <v>Ball Lightning meets Asphyxiate. Impetuous Devils will typically come down, kill an opposing creature, and leave behind a couple of points of trample damage. That’s a great effect! It’s true that the Devils can’t kill a tapped creature, but hopefully your aggressive red deck will be more concerned with killing blockers than anything else (especially when this gives you a bunch of hasted damage to help win the race).If your opponent’s already on the back foot, Impetuous Devils might just kill him or her on the spot. On the other hand, this isn’t quite as reliable as a removal spell because of the possibility that the opponent might have an instant-speed way to deal with it. In particular, the threat of an untapped Sigardian Priest is very annoying.All told, though, the power level on Impetuous Devils is high, and I’d be happy spending a first or second pick on it.</v>
      </c>
      <c r="F132" s="1">
        <f>VLOOKUP(B132,smds!B:C,2,FALSE)</f>
        <v>6.1</v>
      </c>
      <c r="G132" s="1" t="str">
        <f>VLOOKUP(B132,oracle!A:D,2,FALSE)</f>
        <v>2RR</v>
      </c>
      <c r="H132" s="1" t="str">
        <f>VLOOKUP(B132,oracle!A:D,3,FALSE)</f>
        <v>red</v>
      </c>
      <c r="I132" s="1" t="str">
        <f>VLOOKUP(B132,oracle!A:D,4,FALSE)</f>
        <v>\"\\"\"\\\"\"\\"\"Trample, haste
When Impetuous Devils attacks, up to one target creature defending player controls blocks it this combat if able.
At the beginning of the end step, sacrifice Impetuous Devils.\\\"\"\\"\"\\"\"\"</v>
      </c>
    </row>
    <row r="133" spans="1:9">
      <c r="A133" s="1">
        <v>133</v>
      </c>
      <c r="B133" s="1" t="s">
        <v>187</v>
      </c>
      <c r="D133" s="1">
        <f>VLOOKUP(B133,channelfireball!A:C,2,FALSE)</f>
        <v>3</v>
      </c>
      <c r="E133" s="1" t="str">
        <f>VLOOKUP(B133,channelfireball!A:C,3,FALSE)</f>
        <v>Incendiary Flow is likely even better than Galvanic Bombardment in the cheap burn spell department. It also has flavor text that would make Jaya Ballard herself proud.The ability to exile a creature can be easy to ignore, but in a format of graveyard recursion and creatures like Dauntless Cathar, it’s more than just a minor bonus.</v>
      </c>
      <c r="F133" s="1">
        <f>VLOOKUP(B133,smds!B:C,2,FALSE)</f>
        <v>3.8</v>
      </c>
      <c r="G133" s="1" t="str">
        <f>VLOOKUP(B133,oracle!A:D,2,FALSE)</f>
        <v>1R</v>
      </c>
      <c r="H133" s="1" t="str">
        <f>VLOOKUP(B133,oracle!A:D,3,FALSE)</f>
        <v>red</v>
      </c>
      <c r="I133" s="1" t="str">
        <f>VLOOKUP(B133,oracle!A:D,4,FALSE)</f>
        <v>Incendiary Flow deals 3 damage to target creature or player. If a creature dealt damage this way would die this turn, exile it instead.</v>
      </c>
    </row>
    <row r="134" spans="1:9">
      <c r="A134" s="1">
        <v>134</v>
      </c>
      <c r="B134" s="1" t="s">
        <v>188</v>
      </c>
      <c r="D134" s="1">
        <f>VLOOKUP(B134,channelfireball!A:C,2,FALSE)</f>
        <v>2.5</v>
      </c>
      <c r="E134" s="1" t="str">
        <f>VLOOKUP(B134,channelfireball!A:C,3,FALSE)</f>
        <v>Insatiable Gorgers is one of the hardest-hitting beaters you’re going to find in Eldritch Moon. 4 mana for a 5-power attacker is powerful, and dropping this at the end of the turn via madness might have the opponent taking a lot more damage than he or she was prepared for.On a smaller creature, “attacks each turn if able” can be a substantial downfall, since it’ll wind up suiciding into bigger blockers sooner or later. When it comes to a 5 power creature, you want to be attacking every turn anyway! Sure, the opponent can trade off if they’re lucky, but it’s going to take quite a monster to actually beat Insatiable Gorgers in combat.</v>
      </c>
      <c r="F134" s="1">
        <f>VLOOKUP(B134,smds!B:C,2,FALSE)</f>
        <v>1.5</v>
      </c>
      <c r="G134" s="1" t="str">
        <f>VLOOKUP(B134,oracle!A:D,2,FALSE)</f>
        <v>2RR</v>
      </c>
      <c r="H134" s="1" t="str">
        <f>VLOOKUP(B134,oracle!A:D,3,FALSE)</f>
        <v>red</v>
      </c>
      <c r="I134" s="1" t="str">
        <f>VLOOKUP(B134,oracle!A:D,4,FALSE)</f>
        <v>\"\\"\"\\\"\"\\"\"Insatiable Gorgers attacks each combat if able.
Madness {3}{R} （If you discard this card, discard it into exile. When you do, cast it for its madness cost or put it into your graveyard.）\\\"\"\\"\"\\"\"\"</v>
      </c>
    </row>
    <row r="135" spans="1:9">
      <c r="A135" s="1">
        <v>135</v>
      </c>
      <c r="B135" s="1" t="s">
        <v>189</v>
      </c>
      <c r="D135" s="1" t="str">
        <f>VLOOKUP(B135,channelfireball!A:C,2,FALSE)</f>
        <v>LimitedRatingg:2.0</v>
      </c>
      <c r="E135" s="1" t="str">
        <f>VLOOKUP(B135,channelfireball!A:C,3,FALSE)</f>
        <v>In a color of flashy burn spells and 4 and 5 damage attackers, Make Mischief is a bit of an unassuming card. If you’re counting on this to be your 3-drop creature, it’s going to be pretty bad. But if you’re using it to kill a 1 toughness utility creature, then it’s a beating!Main decking this card is optional, but you should go out of your way to pick up 1 or 2 as sideboard cards against players with a lot of weenie creatures. Against white decks with Spirit tokens or red decks with fragile creatures, you should be making as much mischief as possible.</v>
      </c>
      <c r="F135" s="1">
        <f>VLOOKUP(B135,smds!B:C,2,FALSE)</f>
        <v>0.9</v>
      </c>
      <c r="G135" s="1" t="str">
        <f>VLOOKUP(B135,oracle!A:D,2,FALSE)</f>
        <v>2R</v>
      </c>
      <c r="H135" s="1" t="str">
        <f>VLOOKUP(B135,oracle!A:D,3,FALSE)</f>
        <v>red</v>
      </c>
      <c r="I135" s="1" t="str">
        <f>VLOOKUP(B135,oracle!A:D,4,FALSE)</f>
        <v>Make Mischief deals 1 damage to target creature or player. Put a 1/1 red Devil creature token onto the battlefield. It has \"When this creature dies, it deals 1 damage to target creature or player.\"</v>
      </c>
    </row>
    <row r="136" spans="1:9">
      <c r="A136" s="1">
        <v>136</v>
      </c>
      <c r="B136" s="1" t="s">
        <v>190</v>
      </c>
      <c r="D136" s="1">
        <f>VLOOKUP(B136,channelfireball!A:C,2,FALSE)</f>
        <v>4.5</v>
      </c>
      <c r="E136" s="1" t="str">
        <f>VLOOKUP(B136,channelfireball!A:C,3,FALSE)</f>
        <v>Mirrorwing Dragon isn’t unkillable, but in a lot of situations it might as well be. Using a removal spell on this is going to cost the opponent a lot more than 7 years bad luck. If your opponent wants to cast Reduce to Ashes on your dragon, he or she needs to be prepared to Plague Wind themselves along with it.On the other side of the coin, Mirrorwing Dragon offers you the same ability that Zada, Hedron Grinder did in Battle for Zendikar, making a single combat trick lethal in most situations. Especially with Borrowed Hostility and Distemper of the Blood being commons in Eldritch Moon, Mirrorwing Dragon can help you unload an absolutely massive amount of damage under the right circumstances. You can even set up a combo turn by targeting the Dragon right away when you cast it. Just be careful, because your opponent can also use your Dragon against you to pump up all of their creatures!An affordable ? flyer with upside that’s also resilient to removal definitely fits my criteria for a Limited bomb.</v>
      </c>
      <c r="F136" s="1">
        <f>VLOOKUP(B136,smds!B:C,2,FALSE)</f>
        <v>10</v>
      </c>
      <c r="G136" s="1" t="str">
        <f>VLOOKUP(B136,oracle!A:D,2,FALSE)</f>
        <v>3RR</v>
      </c>
      <c r="H136" s="1" t="str">
        <f>VLOOKUP(B136,oracle!A:D,3,FALSE)</f>
        <v>red</v>
      </c>
      <c r="I136" s="1" t="str">
        <f>VLOOKUP(B136,oracle!A:D,4,FALSE)</f>
        <v>\"\\"\"\\\"\"\\"\"Flying
Whenever a player casts an instant or sorcery spell that targets only Mirrorwing Dragon, that player copies that spell for each other creature he or she controls that the spell could target. Each copy targets a different one of those creatures.\\\"\"\\"\"\\"\"\"</v>
      </c>
    </row>
    <row r="137" spans="1:9">
      <c r="A137" s="1">
        <v>137</v>
      </c>
      <c r="B137" s="1" t="s">
        <v>274</v>
      </c>
      <c r="D137" s="1" t="e">
        <f>VLOOKUP(B137,channelfireball!A:C,2,FALSE)</f>
        <v>#N/A</v>
      </c>
      <c r="E137" s="1" t="e">
        <f>VLOOKUP(B137,channelfireball!A:C,3,FALSE)</f>
        <v>#N/A</v>
      </c>
      <c r="F137" s="1">
        <f>VLOOKUP(B137,smds!B:C,2,FALSE)</f>
        <v>9.8000000000000007</v>
      </c>
      <c r="G137" s="1" t="str">
        <f>VLOOKUP(B137,oracle!A:D,2,FALSE)</f>
        <v>2R</v>
      </c>
      <c r="H137" s="1" t="str">
        <f>VLOOKUP(B137,oracle!A:D,3,FALSE)</f>
        <v>red</v>
      </c>
      <c r="I137" s="1" t="str">
        <f>VLOOKUP(B137,oracle!A:D,4,FALSE)</f>
        <v>\"\\"\"\\\"\"\\"\"As an additional cost to cast Nahiri's Wrath, discard X cards.
Nahiri's Wrath deals damage equal to the total converted mana cost of the discarded cards to each of up to X target creatures and/or planeswalkers.\\\"\"\\"\"\\"\"\"</v>
      </c>
    </row>
    <row r="138" spans="1:9">
      <c r="A138" s="1">
        <v>138</v>
      </c>
      <c r="B138" s="1" t="s">
        <v>192</v>
      </c>
      <c r="D138" s="1">
        <f>VLOOKUP(B138,channelfireball!A:C,2,FALSE)</f>
        <v>2</v>
      </c>
      <c r="E138" s="1" t="str">
        <f>VLOOKUP(B138,channelfireball!A:C,3,FALSE)</f>
        <v>Otherworldly Outburst requires a little bit of setup, but the payoff is a 3/2 creature for the low price of 1 mana. The best use comes when you cast this before trading with your opponent’s 2-drop on turn 3, and then use your remaining mana to cast another 2-drop post-combat.When everything works out perfectly, this card is very exciting. But for practical purposes, I’d usually just as soon have another solid 2-drop or 3-drop creature in its place.Remember that you can target your opponent’s creatures, so you’ll almost always be able to cash this in sooner or later. Otherworldly Outburst is slightly less powerful than Skin Invasion, but being an instant makes it a lot more reliable.</v>
      </c>
      <c r="F138" s="1">
        <f>VLOOKUP(B138,smds!B:C,2,FALSE)</f>
        <v>0.9</v>
      </c>
      <c r="G138" s="1" t="str">
        <f>VLOOKUP(B138,oracle!A:D,2,FALSE)</f>
        <v>R</v>
      </c>
      <c r="H138" s="1" t="str">
        <f>VLOOKUP(B138,oracle!A:D,3,FALSE)</f>
        <v>red</v>
      </c>
      <c r="I138" s="1" t="str">
        <f>VLOOKUP(B138,oracle!A:D,4,FALSE)</f>
        <v>Target creature gets +1/+0 until end of turn. When that creature dies this turn, put a 3/2 colorless Eldrazi Horror creature token onto the battlefield.</v>
      </c>
    </row>
    <row r="139" spans="1:9">
      <c r="A139" s="1">
        <v>139</v>
      </c>
      <c r="B139" s="1" t="s">
        <v>193</v>
      </c>
      <c r="D139" s="1">
        <f>VLOOKUP(B139,channelfireball!A:C,2,FALSE)</f>
        <v>1</v>
      </c>
      <c r="E139" s="1" t="str">
        <f>VLOOKUP(B139,channelfireball!A:C,3,FALSE)</f>
        <v>Prophetic Ravings lets you build your own Mad Prophet, and there are some madness-heavy decks that win a tremendously high percentage of the games that they can stick a Mad Prophet.I always preach caution when it comes to auras since you risk getting 2-for-1ed. But I do think that Prophetic Ravings is a useful card for decks that really need to enable their madness spells.</v>
      </c>
      <c r="F139" s="1">
        <f>VLOOKUP(B139,smds!B:C,2,FALSE)</f>
        <v>0.7</v>
      </c>
      <c r="G139" s="1" t="str">
        <f>VLOOKUP(B139,oracle!A:D,2,FALSE)</f>
        <v>R</v>
      </c>
      <c r="H139" s="1" t="str">
        <f>VLOOKUP(B139,oracle!A:D,3,FALSE)</f>
        <v>red</v>
      </c>
      <c r="I139" s="1" t="str">
        <f>VLOOKUP(B139,oracle!A:D,4,FALSE)</f>
        <v>\"\\"\"\\\"\"\\"\"Enchant creature
Enchanted creature has haste and \\\\"\"\\"\"\\\"\"\\"\"{T}, Discard a card: Draw a card.\\\\"\"\\"\"\\\"\"\\"\"\\\"\"\\"\"\\"\"\"</v>
      </c>
    </row>
    <row r="140" spans="1:9">
      <c r="A140" s="1">
        <v>140</v>
      </c>
      <c r="B140" s="1" t="s">
        <v>194</v>
      </c>
      <c r="D140" s="1">
        <f>VLOOKUP(B140,channelfireball!A:C,2,FALSE)</f>
        <v>3.5</v>
      </c>
      <c r="E140" s="1" t="str">
        <f>VLOOKUP(B140,channelfireball!A:C,3,FALSE)</f>
        <v>For 4 mana, Savage Alliance can deal 3 damage to a creature and pick off all other 1 toughness guys your opponent might happen to have. It’s instant speed, and can even give your team trample to unload damage on the opponent (you’ll get even more damage if you pair trample with dealing damage to your opponent’s creatures).Savage Alliance does it all, and I consider this slightly better than even the premium removal spells of the format.</v>
      </c>
      <c r="F140" s="1">
        <f>VLOOKUP(B140,smds!B:C,2,FALSE)</f>
        <v>2.5</v>
      </c>
      <c r="G140" s="1" t="str">
        <f>VLOOKUP(B140,oracle!A:D,2,FALSE)</f>
        <v>2R</v>
      </c>
      <c r="H140" s="1" t="str">
        <f>VLOOKUP(B140,oracle!A:D,3,FALSE)</f>
        <v>red</v>
      </c>
      <c r="I140" s="1" t="str">
        <f>VLOOKUP(B140,oracle!A:D,4,FALSE)</f>
        <v>\"\\"\"\\\"\"\\"\"Escalate {1} （Pay this cost for each mode chosen beyond the first.）
Choose one or more ---
? Creatures target player controls gain trample until end of turn.
? Savage Alliance deals 2 damage to target creature.
? Savage Alliance deals 1 damage to each creature target opponent controls.\\\"\"\\"\"\\"\"\"</v>
      </c>
    </row>
    <row r="141" spans="1:9">
      <c r="A141" s="1">
        <v>141</v>
      </c>
      <c r="B141" s="1" t="s">
        <v>195</v>
      </c>
      <c r="D141" s="1">
        <f>VLOOKUP(B141,channelfireball!A:C,2,FALSE)</f>
        <v>1.5</v>
      </c>
      <c r="E141" s="1" t="str">
        <f>VLOOKUP(B141,channelfireball!A:C,3,FALSE)</f>
        <v>Shreds of Sanity is a late-game card, and requires a bit of setup. You’ll be looking to play with this in your U/R Spells decks, and it’s not insane to play it in your slower Sealed decks, either. The discard clause will wind up being a plus just as often as it’ll be a minus since you have the option to pick up a madness card from your graveyard and use it again right away (say, Alchemist’s Greeting, for example).The setup costs are high, and the payoff isn’t huge, so Shreds of Sanity is a card you should ignore in a lot of your average decks. But when you have enough to go with it (say, 8+ other spells divided pretty evenly between instants and sorceries), then it can be a great way to restock a couple of removal spells and take over a game.</v>
      </c>
      <c r="F141" s="1">
        <f>VLOOKUP(B141,smds!B:C,2,FALSE)</f>
        <v>0.9</v>
      </c>
      <c r="G141" s="1" t="str">
        <f>VLOOKUP(B141,oracle!A:D,2,FALSE)</f>
        <v>2R</v>
      </c>
      <c r="H141" s="1" t="str">
        <f>VLOOKUP(B141,oracle!A:D,3,FALSE)</f>
        <v>red</v>
      </c>
      <c r="I141" s="1" t="str">
        <f>VLOOKUP(B141,oracle!A:D,4,FALSE)</f>
        <v>Return up to one target instant card and up to one target sorcery card from your graveyard to your hand, then discard a card. Exile Shreds of Sanity.</v>
      </c>
    </row>
    <row r="142" spans="1:9">
      <c r="A142" s="1">
        <v>142</v>
      </c>
      <c r="B142" s="1" t="s">
        <v>285</v>
      </c>
      <c r="D142" s="1" t="e">
        <f>VLOOKUP(B142,channelfireball!A:C,2,FALSE)</f>
        <v>#N/A</v>
      </c>
      <c r="E142" s="1" t="e">
        <f>VLOOKUP(B142,channelfireball!A:C,3,FALSE)</f>
        <v>#N/A</v>
      </c>
      <c r="F142" s="1">
        <f>VLOOKUP(B142,smds!B:C,2,FALSE)</f>
        <v>2.6</v>
      </c>
      <c r="G142" s="1" t="str">
        <f>VLOOKUP(B142,oracle!A:D,2,FALSE)</f>
        <v>2RR</v>
      </c>
      <c r="H142" s="1" t="str">
        <f>VLOOKUP(B142,oracle!A:D,3,FALSE)</f>
        <v>red</v>
      </c>
      <c r="I142" s="1" t="str">
        <f>VLOOKUP(B142,oracle!A:D,4,FALSE)</f>
        <v>\"\\"\"\\\"\"\\"\"When Smoldering Werewolf enters the battlefield, it deals 1 damage to each of up to two target creatures.
{4}{R}{R}: Transform Smoldering Werewolf.\\\"\"\\"\"\\"\"\"</v>
      </c>
    </row>
    <row r="143" spans="1:9">
      <c r="A143" s="1">
        <v>143</v>
      </c>
      <c r="B143" s="1" t="s">
        <v>197</v>
      </c>
      <c r="D143" s="1">
        <f>VLOOKUP(B143,channelfireball!A:C,2,FALSE)</f>
        <v>2</v>
      </c>
      <c r="E143" s="1" t="str">
        <f>VLOOKUP(B143,channelfireball!A:C,3,FALSE)</f>
        <v>Some aggressive Limited decks aren’t interested in 7-mana spells at all. When you do choose to play with a 7-mana spell, you want to be winning the game a very high percentage of the time that you cast it. Thankfully, Spreading Flames passes that test. 6 damage divided as you choose can kill a troublesome bomb, massacre an army of tokens, or just take out 3 creatures for value. Any way you look at it, it ought to be a huge swing in your favor.Red is an aggressive color, so Spreading Flames won’t go in just any deck. But if you happen to have a U/R or B/R controlling draft deck, you’ll be happy to play 1 copy. In a Sealed deck, this is quite powerful, and can even be splashed if you have the right mana fixing.</v>
      </c>
      <c r="F143" s="1">
        <f>VLOOKUP(B143,smds!B:C,2,FALSE)</f>
        <v>1.4</v>
      </c>
      <c r="G143" s="1" t="str">
        <f>VLOOKUP(B143,oracle!A:D,2,FALSE)</f>
        <v>6R</v>
      </c>
      <c r="H143" s="1" t="str">
        <f>VLOOKUP(B143,oracle!A:D,3,FALSE)</f>
        <v>red</v>
      </c>
      <c r="I143" s="1" t="str">
        <f>VLOOKUP(B143,oracle!A:D,4,FALSE)</f>
        <v>Spreading Flames deals 6 damage divided as you choose among any number of target creatures.</v>
      </c>
    </row>
    <row r="144" spans="1:9">
      <c r="A144" s="1">
        <v>144</v>
      </c>
      <c r="B144" s="1" t="s">
        <v>198</v>
      </c>
      <c r="D144" s="1">
        <f>VLOOKUP(B144,channelfireball!A:C,2,FALSE)</f>
        <v>1.5</v>
      </c>
      <c r="E144" s="1" t="str">
        <f>VLOOKUP(B144,channelfireball!A:C,3,FALSE)</f>
        <v>A cantrip can never be that bad in Limited, but I don’t like this one very much. Dealing the opponent 2 or 3 damage and drawing a card usually won’t be worth 3 mana.And here’s some food for thought: When you have 3, 4, or more Vampires sticking on the battlefield, how many other cards could you find that would win you the game from that position?You’d have to be virtually mono-vampires before Stensia Banquet would threaten to actually be good, and even then it wouldn’t be great. I’d hope to play with this card less than half the time. Like I said, a cantrip can never be that bad, and I think you’ll mostly turn to this when the draft hasn’t gone well, and you just need to get to 22 playables without stretching into those 0.0 and 0.5 rated cards.</v>
      </c>
      <c r="F144" s="1">
        <f>VLOOKUP(B144,smds!B:C,2,FALSE)</f>
        <v>0.7</v>
      </c>
      <c r="G144" s="1" t="str">
        <f>VLOOKUP(B144,oracle!A:D,2,FALSE)</f>
        <v>2R</v>
      </c>
      <c r="H144" s="1" t="str">
        <f>VLOOKUP(B144,oracle!A:D,3,FALSE)</f>
        <v>red</v>
      </c>
      <c r="I144" s="1" t="str">
        <f>VLOOKUP(B144,oracle!A:D,4,FALSE)</f>
        <v>\"\\"\"\\\"\"\\"\"Stensia Banquet deals damage to target opponent equal to the number of Vampires you control.
Draw a card.\\\"\"\\"\"\\"\"\"</v>
      </c>
    </row>
    <row r="145" spans="1:9">
      <c r="A145" s="1">
        <v>145</v>
      </c>
      <c r="B145" s="1" t="s">
        <v>199</v>
      </c>
      <c r="D145" s="1">
        <f>VLOOKUP(B145,channelfireball!A:C,2,FALSE)</f>
        <v>2</v>
      </c>
      <c r="E145" s="1" t="str">
        <f>VLOOKUP(B145,channelfireball!A:C,3,FALSE)</f>
        <v>Stensia Innkeeper is a hill giant with the upside of forcing your opponent to play off-curve for a turn. The value of its effect will be largely random. Sometimes your opponent was going to play two 3-drop creatures in a row anyway, and locking down their land will do nothing. Other times they’ll be missing land drops, and you’ll force them to pass the turn without doing anything, which is absolutely huge.Overall, this is a slightly-above average card, and you’ll stay with the Innkeeper well over half the time. Especially when you’re looking for more Vampires to help with your tribal synergies, you’ll be happy to have this.</v>
      </c>
      <c r="F145" s="1">
        <f>VLOOKUP(B145,smds!B:C,2,FALSE)</f>
        <v>1</v>
      </c>
      <c r="G145" s="1" t="str">
        <f>VLOOKUP(B145,oracle!A:D,2,FALSE)</f>
        <v>3R</v>
      </c>
      <c r="H145" s="1" t="str">
        <f>VLOOKUP(B145,oracle!A:D,3,FALSE)</f>
        <v>red</v>
      </c>
      <c r="I145" s="1" t="str">
        <f>VLOOKUP(B145,oracle!A:D,4,FALSE)</f>
        <v>When Stensia Innkeeper enters the battlefield, tap target land an opponent controls. That land doesn't untap during its controller's next untap step.</v>
      </c>
    </row>
    <row r="146" spans="1:9">
      <c r="A146" s="1">
        <v>146</v>
      </c>
      <c r="B146" s="1" t="s">
        <v>200</v>
      </c>
      <c r="D146" s="1">
        <f>VLOOKUP(B146,channelfireball!A:C,2,FALSE)</f>
        <v>3</v>
      </c>
      <c r="E146" s="1" t="str">
        <f>VLOOKUP(B146,channelfireball!A:C,3,FALSE)</f>
        <v>Stromkirk Occultist is yet another premium, aggressive Vampire. With only 2 toughness, it’s relatively easy for the opponent to trade with, but trample means that you can still get value from triggering the ability.Stensia Masquerade, or any other card that makes it hard for the opponent to block, will help the Occultist go nuts, and this card is absurdly punishing against a player with a poor draw.Tack madness onto an already-premium creature and you have a card you’re thrilled to play in any red deck.</v>
      </c>
      <c r="F146" s="1">
        <f>VLOOKUP(B146,smds!B:C,2,FALSE)</f>
        <v>7.8</v>
      </c>
      <c r="G146" s="1" t="str">
        <f>VLOOKUP(B146,oracle!A:D,2,FALSE)</f>
        <v>2R</v>
      </c>
      <c r="H146" s="1" t="str">
        <f>VLOOKUP(B146,oracle!A:D,3,FALSE)</f>
        <v>red</v>
      </c>
      <c r="I146" s="1" t="str">
        <f>VLOOKUP(B146,oracle!A:D,4,FALSE)</f>
        <v>\"\\"\"\\\"\"\\"\"Trample
Whenever Stromkirk Occultist deals combat damage to a player, exile the top card of your library. Until end of turn, you may play that card.
Madness {1}{R} （If you discard this card, discard it into exile. When you do, cast it for its madness cost or put it into your graveyard.）\\\"\"\\"\"\\"\"\"</v>
      </c>
    </row>
    <row r="147" spans="1:9">
      <c r="A147" s="1">
        <v>147</v>
      </c>
      <c r="B147" s="1" t="s">
        <v>201</v>
      </c>
      <c r="D147" s="1">
        <f>VLOOKUP(B147,channelfireball!A:C,2,FALSE)</f>
        <v>2.5</v>
      </c>
      <c r="E147" s="1" t="str">
        <f>VLOOKUP(B147,channelfireball!A:C,3,FALSE)</f>
        <v>Thermo-Alchemist is very comparable to Lobber Crew, which was a solid Limited card. It doesn’t block as well, which is a downside, but it costs 1 less mana, which is great.At first glance, this looks like a build-around card, where you’ll have to play tons of spells to take full advantage. But I think simply pinging the opponent for one-and-a-half unblockable damage per turn is a good effect, and you don’t need to go crazy to make Thermo-Alchemist do work for you.If you have very few instants and sorceries, Thermo-Alchemist is cuttable, but I think it’ll be a solid card more often than not. Once you pick up 2 copies, you can start prioritizing average-quality instants and sorceries a little bit more than you normally would.</v>
      </c>
      <c r="F147" s="1">
        <f>VLOOKUP(B147,smds!B:C,2,FALSE)</f>
        <v>1.1000000000000001</v>
      </c>
      <c r="G147" s="1" t="str">
        <f>VLOOKUP(B147,oracle!A:D,2,FALSE)</f>
        <v>1R</v>
      </c>
      <c r="H147" s="1" t="str">
        <f>VLOOKUP(B147,oracle!A:D,3,FALSE)</f>
        <v>red</v>
      </c>
      <c r="I147" s="1" t="str">
        <f>VLOOKUP(B147,oracle!A:D,4,FALSE)</f>
        <v>\"\\"\"\\\"\"\\"\"Defender
{T}: Thermo-Alchemist deals 1 damage to each opponent.
Whenever you cast an instant or sorcery spell, untap Thermo-Alchemist.\\\"\"\\"\"\\"\"\"</v>
      </c>
    </row>
    <row r="148" spans="1:9">
      <c r="A148" s="1">
        <v>148</v>
      </c>
      <c r="B148" s="1" t="s">
        <v>302</v>
      </c>
      <c r="D148" s="1" t="e">
        <f>VLOOKUP(B148,channelfireball!A:C,2,FALSE)</f>
        <v>#N/A</v>
      </c>
      <c r="E148" s="1" t="e">
        <f>VLOOKUP(B148,channelfireball!A:C,3,FALSE)</f>
        <v>#N/A</v>
      </c>
      <c r="F148" s="1">
        <f>VLOOKUP(B148,smds!B:C,2,FALSE)</f>
        <v>1.2</v>
      </c>
      <c r="G148" s="1" t="str">
        <f>VLOOKUP(B148,oracle!A:D,2,FALSE)</f>
        <v>4R</v>
      </c>
      <c r="H148" s="1" t="str">
        <f>VLOOKUP(B148,oracle!A:D,3,FALSE)</f>
        <v>red</v>
      </c>
      <c r="I148" s="1" t="str">
        <f>VLOOKUP(B148,oracle!A:D,4,FALSE)</f>
        <v>\"\\"\"\\\"\"\\"\"Trample
{R}: Vildin-Pack Outcast gets +1/-1 until end of turn.
{5}{R}{R}: Transform Vildin-Pack Outcast.\\\"\"\\"\"\\"\"\"</v>
      </c>
    </row>
    <row r="149" spans="1:9">
      <c r="A149" s="1">
        <v>149</v>
      </c>
      <c r="B149" s="1" t="s">
        <v>203</v>
      </c>
      <c r="D149" s="1">
        <f>VLOOKUP(B149,channelfireball!A:C,2,FALSE)</f>
        <v>3</v>
      </c>
      <c r="E149" s="1" t="str">
        <f>VLOOKUP(B149,channelfireball!A:C,3,FALSE)</f>
        <v>Weaver of Lightning has the potential to be an extremely powerful card. It’s a great payoff for drafting a UR Spells deck, and even out of more average decks, certain opponents will have a very hard time beating Weaver of Lightning.As a 1/4 reach, Weaver of Lightning stands as a strong blocker even without its triggered ability. Most decks have some 1 toughness creatures, so even the occasional spell might take out a weenie creature or finish off a weakened blocker here and there. Where Weaver of Lightning begins to get really insane, though, is when you can reliably cast multiple instants and sorceries in the same turn in order to shoot down 2 toughness guys.I’d still err on the side of picking premium burn spells over Weaver of Lightning early in the draft. And in your aggressive red decks without a lot of spells, Weaver of Lightning will be relegated to being a strong sideboard card. But this is an extremely good, powerful card that’s worth picking highly.</v>
      </c>
      <c r="F149" s="1">
        <f>VLOOKUP(B149,smds!B:C,2,FALSE)</f>
        <v>1.4</v>
      </c>
      <c r="G149" s="1" t="str">
        <f>VLOOKUP(B149,oracle!A:D,2,FALSE)</f>
        <v>2R</v>
      </c>
      <c r="H149" s="1" t="str">
        <f>VLOOKUP(B149,oracle!A:D,3,FALSE)</f>
        <v>red</v>
      </c>
      <c r="I149" s="1" t="str">
        <f>VLOOKUP(B149,oracle!A:D,4,FALSE)</f>
        <v>\"\\"\"\\\"\"\\"\"Reach
Whenever you cast an instant or sorcery spell, Weaver of Lightning deals 1 damage to target creature an opponent controls.\\\"\"\\"\"\\"\"\"</v>
      </c>
    </row>
    <row r="150" spans="1:9">
      <c r="A150" s="1">
        <v>150</v>
      </c>
      <c r="B150" s="1" t="s">
        <v>204</v>
      </c>
      <c r="D150" s="1">
        <f>VLOOKUP(B150,channelfireball!A:C,2,FALSE)</f>
        <v>2.5</v>
      </c>
      <c r="E150" s="1" t="str">
        <f>VLOOKUP(B150,channelfireball!A:C,3,FALSE)</f>
        <v>4 mana for a 4/3 is already a rock-solid Limited card. With a large potential bonus on top of that, Backwoods Survivalists looks excellent. A creature that can attack as a 5/4 trample this early in the game is a creature to really pay attention to.In an average deck, this is a 4/3 creature with the potential to grow a little bigger in the late game. In a dedicated delirium deck, you’re getting a giant, trampling creature way ahead of schedule. Backwoods Survivalists will rarely get cut, and is a pretty solid payoff for drafting delirium (at least when it comes to commons).</v>
      </c>
      <c r="F150" s="1">
        <f>VLOOKUP(B150,smds!B:C,2,FALSE)</f>
        <v>1.1000000000000001</v>
      </c>
      <c r="G150" s="1" t="str">
        <f>VLOOKUP(B150,oracle!A:D,2,FALSE)</f>
        <v>3G</v>
      </c>
      <c r="H150" s="1" t="str">
        <f>VLOOKUP(B150,oracle!A:D,3,FALSE)</f>
        <v>green</v>
      </c>
      <c r="I150" s="1" t="str">
        <f>VLOOKUP(B150,oracle!A:D,4,FALSE)</f>
        <v>Delirium --- Backwoods Survivalists gets +1/+1 and has trample as long as there are four or more card types among cards in your graveyard.</v>
      </c>
    </row>
    <row r="151" spans="1:9">
      <c r="A151" s="1">
        <v>151</v>
      </c>
      <c r="B151" s="1" t="s">
        <v>205</v>
      </c>
      <c r="D151" s="1">
        <f>VLOOKUP(B151,channelfireball!A:C,2,FALSE)</f>
        <v>2.5</v>
      </c>
      <c r="E151" s="1" t="str">
        <f>VLOOKUP(B151,channelfireball!A:C,3,FALSE)</f>
        <v>There aren’t a lot of repeatable ways to sacrifice permanents, but there are a handful of permanents with abilities that require you to sacrifice them, and there’s the emerge mechanic.I think the most common home for Bloodbriar will be as a filler creature in a deck with 2-4 ways to sacrifice other permanents. In this case, it’ll start as a 2/3 with a reasonable ability to grow into a 3/4 a little later in the game―a fine filler card. Once you get multiples, you can start going out of your way to make them better. With 2 Bloodbriars, you’ll be happy to pick up a Warped Landscape in the Shadows over Innistrad pack―just as one example.If the stars align and you’re actually able to build a “sacrifice deck,” then this is a great payoff. Interestingly, it might be white, and not black, that gives you the best weapons to pair with Bloodbriar. Extricator of Sin and Lunarch Mantle are two of the best ways to sacrifice permanents in Eldritch Moon.</v>
      </c>
      <c r="F151" s="1">
        <f>VLOOKUP(B151,smds!B:C,2,FALSE)</f>
        <v>1</v>
      </c>
      <c r="G151" s="1" t="str">
        <f>VLOOKUP(B151,oracle!A:D,2,FALSE)</f>
        <v>2G</v>
      </c>
      <c r="H151" s="1" t="str">
        <f>VLOOKUP(B151,oracle!A:D,3,FALSE)</f>
        <v>green</v>
      </c>
      <c r="I151" s="1" t="str">
        <f>VLOOKUP(B151,oracle!A:D,4,FALSE)</f>
        <v>Whenever you sacrifice another permanent, put a +1/+1 counter on Bloodbriar.</v>
      </c>
    </row>
    <row r="152" spans="1:9">
      <c r="A152" s="1">
        <v>152</v>
      </c>
      <c r="B152" s="1" t="s">
        <v>206</v>
      </c>
      <c r="D152" s="1">
        <f>VLOOKUP(B152,channelfireball!A:C,2,FALSE)</f>
        <v>3.5</v>
      </c>
      <c r="E152" s="1" t="str">
        <f>VLOOKUP(B152,channelfireball!A:C,3,FALSE)</f>
        <v>Rabid Bite was one of the best commons in Shadows over Innistrad. Clear Shot costs an additional mana, but it offers +1/+1 and―more importantly―is an instant.Clearly, this is a great card. It’s a premium removal spell, and does a better job killing big monsters than most of the removal in black and red. It’s conceivable that this could even do double-duty by serving as both a trick to help a creature win in combat and a removal spell to take out one of the opponent’s other creatures.Keep in mind, Clear Shot only deals damage to the opponent’s creature―it’s not a fight spell like Prey Upon.</v>
      </c>
      <c r="F152" s="1">
        <f>VLOOKUP(B152,smds!B:C,2,FALSE)</f>
        <v>2.7</v>
      </c>
      <c r="G152" s="1" t="str">
        <f>VLOOKUP(B152,oracle!A:D,2,FALSE)</f>
        <v>2G</v>
      </c>
      <c r="H152" s="1" t="str">
        <f>VLOOKUP(B152,oracle!A:D,3,FALSE)</f>
        <v>green</v>
      </c>
      <c r="I152" s="1" t="str">
        <f>VLOOKUP(B152,oracle!A:D,4,FALSE)</f>
        <v>Target creature you control gets +1/+1 until end of turn. It deals damage equal to its power to target creature you don't control.</v>
      </c>
    </row>
    <row r="153" spans="1:9">
      <c r="A153" s="1">
        <v>153</v>
      </c>
      <c r="B153" s="1" t="s">
        <v>207</v>
      </c>
      <c r="D153" s="1">
        <f>VLOOKUP(B153,channelfireball!A:C,2,FALSE)</f>
        <v>1.5</v>
      </c>
      <c r="E153" s="1" t="str">
        <f>VLOOKUP(B153,channelfireball!A:C,3,FALSE)</f>
        <v>Crop Sigil will help you achieve delirium, but it’s pretty slow at its job. Crawling Sensation dumped 2 cards in the graveyard per turn, and gave you value while it was at it. Crop Sigil has to sit in play for a bunch of turns in order to fill your graveyard, and doesn’t actually do anything until you’re ready to sacrifice it.Still, this is a decent card since you can play it early and sit on it for awhile. If you draw it in the late game, you can spend 4 mana to cash it in right away for a reasonable effect.</v>
      </c>
      <c r="F153" s="1">
        <f>VLOOKUP(B153,smds!B:C,2,FALSE)</f>
        <v>0.9</v>
      </c>
      <c r="G153" s="1" t="str">
        <f>VLOOKUP(B153,oracle!A:D,2,FALSE)</f>
        <v>G</v>
      </c>
      <c r="H153" s="1" t="str">
        <f>VLOOKUP(B153,oracle!A:D,3,FALSE)</f>
        <v>green</v>
      </c>
      <c r="I153" s="1" t="str">
        <f>VLOOKUP(B153,oracle!A:D,4,FALSE)</f>
        <v>\"\\"\"\\\"\"\\"\"At the beginning of your upkeep, you may put the top card of your library into your graveyard.
Delirium --- {2}{G}, Sacrifice Crop Sigil: Return up to one target creature card and up to one target land card from your graveyard to your hand. Activate this ability only if there are four or more card types among cards in your graveyard.\\\"\"\\"\"\\"\"\"</v>
      </c>
    </row>
    <row r="154" spans="1:9">
      <c r="A154" s="1">
        <v>154</v>
      </c>
      <c r="B154" s="1" t="s">
        <v>208</v>
      </c>
      <c r="D154" s="1">
        <f>VLOOKUP(B154,channelfireball!A:C,2,FALSE)</f>
        <v>1</v>
      </c>
      <c r="E154" s="1" t="str">
        <f>VLOOKUP(B154,channelfireball!A:C,3,FALSE)</f>
        <v>Say it 10 times fast! “Crossroad Consecrators constantly complicate combat.”Anointer of Champions was a good card in very aggressive decks, but that was in Magic Origins, where a major goal was to punch your renowned creatures through blockers. More importantly, the Anointer and the Consecrator have the type of effect that you really don’t want to have to commit mana towards. The strength of a creature like this is to sit on the table and passively offer extra damage and make things difficult on the opponent. If you have to play off-curve in order to activate it, the value drops off very quickly.Crossroad Consecrator is still passable if you’re aggressive and most of your creatures are Humans. It also helps that he’s a Human himself. Overall, however, this shouldn’t be a high pick.</v>
      </c>
      <c r="F154" s="1">
        <f>VLOOKUP(B154,smds!B:C,2,FALSE)</f>
        <v>0.9</v>
      </c>
      <c r="G154" s="1" t="str">
        <f>VLOOKUP(B154,oracle!A:D,2,FALSE)</f>
        <v>G</v>
      </c>
      <c r="H154" s="1" t="str">
        <f>VLOOKUP(B154,oracle!A:D,3,FALSE)</f>
        <v>green</v>
      </c>
      <c r="I154" s="1" t="str">
        <f>VLOOKUP(B154,oracle!A:D,4,FALSE)</f>
        <v>{G}, {T}: Target attacking Human gets +1/+1 until end of turn.</v>
      </c>
    </row>
    <row r="155" spans="1:9">
      <c r="A155" s="1">
        <v>155</v>
      </c>
      <c r="B155" s="1" t="s">
        <v>210</v>
      </c>
      <c r="D155" s="1" t="str">
        <f>VLOOKUP(B155,channelfireball!A:C,2,FALSE)</f>
        <v>0.5/2.5</v>
      </c>
      <c r="E155" s="1" t="str">
        <f>VLOOKUP(B155,channelfireball!A:C,3,FALSE)</f>
        <v>Eldritch Evolution is card disadvantage, so under normal circumstances you should avoid it. However, if you wind up with an incredible bomb creature like Ishkanah, Grafwidow, then Eldritch Evolution will increase your chances of getting it into play.I think you can mostly ignore Eldritch Evolution, and in the rare cases where your deck wants it, you’ll know.</v>
      </c>
      <c r="F155" s="1">
        <f>VLOOKUP(B155,smds!B:C,2,FALSE)</f>
        <v>5.0999999999999996</v>
      </c>
      <c r="G155" s="1" t="str">
        <f>VLOOKUP(B155,oracle!A:D,2,FALSE)</f>
        <v>1GG</v>
      </c>
      <c r="H155" s="1" t="str">
        <f>VLOOKUP(B155,oracle!A:D,3,FALSE)</f>
        <v>green</v>
      </c>
      <c r="I155" s="1" t="str">
        <f>VLOOKUP(B155,oracle!A:D,4,FALSE)</f>
        <v>\"\\"\"\\\"\"\\"\"As an additional cost to cast Eldritch Evolution, sacrifice a creature.
Search your library for a creature card with converted mana cost X or less, where X is 2 plus the sacrificed creature's converted mana cost. Put that card onto the battlefield, then shuffle your library. Exile Eldritch Evolution.\\\"\"\\"\"\\"\"\"</v>
      </c>
    </row>
    <row r="156" spans="1:9">
      <c r="A156" s="1">
        <v>156</v>
      </c>
      <c r="B156" s="1" t="s">
        <v>282</v>
      </c>
      <c r="D156" s="1" t="e">
        <f>VLOOKUP(B156,channelfireball!A:C,2,FALSE)</f>
        <v>#N/A</v>
      </c>
      <c r="E156" s="1" t="e">
        <f>VLOOKUP(B156,channelfireball!A:C,3,FALSE)</f>
        <v>#N/A</v>
      </c>
      <c r="F156" s="1">
        <f>VLOOKUP(B156,smds!B:C,2,FALSE)</f>
        <v>6.8</v>
      </c>
      <c r="G156" s="1" t="str">
        <f>VLOOKUP(B156,oracle!A:D,2,FALSE)</f>
        <v>2G</v>
      </c>
      <c r="H156" s="1" t="str">
        <f>VLOOKUP(B156,oracle!A:D,3,FALSE)</f>
        <v>green</v>
      </c>
      <c r="I156" s="1" t="str">
        <f>VLOOKUP(B156,oracle!A:D,4,FALSE)</f>
        <v>{T}, Sacrifice Emrakul's Evangel and any number of other non-Eldrazi creatures: Put a 3/2 colorless Eldrazi Horror creature token onto the battlefield for each creature sacrificed this way.</v>
      </c>
    </row>
    <row r="157" spans="1:9">
      <c r="A157" s="1">
        <v>157</v>
      </c>
      <c r="B157" s="1" t="s">
        <v>311</v>
      </c>
      <c r="D157" s="1" t="e">
        <f>VLOOKUP(B157,channelfireball!A:C,2,FALSE)</f>
        <v>#N/A</v>
      </c>
      <c r="E157" s="1" t="e">
        <f>VLOOKUP(B157,channelfireball!A:C,3,FALSE)</f>
        <v>#N/A</v>
      </c>
      <c r="F157" s="1">
        <f>VLOOKUP(B157,smds!B:C,2,FALSE)</f>
        <v>0.7</v>
      </c>
      <c r="G157" s="1" t="str">
        <f>VLOOKUP(B157,oracle!A:D,2,FALSE)</f>
        <v>2GG</v>
      </c>
      <c r="H157" s="1" t="str">
        <f>VLOOKUP(B157,oracle!A:D,3,FALSE)</f>
        <v>green</v>
      </c>
      <c r="I157" s="1" t="str">
        <f>VLOOKUP(B157,oracle!A:D,4,FALSE)</f>
        <v>Whenever you cast an Eldrazi creature spell with converted mana cost 7 or greater, draw two cards.</v>
      </c>
    </row>
    <row r="158" spans="1:9">
      <c r="A158" s="1">
        <v>158</v>
      </c>
      <c r="B158" s="1" t="s">
        <v>214</v>
      </c>
      <c r="D158" s="1">
        <f>VLOOKUP(B158,channelfireball!A:C,2,FALSE)</f>
        <v>2.5</v>
      </c>
      <c r="E158" s="1" t="str">
        <f>VLOOKUP(B158,channelfireball!A:C,3,FALSE)</f>
        <v>In case you couldn’t take the hint with cards like Enlightened Maniac and Exultant Cultist, Foul Emissary is holding a big, flashing neon sign that says, “use me with emerge creatures!” And he’s very good at his job. Where emerge normally costs two cards to produce one creature, when you sacrifice Foul Emissary you’ve actually gained card advantage―you get a creature in your hand, a 3/2 token, and a giant Eldrazi on the battlefield.This is simply a very good card. The enters-the-battlefield ability on Foul Emissary is better than drawing a card, making him a good chump blocker that replaces himself well.If you have even one creature with emerge, this is a slam dunk, and I also think it’s fine to play Foul Emissary with no emerge just for the enters-the-battlefield trigger. If you suspect you’re going to end up with multiple emerge creatures, this should be a high pick.</v>
      </c>
      <c r="F158" s="1">
        <f>VLOOKUP(B158,smds!B:C,2,FALSE)</f>
        <v>2.1</v>
      </c>
      <c r="G158" s="1" t="str">
        <f>VLOOKUP(B158,oracle!A:D,2,FALSE)</f>
        <v>2G</v>
      </c>
      <c r="H158" s="1" t="str">
        <f>VLOOKUP(B158,oracle!A:D,3,FALSE)</f>
        <v>green</v>
      </c>
      <c r="I158" s="1" t="str">
        <f>VLOOKUP(B158,oracle!A:D,4,FALSE)</f>
        <v>\"\\"\"\\\"\"\\"\"When Foul Emissary enters the battlefield, look at the top four cards of your library. You may reveal a creature card from among them and put it into your hand. Put the rest on the bottom of your library in any order.
When you sacrifice Foul Emissary while casting a spell with emerge, put a 3/2 colorless Eldrazi Horror creature token onto the battlefield.\\\"\"\\"\"\\"\"\"</v>
      </c>
    </row>
    <row r="159" spans="1:9">
      <c r="A159" s="1">
        <v>159</v>
      </c>
      <c r="B159" s="1" t="s">
        <v>215</v>
      </c>
      <c r="D159" s="1">
        <f>VLOOKUP(B159,channelfireball!A:C,2,FALSE)</f>
        <v>2</v>
      </c>
      <c r="E159" s="1" t="str">
        <f>VLOOKUP(B159,channelfireball!A:C,3,FALSE)</f>
        <v>Gnarlwood Dryad is a Sedge Scorpion for most practical purposes. Small deathtouch creatures tend to trade up the curve anyway, so whether Gnarlroot Dryad is a 1/1 or a 3/3, it’s likely to trade with a Brazen Wolves or an Ingenious Skaab either way. That said, Sedge Scorpion rocks, and I’ll put this card in basically all of my green decks!</v>
      </c>
      <c r="F159" s="1">
        <f>VLOOKUP(B159,smds!B:C,2,FALSE)</f>
        <v>2</v>
      </c>
      <c r="G159" s="1" t="str">
        <f>VLOOKUP(B159,oracle!A:D,2,FALSE)</f>
        <v>G</v>
      </c>
      <c r="H159" s="1" t="str">
        <f>VLOOKUP(B159,oracle!A:D,3,FALSE)</f>
        <v>green</v>
      </c>
      <c r="I159" s="1" t="str">
        <f>VLOOKUP(B159,oracle!A:D,4,FALSE)</f>
        <v>\"\\"\"\\\"\"\\"\"Deathtouch
Delirium --- Gnarlwood Dryad gets +2/+2 as long as there are four or more card types among cards in your graveyard.\\\"\"\\"\"\\"\"\"</v>
      </c>
    </row>
    <row r="160" spans="1:9">
      <c r="A160" s="1">
        <v>160</v>
      </c>
      <c r="B160" s="1" t="s">
        <v>307</v>
      </c>
      <c r="D160" s="1">
        <f>VLOOKUP(B160,channelfireball!A:C,2,FALSE)</f>
        <v>2</v>
      </c>
      <c r="E160" s="1" t="str">
        <f>VLOOKUP(B160,channelfireball!A:C,3,FALSE)</f>
        <v>In the past, I’ve always been a big fan of Raise Dead effects. But in this Limited format, I’m grappling with the idea that they’re so plentiful that they won’t be worth high picks. BG is the color combination that would want Grapple with the Past the most, but in that archetype you could just as easily play Cemetery Recruitment, Macabre Waltz, or Rise from the Grave.Grapple With the Past is a strong card, and has a nice home in the green delirium decks, but doesn’t need to be a high priority.</v>
      </c>
      <c r="F160" s="1">
        <f>VLOOKUP(B160,smds!B:C,2,FALSE)</f>
        <v>1</v>
      </c>
      <c r="G160" s="1" t="str">
        <f>VLOOKUP(B160,oracle!A:D,2,FALSE)</f>
        <v>1G</v>
      </c>
      <c r="H160" s="1" t="str">
        <f>VLOOKUP(B160,oracle!A:D,3,FALSE)</f>
        <v>green</v>
      </c>
      <c r="I160" s="1" t="str">
        <f>VLOOKUP(B160,oracle!A:D,4,FALSE)</f>
        <v>Put the top three cards of your library into your graveyard, then you may return a creature or land card from your graveyard to your hand.</v>
      </c>
    </row>
    <row r="161" spans="1:9">
      <c r="A161" s="1">
        <v>161</v>
      </c>
      <c r="B161" s="1" t="s">
        <v>217</v>
      </c>
      <c r="D161" s="1">
        <f>VLOOKUP(B161,channelfireball!A:C,2,FALSE)</f>
        <v>3</v>
      </c>
      <c r="E161" s="1" t="str">
        <f>VLOOKUP(B161,channelfireball!A:C,3,FALSE)</f>
        <v>In original Innistrad, this was a staple of WG Aggro―the archetype that many players felt was the best in the format. Hamlet Captain has still got moves in Eldritch Moon, being one the cheapest, most direct, and most efficient payoffs for drafting a Human aggro deck.White and green are the colors with the most Humans, and Human tribal is a major theme of the color combination. But there are Humans in every color, and the Shadows over Innistrad Werewolves are even Humans on the front side, making Hamlet Captain powerful in a variety of decks.While not a bomb, Hamlet Captain is a very good 2-drop creature that ought to be a priority for aggressive green decks, especially when paired with white.</v>
      </c>
      <c r="F161" s="1">
        <f>VLOOKUP(B161,smds!B:C,2,FALSE)</f>
        <v>2.2000000000000002</v>
      </c>
      <c r="G161" s="1" t="str">
        <f>VLOOKUP(B161,oracle!A:D,2,FALSE)</f>
        <v>1G</v>
      </c>
      <c r="H161" s="1" t="str">
        <f>VLOOKUP(B161,oracle!A:D,3,FALSE)</f>
        <v>green</v>
      </c>
      <c r="I161" s="1" t="str">
        <f>VLOOKUP(B161,oracle!A:D,4,FALSE)</f>
        <v>Whenever Hamlet Captain attacks or blocks, other Humans you control get +1/+1 until end of turn.</v>
      </c>
    </row>
    <row r="162" spans="1:9">
      <c r="A162" s="1">
        <v>162</v>
      </c>
      <c r="B162" s="1" t="s">
        <v>218</v>
      </c>
      <c r="D162" s="1">
        <f>VLOOKUP(B162,channelfireball!A:C,2,FALSE)</f>
        <v>4.5</v>
      </c>
      <c r="E162" s="1" t="str">
        <f>VLOOKUP(B162,channelfireball!A:C,3,FALSE)</f>
        <v>Here’s the newest creature to follow in the footsteps of Siege-Gang Commander, Cloudgoat Ranger, and Pia and Kiran Nalaar. Ishkanah, Grafwidow can easily hold a candle (or 8) to all of them.Her high toughness and reach help stabilize the board immediately, and the fact that her Spider tokens are 1/2s makes them resistant to many of the normal anti-token measures. Pair stabilizing the board with a deadly activated ability to sit behind, and you have a creature that can win the game all on its own.Ishkanah, Grafwidow is probably the best payoff for delirium in the format. If you see her, windmill slamming and drafting GB delirium will usually be a great option. In particular, creatures like this are disgusting alongside recursion (like Grapple With the Past), and recursion happens to be a theme of the delirium decks.</v>
      </c>
      <c r="F162" s="1">
        <f>VLOOKUP(B162,smds!B:C,2,FALSE)</f>
        <v>10</v>
      </c>
      <c r="G162" s="1" t="str">
        <f>VLOOKUP(B162,oracle!A:D,2,FALSE)</f>
        <v>4G</v>
      </c>
      <c r="H162" s="1" t="str">
        <f>VLOOKUP(B162,oracle!A:D,3,FALSE)</f>
        <v>green</v>
      </c>
      <c r="I162" s="1" t="str">
        <f>VLOOKUP(B162,oracle!A:D,4,FALSE)</f>
        <v>\"\\"\"\\\"\"\\"\"Reach
Delirium --- When Ishkanah, Grafwidow enters the battlefield, if there are four or more card types among cards in your graveyard, put three 1/2 green Spider creature tokens with reach onto the battlefield.
{6}{B}: Target opponent loses 1 life for each Spider you control.\\\"\"\\"\"\\"\"\"</v>
      </c>
    </row>
    <row r="163" spans="1:9">
      <c r="A163" s="1">
        <v>163</v>
      </c>
      <c r="B163" s="1" t="s">
        <v>288</v>
      </c>
      <c r="D163" s="1" t="e">
        <f>VLOOKUP(B163,channelfireball!A:C,2,FALSE)</f>
        <v>#N/A</v>
      </c>
      <c r="E163" s="1" t="e">
        <f>VLOOKUP(B163,channelfireball!A:C,3,FALSE)</f>
        <v>#N/A</v>
      </c>
      <c r="F163" s="1">
        <f>VLOOKUP(B163,smds!B:C,2,FALSE)</f>
        <v>2</v>
      </c>
      <c r="G163" s="1" t="str">
        <f>VLOOKUP(B163,oracle!A:D,2,FALSE)</f>
        <v>G</v>
      </c>
      <c r="H163" s="1" t="str">
        <f>VLOOKUP(B163,oracle!A:D,3,FALSE)</f>
        <v>green</v>
      </c>
      <c r="I163" s="1" t="str">
        <f>VLOOKUP(B163,oracle!A:D,4,FALSE)</f>
        <v>{4}{G}: Transform Kessig Prowler.</v>
      </c>
    </row>
    <row r="164" spans="1:9">
      <c r="A164" s="1">
        <v>164</v>
      </c>
      <c r="B164" s="1" t="s">
        <v>222</v>
      </c>
      <c r="D164" s="1">
        <f>VLOOKUP(B164,channelfireball!A:C,2,FALSE)</f>
        <v>3</v>
      </c>
      <c r="E164" s="1" t="str">
        <f>VLOOKUP(B164,channelfireball!A:C,3,FALSE)</f>
        <v>We’ve come a long way since?Wild Mongrel was the best creature in Magic. But in Limited―and particularly in a format with madness―Noose Constrictor is still an excellent card. Reach is even a nice addition since the Odyssey days.This is both a great beater and a cheap way for slower green decks to defend themselves against UW Flying Spirits which look powerful in Eldritch Moon.</v>
      </c>
      <c r="F164" s="1">
        <f>VLOOKUP(B164,smds!B:C,2,FALSE)</f>
        <v>2.2999999999999998</v>
      </c>
      <c r="G164" s="1" t="str">
        <f>VLOOKUP(B164,oracle!A:D,2,FALSE)</f>
        <v>1G</v>
      </c>
      <c r="H164" s="1" t="str">
        <f>VLOOKUP(B164,oracle!A:D,3,FALSE)</f>
        <v>green</v>
      </c>
      <c r="I164" s="1" t="str">
        <f>VLOOKUP(B164,oracle!A:D,4,FALSE)</f>
        <v>\"\\"\"\\\"\"\\"\"Reach
Discard a card: Noose Constrictor gets +1/+1 until end of turn.\\\"\"\\"\"\\"\"\"</v>
      </c>
    </row>
    <row r="165" spans="1:9">
      <c r="A165" s="1">
        <v>165</v>
      </c>
      <c r="B165" s="1" t="s">
        <v>223</v>
      </c>
      <c r="D165" s="1">
        <f>VLOOKUP(B165,channelfireball!A:C,2,FALSE)</f>
        <v>2</v>
      </c>
      <c r="E165" s="1" t="str">
        <f>VLOOKUP(B165,channelfireball!A:C,3,FALSE)</f>
        <v>Permeating Mass is a fancy rare that, for practical purposes, will wind up playing similarly to Gnarlwood Dryad. Your opponent won’t want to attack his or her big creatures into the Mass. But be careful about putting it into combat against disposable 2-toughness creatures because you’ll wind up giving your opponent Permeating Masses to hold off your creatures!Most games, this thing will stay home and hold down the fort. Every once in a while, though, it might cause a game to get very, very weird…</v>
      </c>
      <c r="F165" s="1">
        <f>VLOOKUP(B165,smds!B:C,2,FALSE)</f>
        <v>2.8</v>
      </c>
      <c r="G165" s="1" t="str">
        <f>VLOOKUP(B165,oracle!A:D,2,FALSE)</f>
        <v>G</v>
      </c>
      <c r="H165" s="1" t="str">
        <f>VLOOKUP(B165,oracle!A:D,3,FALSE)</f>
        <v>green</v>
      </c>
      <c r="I165" s="1" t="str">
        <f>VLOOKUP(B165,oracle!A:D,4,FALSE)</f>
        <v>Whenever Permeating Mass deals combat damage to a creature, that creature becomes a copy of Permeating Mass.</v>
      </c>
    </row>
    <row r="166" spans="1:9">
      <c r="A166" s="1">
        <v>166</v>
      </c>
      <c r="B166" s="1" t="s">
        <v>224</v>
      </c>
      <c r="D166" s="1">
        <f>VLOOKUP(B166,channelfireball!A:C,2,FALSE)</f>
        <v>3</v>
      </c>
      <c r="E166" s="1" t="str">
        <f>VLOOKUP(B166,channelfireball!A:C,3,FALSE)</f>
        <v>Prey Upon is a reprint from original Innistrad, where it was one of the strongest green commons. It will be no different here, letting green’s giant Werewolves take out opposing creatures on the cheap. Just remember that, unlike Rabid Bite, your creature will take damage back from whatever opposing creature you’re trying to kill.</v>
      </c>
      <c r="F166" s="1">
        <f>VLOOKUP(B166,smds!B:C,2,FALSE)</f>
        <v>1.3</v>
      </c>
      <c r="G166" s="1" t="str">
        <f>VLOOKUP(B166,oracle!A:D,2,FALSE)</f>
        <v>G</v>
      </c>
      <c r="H166" s="1" t="str">
        <f>VLOOKUP(B166,oracle!A:D,3,FALSE)</f>
        <v>green</v>
      </c>
      <c r="I166" s="1" t="str">
        <f>VLOOKUP(B166,oracle!A:D,4,FALSE)</f>
        <v>Target creature you control fights target creature you don't control.</v>
      </c>
    </row>
    <row r="167" spans="1:9">
      <c r="A167" s="1">
        <v>167</v>
      </c>
      <c r="B167" s="1" t="s">
        <v>225</v>
      </c>
      <c r="D167" s="1">
        <f>VLOOKUP(B167,channelfireball!A:C,2,FALSE)</f>
        <v>1.5</v>
      </c>
      <c r="E167" s="1" t="str">
        <f>VLOOKUP(B167,channelfireball!A:C,3,FALSE)</f>
        <v>Primal Druid is a solid defensive card against opponents who are trying to attack you on the ground. As a 2-drop, it can hold the ground for a while, and you’ll usually be happy if it winds up dying in combat.Unfortunately, Primal Druid will be poor in aggressive decks, poor if your opponent is controlling, and poor if they’re attacking you with flying creatures. This is a relatively useful card, but shouldn’t be a high pick.</v>
      </c>
      <c r="F167" s="1">
        <f>VLOOKUP(B167,smds!B:C,2,FALSE)</f>
        <v>1</v>
      </c>
      <c r="G167" s="1" t="str">
        <f>VLOOKUP(B167,oracle!A:D,2,FALSE)</f>
        <v>1G</v>
      </c>
      <c r="H167" s="1" t="str">
        <f>VLOOKUP(B167,oracle!A:D,3,FALSE)</f>
        <v>green</v>
      </c>
      <c r="I167" s="1" t="str">
        <f>VLOOKUP(B167,oracle!A:D,4,FALSE)</f>
        <v>When Primal Druid dies, you may search your library for a basic land card, put it onto the battlefield tapped, then shuffle your library.</v>
      </c>
    </row>
    <row r="168" spans="1:9">
      <c r="A168" s="1">
        <v>168</v>
      </c>
      <c r="B168" s="1" t="s">
        <v>287</v>
      </c>
      <c r="D168" s="1" t="e">
        <f>VLOOKUP(B168,channelfireball!A:C,2,FALSE)</f>
        <v>#N/A</v>
      </c>
      <c r="E168" s="1" t="e">
        <f>VLOOKUP(B168,channelfireball!A:C,3,FALSE)</f>
        <v>#N/A</v>
      </c>
      <c r="F168" s="1">
        <f>VLOOKUP(B168,smds!B:C,2,FALSE)</f>
        <v>2.2999999999999998</v>
      </c>
      <c r="G168" s="1" t="str">
        <f>VLOOKUP(B168,oracle!A:D,2,FALSE)</f>
        <v>2G</v>
      </c>
      <c r="H168" s="1" t="str">
        <f>VLOOKUP(B168,oracle!A:D,3,FALSE)</f>
        <v>green</v>
      </c>
      <c r="I168" s="1" t="str">
        <f>VLOOKUP(B168,oracle!A:D,4,FALSE)</f>
        <v>\"\\"\"\\\"\"\\"\"Creatures with power less than Shrill Howler's power can't block it.
{5}{G}: Transform Shrill Howler.\\\"\"\\"\"\\"\"\"</v>
      </c>
    </row>
    <row r="169" spans="1:9">
      <c r="A169" s="1">
        <v>169</v>
      </c>
      <c r="B169" s="1" t="s">
        <v>227</v>
      </c>
      <c r="D169" s="1">
        <f>VLOOKUP(B169,channelfireball!A:C,2,FALSE)</f>
        <v>3.5</v>
      </c>
      <c r="E169" s="1" t="str">
        <f>VLOOKUP(B169,channelfireball!A:C,3,FALSE)</f>
        <v>Somberwald Stag is like a Flametongue Kavu for little creatures. If you can cast this card and fight something like a Dawn Gryff, then you have a borderline bomb card capable of swinging a game in your favor. At only 3 toughness, it’s not terribly easy to kill a relevant creature while keeping the Stag out of danger. Remember, though, that you can always use this as a 5-mana removal spell to trade with a 4/4 if you need to.Overall, Somberwald Stag looks like an excellent card, and will probably prove to be stronger than the majority of rares in the set.</v>
      </c>
      <c r="F169" s="1">
        <f>VLOOKUP(B169,smds!B:C,2,FALSE)</f>
        <v>3.2</v>
      </c>
      <c r="G169" s="1" t="str">
        <f>VLOOKUP(B169,oracle!A:D,2,FALSE)</f>
        <v>3GG</v>
      </c>
      <c r="H169" s="1" t="str">
        <f>VLOOKUP(B169,oracle!A:D,3,FALSE)</f>
        <v>green</v>
      </c>
      <c r="I169" s="1" t="str">
        <f>VLOOKUP(B169,oracle!A:D,4,FALSE)</f>
        <v>When Somberwald Stag enters the battlefield, you may have it fight target creature you don't control.</v>
      </c>
    </row>
    <row r="170" spans="1:9">
      <c r="A170" s="1">
        <v>170</v>
      </c>
      <c r="B170" s="1" t="s">
        <v>228</v>
      </c>
      <c r="D170" s="1">
        <f>VLOOKUP(B170,channelfireball!A:C,2,FALSE)</f>
        <v>3.5</v>
      </c>
      <c r="E170" s="1" t="str">
        <f>VLOOKUP(B170,channelfireball!A:C,3,FALSE)</f>
        <v>If Spirit of the Hunt pumped itself up, it would be incredible. Instead, it’s merely great. 3 mana for a 3/3 flash can ambush an attacker nicely, especially since it’s a rare and the opponent usually won’t expect it. You can also use it to save your other Wolves and Werewolves from removal or from a hairy combat step.At its absolute worst, Spirit of the Hunt is a good, efficient creature. More often than not, I expect you’ll also be able to find a way for it to result in a 2-for-1 exchange.</v>
      </c>
      <c r="F170" s="1">
        <f>VLOOKUP(B170,smds!B:C,2,FALSE)</f>
        <v>6</v>
      </c>
      <c r="G170" s="1" t="str">
        <f>VLOOKUP(B170,oracle!A:D,2,FALSE)</f>
        <v>1GG</v>
      </c>
      <c r="H170" s="1" t="str">
        <f>VLOOKUP(B170,oracle!A:D,3,FALSE)</f>
        <v>green</v>
      </c>
      <c r="I170" s="1" t="str">
        <f>VLOOKUP(B170,oracle!A:D,4,FALSE)</f>
        <v>\"\\"\"\\\"\"\\"\"Flash
When Spirit of the Hunt enters the battlefield, each other creature you control that's a Wolf or a Werewolf gets +0/+3 until end of turn.\\\"\"\\"\"\\"\"\"</v>
      </c>
    </row>
    <row r="171" spans="1:9">
      <c r="A171" s="1">
        <v>171</v>
      </c>
      <c r="B171" s="1" t="s">
        <v>229</v>
      </c>
      <c r="D171" s="1">
        <f>VLOOKUP(B171,channelfireball!A:C,2,FALSE)</f>
        <v>0</v>
      </c>
      <c r="E171" s="1" t="str">
        <f>VLOOKUP(B171,channelfireball!A:C,3,FALSE)</f>
        <v>Even if you’ve already gone to the trouble of filling your graveyard with lands, Limited decks usually aren’t in a position to benefit from the jump from 7 to 11 lands on the 10th?turn of the game. The set-up costs are high and the rewards are low. Splendid Reclamation is a less-than-splendid Limited card.</v>
      </c>
      <c r="F171" s="1">
        <f>VLOOKUP(B171,smds!B:C,2,FALSE)</f>
        <v>0.8</v>
      </c>
      <c r="G171" s="1" t="str">
        <f>VLOOKUP(B171,oracle!A:D,2,FALSE)</f>
        <v>3G</v>
      </c>
      <c r="H171" s="1" t="str">
        <f>VLOOKUP(B171,oracle!A:D,3,FALSE)</f>
        <v>green</v>
      </c>
      <c r="I171" s="1" t="str">
        <f>VLOOKUP(B171,oracle!A:D,4,FALSE)</f>
        <v>Return all land cards from your graveyard to the battlefield tapped.</v>
      </c>
    </row>
    <row r="172" spans="1:9">
      <c r="A172" s="1">
        <v>172</v>
      </c>
      <c r="B172" s="1" t="s">
        <v>230</v>
      </c>
      <c r="D172" s="1">
        <f>VLOOKUP(B172,channelfireball!A:C,2,FALSE)</f>
        <v>1</v>
      </c>
      <c r="E172" s="1" t="str">
        <f>VLOOKUP(B172,channelfireball!A:C,3,FALSE)</f>
        <v>Here’s what I wrote about Ironwright’s Cleansing when I covered white: “Try not to maindeck Ironwright’s Cleansing, but there seem to be enough artifacts and enchantments in this Limited format that it wouldn’t be a complete catastrophe if you had to do so. Beyond that, it looks like a solid sideboard card.”Springsage Ritual is noticeably better than Ironwright’s Cleansing, but the evaluation is mostly the same. Try not to maindeck this, but pick one up for your sideboard.</v>
      </c>
      <c r="F172" s="1">
        <f>VLOOKUP(B172,smds!B:C,2,FALSE)</f>
        <v>0.8</v>
      </c>
      <c r="G172" s="1" t="str">
        <f>VLOOKUP(B172,oracle!A:D,2,FALSE)</f>
        <v>3G</v>
      </c>
      <c r="H172" s="1" t="str">
        <f>VLOOKUP(B172,oracle!A:D,3,FALSE)</f>
        <v>green</v>
      </c>
      <c r="I172" s="1" t="str">
        <f>VLOOKUP(B172,oracle!A:D,4,FALSE)</f>
        <v>Destroy target artifact or enchantment. You gain 4 life.</v>
      </c>
    </row>
    <row r="173" spans="1:9">
      <c r="A173" s="1">
        <v>173</v>
      </c>
      <c r="B173" s="1" t="s">
        <v>231</v>
      </c>
      <c r="D173" s="1">
        <f>VLOOKUP(B173,channelfireball!A:C,2,FALSE)</f>
        <v>1.5</v>
      </c>
      <c r="E173" s="1" t="str">
        <f>VLOOKUP(B173,channelfireball!A:C,3,FALSE)</f>
        <v>I would’ve been more excited about Swift Spinner in all-Shadows-over-Innistrad Limited, where you could pass with a flash creature in order to transform all of your Werewolves. Unfortunately, Werewolves have found a new method of transforming in Eldritch Moon, and Swift Spinner cannot help them.As it stands, the Spider has below-average stats, and generally isn’t that exciting. The fact that UW Spirits appears to be a strong archetype in Eldritch Moon will make this useful, especially for slower green decks. This is just a filler card, and is generally worse than Watcher in the Web.</v>
      </c>
      <c r="F173" s="1">
        <f>VLOOKUP(B173,smds!B:C,2,FALSE)</f>
        <v>1</v>
      </c>
      <c r="G173" s="1" t="str">
        <f>VLOOKUP(B173,oracle!A:D,2,FALSE)</f>
        <v>3G</v>
      </c>
      <c r="H173" s="1" t="str">
        <f>VLOOKUP(B173,oracle!A:D,3,FALSE)</f>
        <v>green</v>
      </c>
      <c r="I173" s="1" t="str">
        <f>VLOOKUP(B173,oracle!A:D,4,FALSE)</f>
        <v>\"\\"\"\\\"\"\\"\"Flash （You may cast this spell any time you could cast an instant.）
Reach （This creature can block creatures with flying.）\\\"\"\\"\"\\"\"\"</v>
      </c>
    </row>
    <row r="174" spans="1:9">
      <c r="A174" s="1">
        <v>174</v>
      </c>
      <c r="B174" s="1" t="s">
        <v>292</v>
      </c>
      <c r="D174" s="1" t="e">
        <f>VLOOKUP(B174,channelfireball!A:C,2,FALSE)</f>
        <v>#N/A</v>
      </c>
      <c r="E174" s="1" t="e">
        <f>VLOOKUP(B174,channelfireball!A:C,3,FALSE)</f>
        <v>#N/A</v>
      </c>
      <c r="F174" s="1">
        <f>VLOOKUP(B174,smds!B:C,2,FALSE)</f>
        <v>1.8</v>
      </c>
      <c r="G174" s="1" t="str">
        <f>VLOOKUP(B174,oracle!A:D,2,FALSE)</f>
        <v>2GG</v>
      </c>
      <c r="H174" s="1" t="str">
        <f>VLOOKUP(B174,oracle!A:D,3,FALSE)</f>
        <v>green</v>
      </c>
      <c r="I174" s="1" t="str">
        <f>VLOOKUP(B174,oracle!A:D,4,FALSE)</f>
        <v>\"\\"\"\\\"\"\\"\"Tangleclaw Werewolf can block an additional creature each combat.
{6}{G}: Transform Tangleclaw Werewolf.\\\"\"\\"\"\\"\"\"</v>
      </c>
    </row>
    <row r="175" spans="1:9">
      <c r="A175" s="1">
        <v>175</v>
      </c>
      <c r="B175" s="1" t="s">
        <v>293</v>
      </c>
      <c r="D175" s="1" t="e">
        <f>VLOOKUP(B175,channelfireball!A:C,2,FALSE)</f>
        <v>#N/A</v>
      </c>
      <c r="E175" s="1" t="e">
        <f>VLOOKUP(B175,channelfireball!A:C,3,FALSE)</f>
        <v>#N/A</v>
      </c>
      <c r="F175" s="1">
        <f>VLOOKUP(B175,smds!B:C,2,FALSE)</f>
        <v>1.8</v>
      </c>
      <c r="G175" s="1" t="str">
        <f>VLOOKUP(B175,oracle!A:D,2,FALSE)</f>
        <v>1G</v>
      </c>
      <c r="H175" s="1" t="str">
        <f>VLOOKUP(B175,oracle!A:D,3,FALSE)</f>
        <v>green</v>
      </c>
      <c r="I175" s="1" t="str">
        <f>VLOOKUP(B175,oracle!A:D,4,FALSE)</f>
        <v>\"\\"\"\\\"\"\\"\"Defender
{T}: Add {G} to your mana pool.
{5}{G}{G}: Transform Ulvenwald Captive.\\\"\"\\"\"\\"\"\"</v>
      </c>
    </row>
    <row r="176" spans="1:9">
      <c r="A176" s="1">
        <v>176</v>
      </c>
      <c r="B176" s="1" t="s">
        <v>234</v>
      </c>
      <c r="D176" s="1">
        <f>VLOOKUP(B176,channelfireball!A:C,2,FALSE)</f>
        <v>3</v>
      </c>
      <c r="E176" s="1" t="str">
        <f>VLOOKUP(B176,channelfireball!A:C,3,FALSE)</f>
        <v>Ulvenwald Observer is a powerful card and has a great chance of either dominating a game, or scoring you a 2-for-1 exchange. Be wary of bounce spells, though, and Auras like Bound by Moonsilver. Green in Eldritch Moon/Shadows over Innistrad is a color of meaty creatures, and the Observer will frequently trigger off of creatures other than itself.Unfortunately, I have to make the same criticism that I made of Assembled?Alphas, which is that 6-drop creatures aren’t at a premium, and Kessig Dire Swine can still do a lot of what Ulvenwald Observer does. This is a strong card that should always make the cut, but it’s not the rare you’re hoping to observe when you crack your first pack.</v>
      </c>
      <c r="F176" s="1">
        <f>VLOOKUP(B176,smds!B:C,2,FALSE)</f>
        <v>7.3</v>
      </c>
      <c r="G176" s="1" t="str">
        <f>VLOOKUP(B176,oracle!A:D,2,FALSE)</f>
        <v>4GG</v>
      </c>
      <c r="H176" s="1" t="str">
        <f>VLOOKUP(B176,oracle!A:D,3,FALSE)</f>
        <v>green</v>
      </c>
      <c r="I176" s="1" t="str">
        <f>VLOOKUP(B176,oracle!A:D,4,FALSE)</f>
        <v>Whenever a creature you control with toughness 4 or greater dies, draw a card.</v>
      </c>
    </row>
    <row r="177" spans="1:9">
      <c r="A177" s="1">
        <v>177</v>
      </c>
      <c r="B177" s="1" t="s">
        <v>235</v>
      </c>
      <c r="D177" s="1">
        <f>VLOOKUP(B177,channelfireball!A:C,2,FALSE)</f>
        <v>1.5</v>
      </c>
      <c r="E177" s="1" t="str">
        <f>VLOOKUP(B177,channelfireball!A:C,3,FALSE)</f>
        <v>Waxing Moon is effectively a premium combat trick that can only be used on a Werewolf. When it works, you’ll be able to eat a guy in combat while transforming your average creature into a huge monster―either permanently or semi-permanently―and getting in some trample damage to boot. That’s an excellent effect, but it takes a lot to line up properly before it can happen. I’d want to have something in the ballpark of 7 Werewolves before I’d be excited to play with Waxing Moon.</v>
      </c>
      <c r="F177" s="1">
        <f>VLOOKUP(B177,smds!B:C,2,FALSE)</f>
        <v>0.8</v>
      </c>
      <c r="G177" s="1" t="str">
        <f>VLOOKUP(B177,oracle!A:D,2,FALSE)</f>
        <v>1G</v>
      </c>
      <c r="H177" s="1" t="str">
        <f>VLOOKUP(B177,oracle!A:D,3,FALSE)</f>
        <v>green</v>
      </c>
      <c r="I177" s="1" t="str">
        <f>VLOOKUP(B177,oracle!A:D,4,FALSE)</f>
        <v>Transform up to one target Werewolf you control. Creatures you control gain trample until end of turn.</v>
      </c>
    </row>
    <row r="178" spans="1:9">
      <c r="A178" s="1">
        <v>178</v>
      </c>
      <c r="B178" s="1" t="s">
        <v>236</v>
      </c>
      <c r="D178" s="1">
        <f>VLOOKUP(B178,channelfireball!A:C,2,FALSE)</f>
        <v>1</v>
      </c>
      <c r="E178" s="1" t="str">
        <f>VLOOKUP(B178,channelfireball!A:C,3,FALSE)</f>
        <v>Raised by Wolves was a good card, but that gave you 2 Wolves, and was in a set where you were constantly trying to trigger heroic. I really don’t see the appeal of Wolfkin Bond. When it turns your 3/3 into a 5/5 that can attack through an opposing blocker, then it’s okay. But I think you’re better off just playing an average 5-drop creature in your deck. The power level of this card is too low to risk getting blown out by removal or bounce in response.</v>
      </c>
      <c r="F178" s="1">
        <f>VLOOKUP(B178,smds!B:C,2,FALSE)</f>
        <v>0.9</v>
      </c>
      <c r="G178" s="1" t="str">
        <f>VLOOKUP(B178,oracle!A:D,2,FALSE)</f>
        <v>4G</v>
      </c>
      <c r="H178" s="1" t="str">
        <f>VLOOKUP(B178,oracle!A:D,3,FALSE)</f>
        <v>green</v>
      </c>
      <c r="I178" s="1" t="str">
        <f>VLOOKUP(B178,oracle!A:D,4,FALSE)</f>
        <v>\"\\"\"\\\"\"\\"\"Enchant creature
When Wolfkin Bond enters the battlefield, put a 2/2 green Wolf creature token onto the battlefield.
Enchanted creature gets +2/+2.\\\"\"\\"\"\\"\"\"</v>
      </c>
    </row>
    <row r="179" spans="1:9">
      <c r="A179" s="1">
        <v>179</v>
      </c>
      <c r="B179" s="1" t="s">
        <v>309</v>
      </c>
      <c r="D179" s="1" t="e">
        <f>VLOOKUP(B179,channelfireball!A:C,2,FALSE)</f>
        <v>#N/A</v>
      </c>
      <c r="E179" s="1" t="e">
        <f>VLOOKUP(B179,channelfireball!A:C,3,FALSE)</f>
        <v>#N/A</v>
      </c>
      <c r="F179" s="1">
        <f>VLOOKUP(B179,smds!B:C,2,FALSE)</f>
        <v>0.9</v>
      </c>
      <c r="G179" s="1" t="str">
        <f>VLOOKUP(B179,oracle!A:D,2,FALSE)</f>
        <v>2G</v>
      </c>
      <c r="H179" s="1" t="str">
        <f>VLOOKUP(B179,oracle!A:D,3,FALSE)</f>
        <v>green</v>
      </c>
      <c r="I179" s="1" t="str">
        <f>VLOOKUP(B179,oracle!A:D,4,FALSE)</f>
        <v>Target creature you control gets +3/+3 and gains hexproof until end of turn. （It can't be the target of spells or abilities your opponents control.）</v>
      </c>
    </row>
    <row r="180" spans="1:9">
      <c r="A180" s="1">
        <v>180</v>
      </c>
      <c r="B180" s="1" t="s">
        <v>238</v>
      </c>
      <c r="D180" s="1">
        <f>VLOOKUP(B180,channelfireball!A:C,2,FALSE)</f>
        <v>1.5</v>
      </c>
      <c r="E180" s="1" t="str">
        <f>VLOOKUP(B180,channelfireball!A:C,3,FALSE)</f>
        <v>3 mana for a 3/2 is average, and Woodland Patrol gets an ability on top of that. The problem with vigilance on a low-toughness creature is that it often won’t survive combat when it attacks. Even when it does, there’s not really much that you’ll be excited to block. This is the definition of a filler card.</v>
      </c>
      <c r="F180" s="1">
        <f>VLOOKUP(B180,smds!B:C,2,FALSE)</f>
        <v>1.1000000000000001</v>
      </c>
      <c r="G180" s="1" t="str">
        <f>VLOOKUP(B180,oracle!A:D,2,FALSE)</f>
        <v>2G</v>
      </c>
      <c r="H180" s="1" t="str">
        <f>VLOOKUP(B180,oracle!A:D,3,FALSE)</f>
        <v>green</v>
      </c>
      <c r="I180" s="1" t="str">
        <f>VLOOKUP(B180,oracle!A:D,4,FALSE)</f>
        <v>Vigilance</v>
      </c>
    </row>
    <row r="181" spans="1:9">
      <c r="A181" s="1">
        <v>181</v>
      </c>
      <c r="B181" s="1" t="s">
        <v>259</v>
      </c>
      <c r="D181" s="1">
        <f>VLOOKUP(B181,channelfireball!A:C,2,FALSE)</f>
        <v>3.5</v>
      </c>
      <c r="E181" s="1" t="str">
        <f>VLOOKUP(B181,channelfireball!A:C,3,FALSE)</f>
        <v>Well-above-average stats and madness make Bloodhall Priest a card to be excited about in any RB deck. The ability to sometimes kill a creature when it enters the battlefield is a big bonus on an already-good card.Unfortunately, it’s hard to get both the “kill a creature” value and the “big creature ahead of schedule” value at the same time since you’ll rarely be hellbent by turn 4. But jamming Bloodhall Priest right away or waiting to empty your hand is a choice that can be made case-by-case. It’s also a problem I’ll be happy to have.</v>
      </c>
      <c r="F181" s="1">
        <f>VLOOKUP(B181,smds!B:C,2,FALSE)</f>
        <v>8.4</v>
      </c>
      <c r="G181" s="1" t="str">
        <f>VLOOKUP(B181,oracle!A:D,2,FALSE)</f>
        <v>2BR</v>
      </c>
      <c r="H181" s="1" t="str">
        <f>VLOOKUP(B181,oracle!A:D,3,FALSE)</f>
        <v>multi</v>
      </c>
      <c r="I181" s="1" t="str">
        <f>VLOOKUP(B181,oracle!A:D,4,FALSE)</f>
        <v>\"\\"\"\\\"\"\\"\"Whenever Bloodhall Priest enters the battlefield or attacks, if you have no cards in hand, Bloodhall Priest deals 2 damage to target creature or player.
Madness {1}{B}{R} （If you discard this card, discard it into exile. When you do, cast it for its madness cost or put it into your graveyard.）\\\"\"\\"\"\\"\"\"</v>
      </c>
    </row>
    <row r="182" spans="1:9">
      <c r="A182" s="1">
        <v>182</v>
      </c>
      <c r="B182" s="1" t="s">
        <v>260</v>
      </c>
      <c r="D182" s="1">
        <f>VLOOKUP(B182,channelfireball!A:C,2,FALSE)</f>
        <v>2.5</v>
      </c>
      <c r="E182" s="1" t="str">
        <f>VLOOKUP(B182,channelfireball!A:C,3,FALSE)</f>
        <v>Campaign of Vengeance does a reasonable impression of Glorious Anthem and is quite a powerful card. Where it doesn’t help you on defense, the life gain can make you difficult to race. Where it doesn’t help your creatures win in combat, it works well with skulk and can allow you to bleed out an opponent who might’ve otherwise stabilized.Campaign of Vengeance will make the cut in all but the most controlling of BW decks, and it’s even a draw toward the color combination. But noncreature, nonremoval card that commits me to 2 colors is not how I would hope to start a draft.</v>
      </c>
      <c r="F182" s="1">
        <f>VLOOKUP(B182,smds!B:C,2,FALSE)</f>
        <v>0.9</v>
      </c>
      <c r="G182" s="1" t="str">
        <f>VLOOKUP(B182,oracle!A:D,2,FALSE)</f>
        <v>3WB</v>
      </c>
      <c r="H182" s="1" t="str">
        <f>VLOOKUP(B182,oracle!A:D,3,FALSE)</f>
        <v>multi</v>
      </c>
      <c r="I182" s="1" t="str">
        <f>VLOOKUP(B182,oracle!A:D,4,FALSE)</f>
        <v>Whenever a creature you control attacks, defending player loses 1 life and you gain 1 life.</v>
      </c>
    </row>
    <row r="183" spans="1:9">
      <c r="A183" s="1">
        <v>183</v>
      </c>
      <c r="B183" s="1" t="s">
        <v>261</v>
      </c>
      <c r="D183" s="1">
        <f>VLOOKUP(B183,channelfireball!A:C,2,FALSE)</f>
        <v>4</v>
      </c>
      <c r="E183" s="1" t="str">
        <f>VLOOKUP(B183,channelfireball!A:C,3,FALSE)</f>
        <v>Just like Bloodhall Priest, Gisa and Geralf offer a 4-mana 4/4 with tons of upside. Blue and black are the Zombie colors, and even without trying you’re going to end up with a decent handful of creatures that you can cast from your graveyard. The self-mill ability finds you Zombies to cast, helps with delirium, and can offer plenty of other benefits in this color combination.</v>
      </c>
      <c r="F183" s="1">
        <f>VLOOKUP(B183,smds!B:C,2,FALSE)</f>
        <v>9.3000000000000007</v>
      </c>
      <c r="G183" s="1" t="str">
        <f>VLOOKUP(B183,oracle!A:D,2,FALSE)</f>
        <v>2UB</v>
      </c>
      <c r="H183" s="1" t="str">
        <f>VLOOKUP(B183,oracle!A:D,3,FALSE)</f>
        <v>multi</v>
      </c>
      <c r="I183" s="1" t="str">
        <f>VLOOKUP(B183,oracle!A:D,4,FALSE)</f>
        <v>\"\\"\"\\\"\"\\"\"When Gisa and Geralf enters the battlefield, put the top four cards of your library into your graveyard.
During each of your turns, you may cast a Zombie creature card from your graveyard.\\\"\"\\"\"\\"\"\"</v>
      </c>
    </row>
    <row r="184" spans="1:9">
      <c r="A184" s="1">
        <v>184</v>
      </c>
      <c r="B184" s="1" t="s">
        <v>262</v>
      </c>
      <c r="D184" s="1">
        <f>VLOOKUP(B184,channelfireball!A:C,2,FALSE)</f>
        <v>3</v>
      </c>
      <c r="E184" s="1" t="str">
        <f>VLOOKUP(B184,channelfireball!A:C,3,FALSE)</f>
        <v>Grim Flayer is efficiently costed, but “efficiently costed” usually isn’t a great reason to commit to a 2-color combination early in the draft. That said, if you’re GB already, then a 2-mana creature that becomes a 4/4 trampler and can help with delirium is something you’ll always be happy to have.</v>
      </c>
      <c r="F184" s="1">
        <f>VLOOKUP(B184,smds!B:C,2,FALSE)</f>
        <v>8.6</v>
      </c>
      <c r="G184" s="1" t="str">
        <f>VLOOKUP(B184,oracle!A:D,2,FALSE)</f>
        <v>BG</v>
      </c>
      <c r="H184" s="1" t="str">
        <f>VLOOKUP(B184,oracle!A:D,3,FALSE)</f>
        <v>multi</v>
      </c>
      <c r="I184" s="1" t="str">
        <f>VLOOKUP(B184,oracle!A:D,4,FALSE)</f>
        <v>\"\\"\"\\\"\"\\"\"Trample
Whenever Grim Flayer deals combat damage to a player, look at the top three cards of your library. Put any number of them into your graveyard and the rest back on top of your library in any order.
Delirium --- Grim Flayer gets +2/+2 as long as there are four or more card types among cards in your graveyard.\\\"\"\\"\"\\"\"\"</v>
      </c>
    </row>
    <row r="185" spans="1:9">
      <c r="A185" s="1">
        <v>185</v>
      </c>
      <c r="B185" s="1" t="s">
        <v>263</v>
      </c>
      <c r="D185" s="1">
        <f>VLOOKUP(B185,channelfireball!A:C,2,FALSE)</f>
        <v>4</v>
      </c>
      <c r="E185" s="1" t="str">
        <f>VLOOKUP(B185,channelfireball!A:C,3,FALSE)</f>
        <v>Heron’s Grace Champion is exactly what your WG creature decks will be looking for. Those are the colors with the most Humans anyway, so you can use the Champion as Tenacity in a big combat step (plus a 3/3 lifelink that sticks around for later). He also stands on his own extremely well, being a solid body that can ambush an attacker. Built-in lifelink also makes him carry equipment, Auras, and combat tricks particularly well.</v>
      </c>
      <c r="F185" s="1">
        <f>VLOOKUP(B185,smds!B:C,2,FALSE)</f>
        <v>9.8000000000000007</v>
      </c>
      <c r="G185" s="1" t="str">
        <f>VLOOKUP(B185,oracle!A:D,2,FALSE)</f>
        <v>2GW</v>
      </c>
      <c r="H185" s="1" t="str">
        <f>VLOOKUP(B185,oracle!A:D,3,FALSE)</f>
        <v>multi</v>
      </c>
      <c r="I185" s="1" t="str">
        <f>VLOOKUP(B185,oracle!A:D,4,FALSE)</f>
        <v>\"\\"\"\\\"\"\\"\"Flash
Lifelink
When Heron's Grace Champion enters the battlefield, other Humans you control get +1/+1 and gain lifelink until end of turn.\\\"\"\\"\"\\"\"\"</v>
      </c>
    </row>
    <row r="186" spans="1:9">
      <c r="A186" s="1">
        <v>186</v>
      </c>
      <c r="B186" s="1" t="s">
        <v>264</v>
      </c>
      <c r="D186" s="1">
        <f>VLOOKUP(B186,channelfireball!A:C,2,FALSE)</f>
        <v>3</v>
      </c>
      <c r="E186" s="1" t="str">
        <f>VLOOKUP(B186,channelfireball!A:C,3,FALSE)</f>
        <v>Mercurial Geists has the potential to hit incredibly hard, but I usually hope for my 4-mana gold uncommon to have a bit more standalone power than this. If you can’t offer it much help, it’s a fragile creature that might only average about 2 damage per turn.Thankfully, blue and red are the “spells matter” colors, and you’ll usually have enough that, when you’re drawing well, Mercurial Geists will be a deadly threat.</v>
      </c>
      <c r="F186" s="1">
        <f>VLOOKUP(B186,smds!B:C,2,FALSE)</f>
        <v>1.1000000000000001</v>
      </c>
      <c r="G186" s="1" t="str">
        <f>VLOOKUP(B186,oracle!A:D,2,FALSE)</f>
        <v>2UR</v>
      </c>
      <c r="H186" s="1" t="str">
        <f>VLOOKUP(B186,oracle!A:D,3,FALSE)</f>
        <v>multi</v>
      </c>
      <c r="I186" s="1" t="str">
        <f>VLOOKUP(B186,oracle!A:D,4,FALSE)</f>
        <v>\"\\"\"\\\"\"\\"\"Flying
Whenever you cast an instant or sorcery spell, Mercurial Geists gets +3/+0 until end of turn.\\\"\"\\"\"\\"\"\"</v>
      </c>
    </row>
    <row r="187" spans="1:9">
      <c r="A187" s="1">
        <v>187</v>
      </c>
      <c r="B187" s="1" t="s">
        <v>265</v>
      </c>
      <c r="D187" s="1">
        <f>VLOOKUP(B187,channelfireball!A:C,2,FALSE)</f>
        <v>2.5</v>
      </c>
      <c r="E187" s="1" t="str">
        <f>VLOOKUP(B187,channelfireball!A:C,3,FALSE)</f>
        <v>The stats and text on Mournwillow are similar (likely a little worse) than Voldaren Duelist. Its converted mana cost is 1 less, but it’s a gold card in a combination that’s not always aggressive. On efficiency, this is a card you’ll always play in your BG decks, but it’s not the payoff you want for committing your colors early in the draft.</v>
      </c>
      <c r="F187" s="1">
        <f>VLOOKUP(B187,smds!B:C,2,FALSE)</f>
        <v>1</v>
      </c>
      <c r="G187" s="1" t="str">
        <f>VLOOKUP(B187,oracle!A:D,2,FALSE)</f>
        <v>1BG</v>
      </c>
      <c r="H187" s="1" t="str">
        <f>VLOOKUP(B187,oracle!A:D,3,FALSE)</f>
        <v>multi</v>
      </c>
      <c r="I187" s="1" t="str">
        <f>VLOOKUP(B187,oracle!A:D,4,FALSE)</f>
        <v>\"\\"\"\\\"\"\\"\"Haste
Delirium --- When Mournwillow enters the battlefield, if there are four or more card types among cards in your graveyard, creatures with power 2 or less can't block this turn.\\\"\"\\"\"\\"\"\"</v>
      </c>
    </row>
    <row r="188" spans="1:9">
      <c r="A188" s="1">
        <v>188</v>
      </c>
      <c r="B188" s="1" t="s">
        <v>266</v>
      </c>
      <c r="D188" s="1">
        <f>VLOOKUP(B188,channelfireball!A:C,2,FALSE)</f>
        <v>3</v>
      </c>
      <c r="E188" s="1" t="str">
        <f>VLOOKUP(B188,channelfireball!A:C,3,FALSE)</f>
        <v>When you’re playing WR aggro, this is a card you can ride to victory. When you’re attacking, Ride Down is a premium removal spell with a healthy chunk of damage attached to it. These decks are in the market for any card that lets them keep attacking, and Ride Down might just be the best one out there.Note that it can give trample to all 8 creatures blocked by an opposing Watcher in the Web!</v>
      </c>
      <c r="F188" s="1">
        <f>VLOOKUP(B188,smds!B:C,2,FALSE)</f>
        <v>1</v>
      </c>
      <c r="G188" s="1" t="str">
        <f>VLOOKUP(B188,oracle!A:D,2,FALSE)</f>
        <v>RW</v>
      </c>
      <c r="H188" s="1" t="str">
        <f>VLOOKUP(B188,oracle!A:D,3,FALSE)</f>
        <v>multi</v>
      </c>
      <c r="I188" s="1" t="str">
        <f>VLOOKUP(B188,oracle!A:D,4,FALSE)</f>
        <v>Destroy target blocking creature. Creatures that were blocked by that creature this combat gain trample until end of turn.</v>
      </c>
    </row>
    <row r="189" spans="1:9">
      <c r="A189" s="1">
        <v>189</v>
      </c>
      <c r="B189" s="1" t="s">
        <v>267</v>
      </c>
      <c r="D189" s="1">
        <f>VLOOKUP(B189,channelfireball!A:C,2,FALSE)</f>
        <v>4</v>
      </c>
      <c r="E189" s="1" t="str">
        <f>VLOOKUP(B189,channelfireball!A:C,3,FALSE)</f>
        <v>In terms of power level, Spell Queller is pushed to the limit on virtually every axis! A 2/3?with flying for 3 mana has great stats. Flash gives it the potential to ambush a creature if you choose, or keeps your mana open for other options. The ability to (temporarily) counter a spell while adding an evasive attacker to the board is a huge swing. It’s also a Spirit, which is the creature type the UW color combination wants.Granted, Spell Queller does have its limits. If it gets killed later in the game, the opponent will finally get their spell. But if it’s a cheap creature you’re countering, delaying it by a few turns has already taken away a ton of its value―it might be outclassed by the time it finally hits the battlefield. If it’s a situational spell like a combat trick, the opponent might not find as good a use for it.Spell Queller can’t counter any spell, but hitting anything that costs 4 or less mana means you should have no trouble finding a target. At any rate, this seems like a creature that you want to get onto the board early to push a tempo advantage, not save in your hand forever to counter their late-game bomb.</v>
      </c>
      <c r="F189" s="1">
        <f>VLOOKUP(B189,smds!B:C,2,FALSE)</f>
        <v>8.9</v>
      </c>
      <c r="G189" s="1" t="str">
        <f>VLOOKUP(B189,oracle!A:D,2,FALSE)</f>
        <v>1WU</v>
      </c>
      <c r="H189" s="1" t="str">
        <f>VLOOKUP(B189,oracle!A:D,3,FALSE)</f>
        <v>multi</v>
      </c>
      <c r="I189" s="1" t="str">
        <f>VLOOKUP(B189,oracle!A:D,4,FALSE)</f>
        <v>\"\\"\"\\\"\"\\"\"Flash
Flying
When Spell Queller enters the battlefield, exile target spell with converted mana cost 4 or less.
When Spell Queller leaves the battlefield, the exiled card's owner may cast that card without paying its mana cost.\\\"\"\\"\"\\"\"\"</v>
      </c>
    </row>
    <row r="190" spans="1:9">
      <c r="A190" s="1">
        <v>190</v>
      </c>
      <c r="B190" s="1" t="s">
        <v>268</v>
      </c>
      <c r="D190" s="1">
        <f>VLOOKUP(B190,channelfireball!A:C,2,FALSE)</f>
        <v>4.5</v>
      </c>
      <c r="E190" s="1" t="str">
        <f>VLOOKUP(B190,channelfireball!A:C,3,FALSE)</f>
        <v>We all know how powerful planeswalkers are in Limited, and you’re going to win most games that you cast Tamiyo on an even board. In Limited, both players are going to have creatures, so you can use the +1 ability on your own guys to draw cards, or on your opponent’s to make combat more difficult for them. If you’re far ahead, the -2 ability ought to effectively win the game. If you’re far behind, it ought to buy you enough time to get right back in it.One strike against the Field Researcher is?that her ultimate isn’t particularly great in Limited (I doubt you’ll ever really want to cash her in for the emblem and 3 random cards). The other is her demanding 3-color requirement. This is a 2-color format, and splashing comes at a very high cost. If you’re drafting WG, WU, or GU already, then the rewards are high enough to consider splashing, but decreasing the consistency of your WG Beatdown deck is something that should make you cringe. A lot has to go right for Tamiyo to fit into your deck, and a lot more has to go right before you can smoothly curve into casting her on turn 4.</v>
      </c>
      <c r="F190" s="1">
        <f>VLOOKUP(B190,smds!B:C,2,FALSE)</f>
        <v>10</v>
      </c>
      <c r="G190" s="1" t="str">
        <f>VLOOKUP(B190,oracle!A:D,2,FALSE)</f>
        <v>1GWU</v>
      </c>
      <c r="H190" s="1" t="str">
        <f>VLOOKUP(B190,oracle!A:D,3,FALSE)</f>
        <v>multi</v>
      </c>
      <c r="I190" s="1" t="str">
        <f>VLOOKUP(B190,oracle!A:D,4,FALSE)</f>
        <v>\"+1: Choose up to two target creatures. Until your next turn, whenever either of those creatures deals combat damage, you draw a card.
-2: Tap up to two target nonland permanents. They don't untap during their controller's next untap step.
-7: Draw three cards. You get an emblem with \\"\"You may cast nonland cards from your hand without paying their mana costs.\\"\"\"</v>
      </c>
    </row>
    <row r="191" spans="1:9">
      <c r="A191" s="1">
        <v>191</v>
      </c>
      <c r="B191" s="1" t="s">
        <v>276</v>
      </c>
      <c r="D191" s="1" t="e">
        <f>VLOOKUP(B191,channelfireball!A:C,2,FALSE)</f>
        <v>#N/A</v>
      </c>
      <c r="E191" s="1" t="e">
        <f>VLOOKUP(B191,channelfireball!A:C,3,FALSE)</f>
        <v>#N/A</v>
      </c>
      <c r="F191" s="1">
        <f>VLOOKUP(B191,smds!B:C,2,FALSE)</f>
        <v>9.6999999999999993</v>
      </c>
      <c r="G191" s="1" t="str">
        <f>VLOOKUP(B191,oracle!A:D,2,FALSE)</f>
        <v>3RG</v>
      </c>
      <c r="H191" s="1" t="str">
        <f>VLOOKUP(B191,oracle!A:D,3,FALSE)</f>
        <v>multi</v>
      </c>
      <c r="I191" s="1" t="str">
        <f>VLOOKUP(B191,oracle!A:D,4,FALSE)</f>
        <v>\"\\"\"\\\"\"\\"\"Whenever this creature enters the battlefield or transforms into Ulrich of the Krallenhorde, target creature gets +4/+4 until end of turn.
At the beginning of each upkeep, if no spells were cast last turn, transform Ulrich of the Krallenhorde.\\\"\"\\"\"\\"\"\"</v>
      </c>
    </row>
    <row r="192" spans="1:9">
      <c r="A192" s="1">
        <v>192</v>
      </c>
      <c r="B192" s="1" t="s">
        <v>308</v>
      </c>
      <c r="D192" s="1" t="e">
        <f>VLOOKUP(B192,channelfireball!A:C,2,FALSE)</f>
        <v>#N/A</v>
      </c>
      <c r="E192" s="1" t="e">
        <f>VLOOKUP(B192,channelfireball!A:C,3,FALSE)</f>
        <v>#N/A</v>
      </c>
      <c r="F192" s="1">
        <f>VLOOKUP(B192,smds!B:C,2,FALSE)</f>
        <v>1</v>
      </c>
      <c r="G192" s="1">
        <f>VLOOKUP(B192,oracle!A:D,2,FALSE)</f>
        <v>0</v>
      </c>
      <c r="H192" s="1" t="str">
        <f>VLOOKUP(B192,oracle!A:D,3,FALSE)</f>
        <v>colorless</v>
      </c>
      <c r="I192" s="1" t="str">
        <f>VLOOKUP(B192,oracle!A:D,4,FALSE)</f>
        <v>\"\\"\"\\\"\"\\"\"Equipped creature gets +0/+3 and has vigilance.
Equip {3} （{3}: Attach to target creature you control. Equip only as a sorcery.）\\\"\"\\"\"\\"\"\"</v>
      </c>
    </row>
    <row r="193" spans="1:9">
      <c r="A193" s="1">
        <v>193</v>
      </c>
      <c r="B193" s="1" t="s">
        <v>291</v>
      </c>
      <c r="D193" s="1" t="e">
        <f>VLOOKUP(B193,channelfireball!A:C,2,FALSE)</f>
        <v>#N/A</v>
      </c>
      <c r="E193" s="1" t="e">
        <f>VLOOKUP(B193,channelfireball!A:C,3,FALSE)</f>
        <v>#N/A</v>
      </c>
      <c r="F193" s="1">
        <f>VLOOKUP(B193,smds!B:C,2,FALSE)</f>
        <v>1.9</v>
      </c>
      <c r="G193" s="1">
        <f>VLOOKUP(B193,oracle!A:D,2,FALSE)</f>
        <v>3</v>
      </c>
      <c r="H193" s="1" t="str">
        <f>VLOOKUP(B193,oracle!A:D,3,FALSE)</f>
        <v>colorless</v>
      </c>
      <c r="I193" s="1" t="str">
        <f>VLOOKUP(B193,oracle!A:D,4,FALSE)</f>
        <v>\"\\"\"\\\"\"\\"\"Cryptolith Fragment enters the battlefield tapped.
{T}: Add one mana of any color to your mana pool. Each player loses 1 life.
At the beginning of your upkeep, if each player has 10 or less life, transform Cryptolith Fragment.\\\"\"\\"\"\\"\"\"</v>
      </c>
    </row>
    <row r="194" spans="1:9">
      <c r="A194" s="1">
        <v>194</v>
      </c>
      <c r="B194" s="1" t="s">
        <v>303</v>
      </c>
      <c r="D194" s="1" t="e">
        <f>VLOOKUP(B194,channelfireball!A:C,2,FALSE)</f>
        <v>#N/A</v>
      </c>
      <c r="E194" s="1" t="e">
        <f>VLOOKUP(B194,channelfireball!A:C,3,FALSE)</f>
        <v>#N/A</v>
      </c>
      <c r="F194" s="1">
        <f>VLOOKUP(B194,smds!B:C,2,FALSE)</f>
        <v>1</v>
      </c>
      <c r="G194" s="1">
        <f>VLOOKUP(B194,oracle!A:D,2,FALSE)</f>
        <v>2</v>
      </c>
      <c r="H194" s="1" t="str">
        <f>VLOOKUP(B194,oracle!A:D,3,FALSE)</f>
        <v>colorless</v>
      </c>
      <c r="I194" s="1" t="str">
        <f>VLOOKUP(B194,oracle!A:D,4,FALSE)</f>
        <v>\"\\"\"\\\"\"\\"\"Equipped creature gets +2/+2.
Equip {3} （{3}: Attach to target creature you control. Equip only as a sorcery.）\\\"\"\\"\"\\"\"\"</v>
      </c>
    </row>
    <row r="195" spans="1:9">
      <c r="A195" s="1">
        <v>195</v>
      </c>
      <c r="B195" s="1" t="s">
        <v>251</v>
      </c>
      <c r="D195" s="1">
        <f>VLOOKUP(B195,channelfireball!A:C,2,FALSE)</f>
        <v>1.5</v>
      </c>
      <c r="E195" s="1" t="str">
        <f>VLOOKUP(B195,channelfireball!A:C,3,FALSE)</f>
        <v>2-drops are important. Field Creeper’s stats aren’t exciting, but a 2-drop that can go in any deck and contributes an extra card type for delirium is totally fine in my book.</v>
      </c>
      <c r="F195" s="1">
        <f>VLOOKUP(B195,smds!B:C,2,FALSE)</f>
        <v>1</v>
      </c>
      <c r="G195" s="1">
        <f>VLOOKUP(B195,oracle!A:D,2,FALSE)</f>
        <v>2</v>
      </c>
      <c r="H195" s="1" t="str">
        <f>VLOOKUP(B195,oracle!A:D,3,FALSE)</f>
        <v>colorless</v>
      </c>
      <c r="I195" s="1">
        <f>VLOOKUP(B195,oracle!A:D,4,FALSE)</f>
        <v>0</v>
      </c>
    </row>
    <row r="196" spans="1:9">
      <c r="A196" s="1">
        <v>196</v>
      </c>
      <c r="B196" s="1" t="s">
        <v>252</v>
      </c>
      <c r="D196" s="1">
        <f>VLOOKUP(B196,channelfireball!A:C,2,FALSE)</f>
        <v>2.5</v>
      </c>
      <c r="E196" s="1" t="str">
        <f>VLOOKUP(B196,channelfireball!A:C,3,FALSE)</f>
        <v>You’re going to get sick of me talking about fueling delirium, but it’s going to be a legitimate appeal of all of these artifact creatures. Geist-Fueled Scarecrow is a body that’s more efficient than you’re likely to find in any of the 5 colors. The drawback is not even that bad since you can cast this as one of the last creatures in your hand and you’ll often have the option to trade it off once it’s on the board. Granted, it will be very annoying to have this locked down by a Choking Tethers (you can consider sideboarding it out if your opponent has a lot of cards like that).Unlike a Steel Golem, you can still cast your creatures―it just becomes minorly annoying to do so. The only place you might want to avoid Geist-Fueled Scarecrow is in a deck like RG Werewolves, where you actually have a healthy number of 5-drop creatures that you’d like to play on curve. Outside of that, I envision this being a solid playable for most decks in this Limited format.</v>
      </c>
      <c r="F196" s="1">
        <f>VLOOKUP(B196,smds!B:C,2,FALSE)</f>
        <v>1</v>
      </c>
      <c r="G196" s="1">
        <f>VLOOKUP(B196,oracle!A:D,2,FALSE)</f>
        <v>4</v>
      </c>
      <c r="H196" s="1" t="str">
        <f>VLOOKUP(B196,oracle!A:D,3,FALSE)</f>
        <v>colorless</v>
      </c>
      <c r="I196" s="1" t="str">
        <f>VLOOKUP(B196,oracle!A:D,4,FALSE)</f>
        <v>Creature spells you cast cost {1} more to cast.</v>
      </c>
    </row>
    <row r="197" spans="1:9">
      <c r="A197" s="1">
        <v>197</v>
      </c>
      <c r="B197" s="1" t="s">
        <v>253</v>
      </c>
      <c r="D197" s="1">
        <f>VLOOKUP(B197,channelfireball!A:C,2,FALSE)</f>
        <v>2</v>
      </c>
      <c r="E197" s="1" t="str">
        <f>VLOOKUP(B197,channelfireball!A:C,3,FALSE)</f>
        <v>Play with Lupine Prototype if you’re planning to eventually empty your own hand, as you would with most normal, aggressively slanted decks. It often won’t be attacking until turn 6 or so, but that still makes it as good as most creatures you’d tap out for on turn 5. The advantage of the Lupine isn’t its speed, but the fact that it requires such a small investment of mana. You can cast this and another spell in the same turn, and then cash in once you finally do empty your hand.Avoid this card in blue decks with card drawing, counterspells, or other situational instants.</v>
      </c>
      <c r="F197" s="1">
        <f>VLOOKUP(B197,smds!B:C,2,FALSE)</f>
        <v>0.9</v>
      </c>
      <c r="G197" s="1">
        <f>VLOOKUP(B197,oracle!A:D,2,FALSE)</f>
        <v>2</v>
      </c>
      <c r="H197" s="1" t="str">
        <f>VLOOKUP(B197,oracle!A:D,3,FALSE)</f>
        <v>colorless</v>
      </c>
      <c r="I197" s="1" t="str">
        <f>VLOOKUP(B197,oracle!A:D,4,FALSE)</f>
        <v>Lupine Prototype can't attack or block unless a player has no cards in hand.</v>
      </c>
    </row>
    <row r="198" spans="1:9">
      <c r="A198" s="1">
        <v>198</v>
      </c>
      <c r="B198" s="1" t="s">
        <v>306</v>
      </c>
      <c r="D198" s="1" t="e">
        <f>VLOOKUP(B198,channelfireball!A:C,2,FALSE)</f>
        <v>#N/A</v>
      </c>
      <c r="E198" s="1" t="e">
        <f>VLOOKUP(B198,channelfireball!A:C,3,FALSE)</f>
        <v>#N/A</v>
      </c>
      <c r="F198" s="1">
        <f>VLOOKUP(B198,smds!B:C,2,FALSE)</f>
        <v>1</v>
      </c>
      <c r="G198" s="1">
        <f>VLOOKUP(B198,oracle!A:D,2,FALSE)</f>
        <v>3</v>
      </c>
      <c r="H198" s="1" t="str">
        <f>VLOOKUP(B198,oracle!A:D,3,FALSE)</f>
        <v>colorless</v>
      </c>
      <c r="I198" s="1" t="str">
        <f>VLOOKUP(B198,oracle!A:D,4,FALSE)</f>
        <v>\"\\"\"\\\"\"\\"\"Equipped creature gets +3/+1 and must be blocked by an Eldrazi if able.
Equip {4}\\\"\"\\"\"\\"\"\"</v>
      </c>
    </row>
    <row r="199" spans="1:9">
      <c r="A199" s="1">
        <v>199</v>
      </c>
      <c r="B199" s="1" t="s">
        <v>255</v>
      </c>
      <c r="D199" s="1">
        <f>VLOOKUP(B199,channelfireball!A:C,2,FALSE)</f>
        <v>1</v>
      </c>
      <c r="E199" s="1" t="str">
        <f>VLOOKUP(B199,channelfireball!A:C,3,FALSE)</f>
        <v>Soul Separator has excellent flavor, and some interesting potential uses, but I think it costs too much mana to be very good. If you have some self-mill, you can dump a giant monster in your graveyard and then use Soul Separator to make a big threat. But for 8 mana, why aren’t you just casting Cemetery Recruitment and recasting your creature? It’s a real shame that this can’t even target creatures in the opponent’s graveyard.As someone pointed out in the comments section of the black review, the sweetest combo with Soul Separator is Tree of Perdition. This will give you a 0/13 ground blocker and a 1/1 Spirit with the ability to set your opponent’s life total at 1!</v>
      </c>
      <c r="F199" s="1">
        <f>VLOOKUP(B199,smds!B:C,2,FALSE)</f>
        <v>1.3</v>
      </c>
      <c r="G199" s="1">
        <f>VLOOKUP(B199,oracle!A:D,2,FALSE)</f>
        <v>3</v>
      </c>
      <c r="H199" s="1" t="str">
        <f>VLOOKUP(B199,oracle!A:D,3,FALSE)</f>
        <v>colorless</v>
      </c>
      <c r="I199" s="1" t="str">
        <f>VLOOKUP(B199,oracle!A:D,4,FALSE)</f>
        <v>{5}, {T}, Sacrifice Soul Separator: Exile target creature card from your graveyard. Put a token onto the battlefield that's a copy of that card except it's 1/1, it's a Spirit in addition to its other types, and it has flying. Put a black Zombie creature token onto the battlefield with power equal to that card's power and toughness equal to that card's toughness.</v>
      </c>
    </row>
    <row r="200" spans="1:9">
      <c r="A200" s="1">
        <v>200</v>
      </c>
      <c r="B200" s="1" t="s">
        <v>286</v>
      </c>
      <c r="D200" s="1" t="e">
        <f>VLOOKUP(B200,channelfireball!A:C,2,FALSE)</f>
        <v>#N/A</v>
      </c>
      <c r="E200" s="1" t="e">
        <f>VLOOKUP(B200,channelfireball!A:C,3,FALSE)</f>
        <v>#N/A</v>
      </c>
      <c r="F200" s="1">
        <f>VLOOKUP(B200,smds!B:C,2,FALSE)</f>
        <v>2.5</v>
      </c>
      <c r="G200" s="1">
        <f>VLOOKUP(B200,oracle!A:D,2,FALSE)</f>
        <v>1</v>
      </c>
      <c r="H200" s="1" t="str">
        <f>VLOOKUP(B200,oracle!A:D,3,FALSE)</f>
        <v>colorless</v>
      </c>
      <c r="I200" s="1" t="str">
        <f>VLOOKUP(B200,oracle!A:D,4,FALSE)</f>
        <v>\"\\"\"\\\"\"\\"\"Equipped creature gets +3/+3.
Whenever equipped creature attacks, it doesn't untap during its controller's next untap step.
Whenever Stitcher's Graft becomes unattached from a permanent, sacrifice that permanent.
Equip {2}\\\"\"\\"\"\\"\"\"</v>
      </c>
    </row>
    <row r="201" spans="1:9">
      <c r="A201" s="1">
        <v>201</v>
      </c>
      <c r="B201" s="1" t="s">
        <v>257</v>
      </c>
      <c r="D201" s="1">
        <f>VLOOKUP(B201,channelfireball!A:C,2,FALSE)</f>
        <v>1.5</v>
      </c>
      <c r="E201" s="1" t="str">
        <f>VLOOKUP(B201,channelfireball!A:C,3,FALSE)</f>
        <v>Terrarion isn’t exactly exciting, but it offers mana fixing and a contribution to delirium at a very, very low cost. You’ll be happy to play this virtually any time your deck is 3 colors, or any time you’re going for delirium (and don’t already have a handful of artifacts in your deck).</v>
      </c>
      <c r="F201" s="1">
        <f>VLOOKUP(B201,smds!B:C,2,FALSE)</f>
        <v>1</v>
      </c>
      <c r="G201" s="1">
        <f>VLOOKUP(B201,oracle!A:D,2,FALSE)</f>
        <v>1</v>
      </c>
      <c r="H201" s="1" t="str">
        <f>VLOOKUP(B201,oracle!A:D,3,FALSE)</f>
        <v>colorless</v>
      </c>
      <c r="I201" s="1" t="str">
        <f>VLOOKUP(B201,oracle!A:D,4,FALSE)</f>
        <v>\"\\"\"\\\"\"\\"\"Terrarion enters the battlefield tapped.
{2}, {T}, Sacrifice Terrarion: Add two mana in any combination of colors to your mana pool.
When Terrarion is put into a graveyard from the battlefield, draw a card.\\\"\"\\"\"\\"\"\"</v>
      </c>
    </row>
    <row r="202" spans="1:9">
      <c r="A202" s="1">
        <v>202</v>
      </c>
      <c r="B202" s="1" t="s">
        <v>258</v>
      </c>
      <c r="D202" s="1">
        <f>VLOOKUP(B202,channelfireball!A:C,2,FALSE)</f>
        <v>1.5</v>
      </c>
      <c r="E202" s="1" t="str">
        <f>VLOOKUP(B202,channelfireball!A:C,3,FALSE)</f>
        <v>More than the other common and uncommon equipment, I like both the flavor and the strategy questions represented by Thirsting Axe. For a pretty affordable rate, you can put your opponent to the test of trading for your weakest creatures every turn, or taking massive damage.Thirsting Axe is a pretty strong card for decks that aggressively attack the opponent’s life total. It’s good with evasion creatures, even though they’ll go unblocked. Having the option to unload damage is a good thing. More importantly, it’s good in decks with a lot of cheap creatures. Cheaper creatures are more expendable if you have to sacrifice them to the Axe’s triggered ability. They also don’t demand large mana investments, meaning you can use your mana on re-equiping each turn instead.</v>
      </c>
      <c r="F202" s="1">
        <f>VLOOKUP(B202,smds!B:C,2,FALSE)</f>
        <v>0.9</v>
      </c>
      <c r="G202" s="1">
        <f>VLOOKUP(B202,oracle!A:D,2,FALSE)</f>
        <v>3</v>
      </c>
      <c r="H202" s="1" t="str">
        <f>VLOOKUP(B202,oracle!A:D,3,FALSE)</f>
        <v>colorless</v>
      </c>
      <c r="I202" s="1" t="str">
        <f>VLOOKUP(B202,oracle!A:D,4,FALSE)</f>
        <v>\"\\"\"\\\"\"\\"\"Equipped creature gets +4/+0.
At the beginning of your end step, if equipped creature didn't deal combat damage to a creature this turn, sacrifice it.
Equip {2}\\\"\"\\"\"\\"\"\"</v>
      </c>
    </row>
    <row r="203" spans="1:9">
      <c r="A203" s="1">
        <v>203</v>
      </c>
      <c r="B203" s="1" t="s">
        <v>270</v>
      </c>
      <c r="D203" s="1">
        <f>VLOOKUP(B203,channelfireball!A:C,2,FALSE)</f>
        <v>1</v>
      </c>
      <c r="E203" s="1" t="str">
        <f>VLOOKUP(B203,channelfireball!A:C,3,FALSE)</f>
        <v>Geier Reach Sanitarium offers a relatively powerful symmetrical effect, and having control over it is appealing. That said, Eldritch Moon/Shadows over Innistrad is a fast Limited format with poor mana fixing, and the costs of adding a colorless land to your deck are high.I’d never call somebody crazy for playing with this card, but I think you’re only excited about it in dedicated madness decks, or decks with extremely good mana (for example, if you’re mostly one?color with a light splash).</v>
      </c>
      <c r="F203" s="1">
        <f>VLOOKUP(B203,smds!B:C,2,FALSE)</f>
        <v>1</v>
      </c>
      <c r="G203" s="1">
        <f>VLOOKUP(B203,oracle!A:D,2,FALSE)</f>
        <v>0</v>
      </c>
      <c r="H203" s="1" t="str">
        <f>VLOOKUP(B203,oracle!A:D,3,FALSE)</f>
        <v>land</v>
      </c>
      <c r="I203" s="1" t="str">
        <f>VLOOKUP(B203,oracle!A:D,4,FALSE)</f>
        <v>\"\\"\"\\\"\"\\"\"{T}: Add {C} to your mana pool.
{2}, {T}: Each player draws a card, then discards a card.\\\"\"\\"\"\\"\"\"</v>
      </c>
    </row>
    <row r="204" spans="1:9">
      <c r="A204" s="1">
        <v>204</v>
      </c>
      <c r="B204" s="1" t="s">
        <v>289</v>
      </c>
      <c r="D204" s="1" t="e">
        <f>VLOOKUP(B204,channelfireball!A:C,2,FALSE)</f>
        <v>#N/A</v>
      </c>
      <c r="E204" s="1" t="e">
        <f>VLOOKUP(B204,channelfireball!A:C,3,FALSE)</f>
        <v>#N/A</v>
      </c>
      <c r="F204" s="1">
        <f>VLOOKUP(B204,smds!B:C,2,FALSE)</f>
        <v>2</v>
      </c>
      <c r="G204" s="1">
        <f>VLOOKUP(B204,oracle!A:D,2,FALSE)</f>
        <v>0</v>
      </c>
      <c r="H204" s="1" t="str">
        <f>VLOOKUP(B204,oracle!A:D,3,FALSE)</f>
        <v>land</v>
      </c>
      <c r="I204" s="1" t="str">
        <f>VLOOKUP(B204,oracle!A:D,4,FALSE)</f>
        <v>\"\\"\"\\\"\"\\"\"{T}: Add {C} to your mana pool.
{R}, {T}: Target creature gains haste until end of turn.
{3}{R}{R}, {T}: If you both own and control Hanweir Battlements and a creature named Hanweir Garrison, exile them, then meld them into Hanweir, the Writhing Township.\\\"\"\\"\"\\"\"\"</v>
      </c>
    </row>
    <row r="205" spans="1:9">
      <c r="A205" s="1">
        <v>205</v>
      </c>
      <c r="B205" s="1" t="s">
        <v>272</v>
      </c>
      <c r="D205" s="1">
        <f>VLOOKUP(B205,channelfireball!A:C,2,FALSE)</f>
        <v>0</v>
      </c>
      <c r="E205" s="1" t="str">
        <f>VLOOKUP(B205,channelfireball!A:C,3,FALSE)</f>
        <v>Nephalia Academy’s ability simply doesn’t do enough in Limited. You’re almost always going to be better off with a basic land from the land box.So that’s it for Eldritch Moon’s Limited cards! Much like Shadows over Innistrad, there seem to be a lot of powerful rares which, even if they’re not bombs, can be picked highly and give your draft some direction. The multicolored rares are great examples.As of now, I see no reason not to believe that all 10 color combinations will be viable in draft. In particular, UW Spirits and RB Vampires seem to have gotten a lot stronger. If the emerge mechanic is as powerful as it looks like it might be, then there might be big rewards in finding the perfect way to build a UG Emerge deck.Shadows over Innistrad was already a fun and popular Limited format. Let’s hope that Eldritch Moon only adds to it!				Reid Duke burst onto the competitive scene in 2011 by winning the Magic Online Championship at Worlds, and has since grown to become one of the most widely respected players in Magic. For Team ChannelFireball: The Pantheon, Reid functions as more of a fine-tuner than a pure deckbuilder, always ready with an improved version of a known deck. _x000D_</v>
      </c>
      <c r="F205" s="1">
        <f>VLOOKUP(B205,smds!B:C,2,FALSE)</f>
        <v>0.6</v>
      </c>
      <c r="G205" s="1">
        <f>VLOOKUP(B205,oracle!A:D,2,FALSE)</f>
        <v>0</v>
      </c>
      <c r="H205" s="1" t="str">
        <f>VLOOKUP(B205,oracle!A:D,3,FALSE)</f>
        <v>land</v>
      </c>
      <c r="I205" s="1" t="str">
        <f>VLOOKUP(B205,oracle!A:D,4,FALSE)</f>
        <v>\"If a spell or ability an opponent controls causes you to discard a card, you may reveal that card and put it on top of your library instead of putting it anywhere else.
{T}: Add {C} to your mana pool.\"</v>
      </c>
    </row>
  </sheetData>
  <sortState ref="A1:I205">
    <sortCondition ref="A1:A205"/>
  </sortState>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
  <sheetViews>
    <sheetView workbookViewId="0">
      <selection activeCell="H11" sqref="H11"/>
    </sheetView>
  </sheetViews>
  <sheetFormatPr defaultRowHeight="13.5"/>
  <sheetData/>
  <phoneticPr fontId="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scores</vt:lpstr>
      <vt:lpstr>channelfireball</vt:lpstr>
      <vt:lpstr>smds</vt:lpstr>
      <vt:lpstr>oracle</vt:lpstr>
      <vt:lpstr>cardlist</vt:lpstr>
      <vt:lpstr>tmp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tilmitt</cp:lastModifiedBy>
  <dcterms:created xsi:type="dcterms:W3CDTF">2006-09-13T11:12:02Z</dcterms:created>
  <dcterms:modified xsi:type="dcterms:W3CDTF">2016-07-28T15:09:18Z</dcterms:modified>
</cp:coreProperties>
</file>