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0" windowWidth="19200" windowHeight="12090" activeTab="4"/>
  </bookViews>
  <sheets>
    <sheet name="scores" sheetId="1" r:id="rId1"/>
    <sheet name="cardlist" sheetId="5" r:id="rId2"/>
    <sheet name="channelfireball" sheetId="2" r:id="rId3"/>
    <sheet name="smds" sheetId="3" r:id="rId4"/>
    <sheet name="oracle" sheetId="4" r:id="rId5"/>
    <sheet name="tmp" sheetId="6" r:id="rId6"/>
  </sheets>
  <calcPr calcId="125725"/>
</workbook>
</file>

<file path=xl/calcChain.xml><?xml version="1.0" encoding="utf-8"?>
<calcChain xmlns="http://schemas.openxmlformats.org/spreadsheetml/2006/main">
  <c r="I205" i="5"/>
  <c r="H205"/>
  <c r="G205"/>
  <c r="F205"/>
  <c r="I204"/>
  <c r="H204"/>
  <c r="G204"/>
  <c r="F204"/>
  <c r="I203"/>
  <c r="H203"/>
  <c r="G203"/>
  <c r="F203"/>
  <c r="I202"/>
  <c r="H202"/>
  <c r="G202"/>
  <c r="F202"/>
  <c r="I201"/>
  <c r="H201"/>
  <c r="G201"/>
  <c r="F201"/>
  <c r="I200"/>
  <c r="H200"/>
  <c r="G200"/>
  <c r="F200"/>
  <c r="I199"/>
  <c r="H199"/>
  <c r="G199"/>
  <c r="F199"/>
  <c r="I198"/>
  <c r="H198"/>
  <c r="G198"/>
  <c r="F198"/>
  <c r="I197"/>
  <c r="H197"/>
  <c r="G197"/>
  <c r="F197"/>
  <c r="I196"/>
  <c r="H196"/>
  <c r="G196"/>
  <c r="F196"/>
  <c r="I195"/>
  <c r="H195"/>
  <c r="G195"/>
  <c r="F195"/>
  <c r="I194"/>
  <c r="H194"/>
  <c r="G194"/>
  <c r="F194"/>
  <c r="I193"/>
  <c r="H193"/>
  <c r="G193"/>
  <c r="F193"/>
  <c r="I192"/>
  <c r="H192"/>
  <c r="G192"/>
  <c r="F192"/>
  <c r="I191"/>
  <c r="H191"/>
  <c r="G191"/>
  <c r="F191"/>
  <c r="I190"/>
  <c r="H190"/>
  <c r="G190"/>
  <c r="F190"/>
  <c r="I189"/>
  <c r="H189"/>
  <c r="G189"/>
  <c r="F189"/>
  <c r="I188"/>
  <c r="H188"/>
  <c r="G188"/>
  <c r="F188"/>
  <c r="I187"/>
  <c r="H187"/>
  <c r="G187"/>
  <c r="F187"/>
  <c r="I186"/>
  <c r="H186"/>
  <c r="G186"/>
  <c r="F186"/>
  <c r="I185"/>
  <c r="H185"/>
  <c r="G185"/>
  <c r="F185"/>
  <c r="I184"/>
  <c r="H184"/>
  <c r="G184"/>
  <c r="F184"/>
  <c r="I183"/>
  <c r="H183"/>
  <c r="G183"/>
  <c r="F183"/>
  <c r="I182"/>
  <c r="H182"/>
  <c r="G182"/>
  <c r="F182"/>
  <c r="I181"/>
  <c r="H181"/>
  <c r="G181"/>
  <c r="F181"/>
  <c r="I180"/>
  <c r="H180"/>
  <c r="G180"/>
  <c r="F180"/>
  <c r="I179"/>
  <c r="H179"/>
  <c r="G179"/>
  <c r="F179"/>
  <c r="I178"/>
  <c r="H178"/>
  <c r="G178"/>
  <c r="F178"/>
  <c r="I177"/>
  <c r="H177"/>
  <c r="G177"/>
  <c r="F177"/>
  <c r="I176"/>
  <c r="H176"/>
  <c r="G176"/>
  <c r="F176"/>
  <c r="I175"/>
  <c r="H175"/>
  <c r="G175"/>
  <c r="F175"/>
  <c r="I174"/>
  <c r="H174"/>
  <c r="G174"/>
  <c r="F174"/>
  <c r="I173"/>
  <c r="H173"/>
  <c r="G173"/>
  <c r="F173"/>
  <c r="I172"/>
  <c r="H172"/>
  <c r="G172"/>
  <c r="F172"/>
  <c r="I171"/>
  <c r="H171"/>
  <c r="G171"/>
  <c r="F171"/>
  <c r="I170"/>
  <c r="H170"/>
  <c r="G170"/>
  <c r="F170"/>
  <c r="I169"/>
  <c r="H169"/>
  <c r="G169"/>
  <c r="F169"/>
  <c r="I168"/>
  <c r="H168"/>
  <c r="G168"/>
  <c r="F168"/>
  <c r="I167"/>
  <c r="H167"/>
  <c r="G167"/>
  <c r="F167"/>
  <c r="I166"/>
  <c r="H166"/>
  <c r="G166"/>
  <c r="F166"/>
  <c r="I165"/>
  <c r="H165"/>
  <c r="G165"/>
  <c r="F165"/>
  <c r="I164"/>
  <c r="H164"/>
  <c r="G164"/>
  <c r="F164"/>
  <c r="I163"/>
  <c r="H163"/>
  <c r="G163"/>
  <c r="F163"/>
  <c r="I162"/>
  <c r="H162"/>
  <c r="G162"/>
  <c r="F162"/>
  <c r="I161"/>
  <c r="H161"/>
  <c r="G161"/>
  <c r="F161"/>
  <c r="I160"/>
  <c r="H160"/>
  <c r="G160"/>
  <c r="F160"/>
  <c r="I159"/>
  <c r="H159"/>
  <c r="G159"/>
  <c r="F159"/>
  <c r="I158"/>
  <c r="H158"/>
  <c r="G158"/>
  <c r="F158"/>
  <c r="I157"/>
  <c r="H157"/>
  <c r="G157"/>
  <c r="F157"/>
  <c r="I156"/>
  <c r="H156"/>
  <c r="G156"/>
  <c r="F156"/>
  <c r="I155"/>
  <c r="H155"/>
  <c r="G155"/>
  <c r="F155"/>
  <c r="I154"/>
  <c r="H154"/>
  <c r="G154"/>
  <c r="F154"/>
  <c r="I153"/>
  <c r="H153"/>
  <c r="G153"/>
  <c r="F153"/>
  <c r="I152"/>
  <c r="H152"/>
  <c r="G152"/>
  <c r="F152"/>
  <c r="I151"/>
  <c r="H151"/>
  <c r="G151"/>
  <c r="F151"/>
  <c r="I150"/>
  <c r="H150"/>
  <c r="G150"/>
  <c r="F150"/>
  <c r="I149"/>
  <c r="H149"/>
  <c r="G149"/>
  <c r="F149"/>
  <c r="I148"/>
  <c r="H148"/>
  <c r="G148"/>
  <c r="F148"/>
  <c r="I147"/>
  <c r="H147"/>
  <c r="G147"/>
  <c r="F147"/>
  <c r="I146"/>
  <c r="H146"/>
  <c r="G146"/>
  <c r="F146"/>
  <c r="I145"/>
  <c r="H145"/>
  <c r="G145"/>
  <c r="F145"/>
  <c r="I144"/>
  <c r="H144"/>
  <c r="G144"/>
  <c r="F144"/>
  <c r="I143"/>
  <c r="H143"/>
  <c r="G143"/>
  <c r="F143"/>
  <c r="I142"/>
  <c r="H142"/>
  <c r="G142"/>
  <c r="F142"/>
  <c r="I141"/>
  <c r="H141"/>
  <c r="G141"/>
  <c r="F141"/>
  <c r="I140"/>
  <c r="H140"/>
  <c r="G140"/>
  <c r="F140"/>
  <c r="I139"/>
  <c r="H139"/>
  <c r="G139"/>
  <c r="F139"/>
  <c r="I138"/>
  <c r="H138"/>
  <c r="G138"/>
  <c r="F138"/>
  <c r="I137"/>
  <c r="H137"/>
  <c r="G137"/>
  <c r="F137"/>
  <c r="I136"/>
  <c r="H136"/>
  <c r="G136"/>
  <c r="F136"/>
  <c r="I135"/>
  <c r="H135"/>
  <c r="G135"/>
  <c r="F135"/>
  <c r="I134"/>
  <c r="H134"/>
  <c r="G134"/>
  <c r="F134"/>
  <c r="I133"/>
  <c r="H133"/>
  <c r="G133"/>
  <c r="F133"/>
  <c r="I132"/>
  <c r="H132"/>
  <c r="G132"/>
  <c r="F132"/>
  <c r="I131"/>
  <c r="H131"/>
  <c r="G131"/>
  <c r="F131"/>
  <c r="I130"/>
  <c r="H130"/>
  <c r="G130"/>
  <c r="F130"/>
  <c r="I129"/>
  <c r="H129"/>
  <c r="G129"/>
  <c r="F129"/>
  <c r="I128"/>
  <c r="H128"/>
  <c r="G128"/>
  <c r="F128"/>
  <c r="I127"/>
  <c r="H127"/>
  <c r="G127"/>
  <c r="F127"/>
  <c r="I126"/>
  <c r="H126"/>
  <c r="G126"/>
  <c r="F126"/>
  <c r="I125"/>
  <c r="H125"/>
  <c r="G125"/>
  <c r="F125"/>
  <c r="I124"/>
  <c r="H124"/>
  <c r="G124"/>
  <c r="F124"/>
  <c r="I123"/>
  <c r="H123"/>
  <c r="G123"/>
  <c r="F123"/>
  <c r="I122"/>
  <c r="H122"/>
  <c r="G122"/>
  <c r="F122"/>
  <c r="I121"/>
  <c r="H121"/>
  <c r="G121"/>
  <c r="F121"/>
  <c r="I120"/>
  <c r="H120"/>
  <c r="G120"/>
  <c r="F120"/>
  <c r="I119"/>
  <c r="H119"/>
  <c r="G119"/>
  <c r="F119"/>
  <c r="I118"/>
  <c r="H118"/>
  <c r="G118"/>
  <c r="F118"/>
  <c r="I117"/>
  <c r="H117"/>
  <c r="G117"/>
  <c r="F117"/>
  <c r="I116"/>
  <c r="H116"/>
  <c r="G116"/>
  <c r="F116"/>
  <c r="I115"/>
  <c r="H115"/>
  <c r="G115"/>
  <c r="F115"/>
  <c r="I114"/>
  <c r="H114"/>
  <c r="G114"/>
  <c r="F114"/>
  <c r="I113"/>
  <c r="H113"/>
  <c r="G113"/>
  <c r="F113"/>
  <c r="I112"/>
  <c r="H112"/>
  <c r="G112"/>
  <c r="F112"/>
  <c r="I111"/>
  <c r="H111"/>
  <c r="G111"/>
  <c r="F111"/>
  <c r="I110"/>
  <c r="H110"/>
  <c r="G110"/>
  <c r="F110"/>
  <c r="I109"/>
  <c r="H109"/>
  <c r="G109"/>
  <c r="F109"/>
  <c r="I108"/>
  <c r="H108"/>
  <c r="G108"/>
  <c r="F108"/>
  <c r="I107"/>
  <c r="H107"/>
  <c r="G107"/>
  <c r="F107"/>
  <c r="I106"/>
  <c r="H106"/>
  <c r="G106"/>
  <c r="F106"/>
  <c r="I105"/>
  <c r="H105"/>
  <c r="G105"/>
  <c r="F105"/>
  <c r="I104"/>
  <c r="H104"/>
  <c r="G104"/>
  <c r="F104"/>
  <c r="I103"/>
  <c r="H103"/>
  <c r="G103"/>
  <c r="F103"/>
  <c r="I102"/>
  <c r="H102"/>
  <c r="G102"/>
  <c r="F102"/>
  <c r="I101"/>
  <c r="H101"/>
  <c r="G101"/>
  <c r="F101"/>
  <c r="I100"/>
  <c r="H100"/>
  <c r="G100"/>
  <c r="F100"/>
  <c r="I99"/>
  <c r="H99"/>
  <c r="G99"/>
  <c r="F99"/>
  <c r="I98"/>
  <c r="H98"/>
  <c r="G98"/>
  <c r="F98"/>
  <c r="I97"/>
  <c r="H97"/>
  <c r="G97"/>
  <c r="F97"/>
  <c r="I96"/>
  <c r="H96"/>
  <c r="G96"/>
  <c r="F96"/>
  <c r="I95"/>
  <c r="H95"/>
  <c r="G95"/>
  <c r="F95"/>
  <c r="I94"/>
  <c r="H94"/>
  <c r="G94"/>
  <c r="F94"/>
  <c r="I93"/>
  <c r="H93"/>
  <c r="G93"/>
  <c r="F93"/>
  <c r="I92"/>
  <c r="H92"/>
  <c r="G92"/>
  <c r="F92"/>
  <c r="I91"/>
  <c r="H91"/>
  <c r="G91"/>
  <c r="F91"/>
  <c r="I90"/>
  <c r="H90"/>
  <c r="G90"/>
  <c r="F90"/>
  <c r="I89"/>
  <c r="H89"/>
  <c r="G89"/>
  <c r="F89"/>
  <c r="I88"/>
  <c r="H88"/>
  <c r="G88"/>
  <c r="F88"/>
  <c r="I87"/>
  <c r="H87"/>
  <c r="G87"/>
  <c r="F87"/>
  <c r="I86"/>
  <c r="H86"/>
  <c r="G86"/>
  <c r="F86"/>
  <c r="I85"/>
  <c r="H85"/>
  <c r="G85"/>
  <c r="F85"/>
  <c r="I84"/>
  <c r="H84"/>
  <c r="G84"/>
  <c r="F84"/>
  <c r="I83"/>
  <c r="H83"/>
  <c r="G83"/>
  <c r="F83"/>
  <c r="I82"/>
  <c r="H82"/>
  <c r="G82"/>
  <c r="F82"/>
  <c r="I81"/>
  <c r="H81"/>
  <c r="G81"/>
  <c r="F81"/>
  <c r="I80"/>
  <c r="H80"/>
  <c r="G80"/>
  <c r="F80"/>
  <c r="I79"/>
  <c r="H79"/>
  <c r="G79"/>
  <c r="F79"/>
  <c r="I78"/>
  <c r="H78"/>
  <c r="G78"/>
  <c r="F78"/>
  <c r="I77"/>
  <c r="H77"/>
  <c r="G77"/>
  <c r="F77"/>
  <c r="I76"/>
  <c r="H76"/>
  <c r="G76"/>
  <c r="F76"/>
  <c r="I75"/>
  <c r="H75"/>
  <c r="G75"/>
  <c r="F75"/>
  <c r="I74"/>
  <c r="H74"/>
  <c r="G74"/>
  <c r="F74"/>
  <c r="I73"/>
  <c r="H73"/>
  <c r="G73"/>
  <c r="F73"/>
  <c r="I72"/>
  <c r="H72"/>
  <c r="G72"/>
  <c r="F72"/>
  <c r="I71"/>
  <c r="H71"/>
  <c r="G71"/>
  <c r="F71"/>
  <c r="I70"/>
  <c r="H70"/>
  <c r="G70"/>
  <c r="F70"/>
  <c r="I69"/>
  <c r="H69"/>
  <c r="G69"/>
  <c r="F69"/>
  <c r="I68"/>
  <c r="H68"/>
  <c r="G68"/>
  <c r="F68"/>
  <c r="I67"/>
  <c r="H67"/>
  <c r="G67"/>
  <c r="F67"/>
  <c r="I66"/>
  <c r="H66"/>
  <c r="G66"/>
  <c r="F66"/>
  <c r="I65"/>
  <c r="H65"/>
  <c r="G65"/>
  <c r="F65"/>
  <c r="I64"/>
  <c r="H64"/>
  <c r="G64"/>
  <c r="F64"/>
  <c r="I63"/>
  <c r="H63"/>
  <c r="G63"/>
  <c r="F63"/>
  <c r="I62"/>
  <c r="H62"/>
  <c r="G62"/>
  <c r="F62"/>
  <c r="I61"/>
  <c r="H61"/>
  <c r="G61"/>
  <c r="F61"/>
  <c r="I60"/>
  <c r="H60"/>
  <c r="G60"/>
  <c r="F60"/>
  <c r="I59"/>
  <c r="H59"/>
  <c r="G59"/>
  <c r="F59"/>
  <c r="I58"/>
  <c r="H58"/>
  <c r="G58"/>
  <c r="F58"/>
  <c r="I57"/>
  <c r="H57"/>
  <c r="G57"/>
  <c r="F57"/>
  <c r="I56"/>
  <c r="H56"/>
  <c r="G56"/>
  <c r="F56"/>
  <c r="I55"/>
  <c r="H55"/>
  <c r="G55"/>
  <c r="F55"/>
  <c r="I54"/>
  <c r="H54"/>
  <c r="G54"/>
  <c r="F54"/>
  <c r="I53"/>
  <c r="H53"/>
  <c r="G53"/>
  <c r="F53"/>
  <c r="I52"/>
  <c r="H52"/>
  <c r="G52"/>
  <c r="F52"/>
  <c r="I51"/>
  <c r="H51"/>
  <c r="G51"/>
  <c r="F51"/>
  <c r="I50"/>
  <c r="H50"/>
  <c r="G50"/>
  <c r="F50"/>
  <c r="I49"/>
  <c r="H49"/>
  <c r="G49"/>
  <c r="F49"/>
  <c r="I48"/>
  <c r="H48"/>
  <c r="G48"/>
  <c r="F48"/>
  <c r="I47"/>
  <c r="H47"/>
  <c r="G47"/>
  <c r="F47"/>
  <c r="I46"/>
  <c r="H46"/>
  <c r="G46"/>
  <c r="F46"/>
  <c r="I45"/>
  <c r="H45"/>
  <c r="G45"/>
  <c r="F45"/>
  <c r="I44"/>
  <c r="H44"/>
  <c r="G44"/>
  <c r="F44"/>
  <c r="I43"/>
  <c r="H43"/>
  <c r="G43"/>
  <c r="F43"/>
  <c r="I42"/>
  <c r="H42"/>
  <c r="G42"/>
  <c r="F42"/>
  <c r="I41"/>
  <c r="H41"/>
  <c r="G41"/>
  <c r="F41"/>
  <c r="I40"/>
  <c r="H40"/>
  <c r="G40"/>
  <c r="F40"/>
  <c r="I39"/>
  <c r="H39"/>
  <c r="G39"/>
  <c r="F39"/>
  <c r="I38"/>
  <c r="H38"/>
  <c r="G38"/>
  <c r="F38"/>
  <c r="I37"/>
  <c r="H37"/>
  <c r="G37"/>
  <c r="F37"/>
  <c r="I36"/>
  <c r="H36"/>
  <c r="G36"/>
  <c r="F36"/>
  <c r="I35"/>
  <c r="H35"/>
  <c r="G35"/>
  <c r="F35"/>
  <c r="I34"/>
  <c r="H34"/>
  <c r="G34"/>
  <c r="F34"/>
  <c r="I33"/>
  <c r="H33"/>
  <c r="G33"/>
  <c r="F33"/>
  <c r="I32"/>
  <c r="H32"/>
  <c r="G32"/>
  <c r="F32"/>
  <c r="I31"/>
  <c r="H31"/>
  <c r="G31"/>
  <c r="F31"/>
  <c r="I30"/>
  <c r="H30"/>
  <c r="G30"/>
  <c r="F30"/>
  <c r="I29"/>
  <c r="H29"/>
  <c r="G29"/>
  <c r="F29"/>
  <c r="I28"/>
  <c r="H28"/>
  <c r="G28"/>
  <c r="F28"/>
  <c r="I27"/>
  <c r="H27"/>
  <c r="G27"/>
  <c r="F27"/>
  <c r="I26"/>
  <c r="H26"/>
  <c r="G26"/>
  <c r="F26"/>
  <c r="I25"/>
  <c r="H25"/>
  <c r="G25"/>
  <c r="F25"/>
  <c r="I24"/>
  <c r="H24"/>
  <c r="G24"/>
  <c r="F24"/>
  <c r="I23"/>
  <c r="H23"/>
  <c r="G23"/>
  <c r="F23"/>
  <c r="I22"/>
  <c r="H22"/>
  <c r="G22"/>
  <c r="F22"/>
  <c r="I21"/>
  <c r="H21"/>
  <c r="G21"/>
  <c r="F21"/>
  <c r="I20"/>
  <c r="H20"/>
  <c r="G20"/>
  <c r="F20"/>
  <c r="I19"/>
  <c r="H19"/>
  <c r="G19"/>
  <c r="F19"/>
  <c r="I18"/>
  <c r="H18"/>
  <c r="G18"/>
  <c r="F18"/>
  <c r="I17"/>
  <c r="H17"/>
  <c r="G17"/>
  <c r="F17"/>
  <c r="I16"/>
  <c r="H16"/>
  <c r="G16"/>
  <c r="F16"/>
  <c r="I15"/>
  <c r="H15"/>
  <c r="G15"/>
  <c r="F15"/>
  <c r="I14"/>
  <c r="H14"/>
  <c r="G14"/>
  <c r="F14"/>
  <c r="I13"/>
  <c r="H13"/>
  <c r="G13"/>
  <c r="F13"/>
  <c r="I12"/>
  <c r="H12"/>
  <c r="G12"/>
  <c r="F12"/>
  <c r="I11"/>
  <c r="H11"/>
  <c r="G11"/>
  <c r="F11"/>
  <c r="I10"/>
  <c r="H10"/>
  <c r="G10"/>
  <c r="F10"/>
  <c r="I9"/>
  <c r="H9"/>
  <c r="G9"/>
  <c r="F9"/>
  <c r="I8"/>
  <c r="H8"/>
  <c r="G8"/>
  <c r="F8"/>
  <c r="I7"/>
  <c r="H7"/>
  <c r="G7"/>
  <c r="F7"/>
  <c r="I6"/>
  <c r="H6"/>
  <c r="G6"/>
  <c r="F6"/>
  <c r="I5"/>
  <c r="H5"/>
  <c r="G5"/>
  <c r="F5"/>
  <c r="I4"/>
  <c r="H4"/>
  <c r="G4"/>
  <c r="F4"/>
  <c r="I3"/>
  <c r="H3"/>
  <c r="G3"/>
  <c r="F3"/>
  <c r="I2"/>
  <c r="H2"/>
  <c r="G2"/>
  <c r="F2"/>
  <c r="I1"/>
  <c r="H1"/>
  <c r="G1"/>
  <c r="F1"/>
  <c r="E205"/>
  <c r="D205"/>
  <c r="E204"/>
  <c r="D204"/>
  <c r="E203"/>
  <c r="D203"/>
  <c r="E202"/>
  <c r="D202"/>
  <c r="E201"/>
  <c r="D201"/>
  <c r="E200"/>
  <c r="D200"/>
  <c r="E199"/>
  <c r="D199"/>
  <c r="E198"/>
  <c r="D198"/>
  <c r="E197"/>
  <c r="D197"/>
  <c r="E196"/>
  <c r="D196"/>
  <c r="E195"/>
  <c r="D195"/>
  <c r="E194"/>
  <c r="D194"/>
  <c r="E193"/>
  <c r="D193"/>
  <c r="E192"/>
  <c r="D192"/>
  <c r="E191"/>
  <c r="D191"/>
  <c r="E190"/>
  <c r="D190"/>
  <c r="E189"/>
  <c r="D189"/>
  <c r="E188"/>
  <c r="D188"/>
  <c r="E187"/>
  <c r="D187"/>
  <c r="E186"/>
  <c r="D186"/>
  <c r="E185"/>
  <c r="D185"/>
  <c r="E184"/>
  <c r="D184"/>
  <c r="E183"/>
  <c r="D183"/>
  <c r="E182"/>
  <c r="D182"/>
  <c r="E181"/>
  <c r="D181"/>
  <c r="E180"/>
  <c r="D180"/>
  <c r="E179"/>
  <c r="D179"/>
  <c r="E178"/>
  <c r="D178"/>
  <c r="E177"/>
  <c r="D177"/>
  <c r="E176"/>
  <c r="D176"/>
  <c r="E175"/>
  <c r="D175"/>
  <c r="E174"/>
  <c r="D174"/>
  <c r="E173"/>
  <c r="D173"/>
  <c r="E172"/>
  <c r="D172"/>
  <c r="E171"/>
  <c r="D171"/>
  <c r="E170"/>
  <c r="D170"/>
  <c r="E169"/>
  <c r="D169"/>
  <c r="E168"/>
  <c r="D168"/>
  <c r="E167"/>
  <c r="D167"/>
  <c r="E166"/>
  <c r="D166"/>
  <c r="E165"/>
  <c r="D165"/>
  <c r="E164"/>
  <c r="D164"/>
  <c r="E163"/>
  <c r="D163"/>
  <c r="E162"/>
  <c r="D162"/>
  <c r="E161"/>
  <c r="D161"/>
  <c r="E160"/>
  <c r="D160"/>
  <c r="E159"/>
  <c r="D159"/>
  <c r="E158"/>
  <c r="D158"/>
  <c r="E157"/>
  <c r="D157"/>
  <c r="E156"/>
  <c r="D156"/>
  <c r="E155"/>
  <c r="D155"/>
  <c r="E154"/>
  <c r="D154"/>
  <c r="E153"/>
  <c r="D153"/>
  <c r="E152"/>
  <c r="D152"/>
  <c r="E151"/>
  <c r="D151"/>
  <c r="E150"/>
  <c r="D150"/>
  <c r="E149"/>
  <c r="D149"/>
  <c r="E148"/>
  <c r="D148"/>
  <c r="E147"/>
  <c r="D147"/>
  <c r="E146"/>
  <c r="D146"/>
  <c r="E145"/>
  <c r="D145"/>
  <c r="E144"/>
  <c r="D144"/>
  <c r="E143"/>
  <c r="D143"/>
  <c r="E142"/>
  <c r="D142"/>
  <c r="E141"/>
  <c r="D141"/>
  <c r="E140"/>
  <c r="D140"/>
  <c r="E139"/>
  <c r="D139"/>
  <c r="E138"/>
  <c r="D138"/>
  <c r="E137"/>
  <c r="D137"/>
  <c r="E136"/>
  <c r="D136"/>
  <c r="E135"/>
  <c r="D135"/>
  <c r="E134"/>
  <c r="D134"/>
  <c r="E133"/>
  <c r="D133"/>
  <c r="E132"/>
  <c r="D132"/>
  <c r="E131"/>
  <c r="D131"/>
  <c r="E130"/>
  <c r="D130"/>
  <c r="E129"/>
  <c r="D129"/>
  <c r="E128"/>
  <c r="D128"/>
  <c r="E127"/>
  <c r="D127"/>
  <c r="E126"/>
  <c r="D126"/>
  <c r="E125"/>
  <c r="D125"/>
  <c r="E124"/>
  <c r="D124"/>
  <c r="E123"/>
  <c r="D123"/>
  <c r="E122"/>
  <c r="D122"/>
  <c r="E121"/>
  <c r="D121"/>
  <c r="E120"/>
  <c r="D120"/>
  <c r="E119"/>
  <c r="D119"/>
  <c r="E118"/>
  <c r="D118"/>
  <c r="E117"/>
  <c r="D117"/>
  <c r="E116"/>
  <c r="D116"/>
  <c r="E115"/>
  <c r="D115"/>
  <c r="E114"/>
  <c r="D114"/>
  <c r="E113"/>
  <c r="D113"/>
  <c r="E112"/>
  <c r="D112"/>
  <c r="E111"/>
  <c r="D111"/>
  <c r="E110"/>
  <c r="D110"/>
  <c r="E109"/>
  <c r="D109"/>
  <c r="E108"/>
  <c r="D108"/>
  <c r="E107"/>
  <c r="D107"/>
  <c r="E106"/>
  <c r="D106"/>
  <c r="E105"/>
  <c r="D105"/>
  <c r="E104"/>
  <c r="D104"/>
  <c r="E103"/>
  <c r="D103"/>
  <c r="E102"/>
  <c r="D102"/>
  <c r="E101"/>
  <c r="D101"/>
  <c r="E100"/>
  <c r="D100"/>
  <c r="E99"/>
  <c r="D99"/>
  <c r="E98"/>
  <c r="D98"/>
  <c r="E97"/>
  <c r="D97"/>
  <c r="E96"/>
  <c r="D96"/>
  <c r="E95"/>
  <c r="D95"/>
  <c r="E94"/>
  <c r="D94"/>
  <c r="E93"/>
  <c r="D93"/>
  <c r="E92"/>
  <c r="D92"/>
  <c r="E91"/>
  <c r="D91"/>
  <c r="E90"/>
  <c r="D90"/>
  <c r="E89"/>
  <c r="D89"/>
  <c r="E88"/>
  <c r="D88"/>
  <c r="E87"/>
  <c r="D87"/>
  <c r="E86"/>
  <c r="D86"/>
  <c r="E85"/>
  <c r="D85"/>
  <c r="E84"/>
  <c r="D84"/>
  <c r="E83"/>
  <c r="D83"/>
  <c r="E82"/>
  <c r="D82"/>
  <c r="E81"/>
  <c r="D81"/>
  <c r="E80"/>
  <c r="D80"/>
  <c r="E79"/>
  <c r="D79"/>
  <c r="E78"/>
  <c r="D78"/>
  <c r="E77"/>
  <c r="D77"/>
  <c r="E76"/>
  <c r="D76"/>
  <c r="E75"/>
  <c r="D75"/>
  <c r="E74"/>
  <c r="D74"/>
  <c r="E73"/>
  <c r="D73"/>
  <c r="E72"/>
  <c r="D72"/>
  <c r="E71"/>
  <c r="D71"/>
  <c r="E70"/>
  <c r="D70"/>
  <c r="E69"/>
  <c r="D69"/>
  <c r="E68"/>
  <c r="D68"/>
  <c r="E67"/>
  <c r="D67"/>
  <c r="E66"/>
  <c r="D66"/>
  <c r="E65"/>
  <c r="D65"/>
  <c r="E64"/>
  <c r="D64"/>
  <c r="E63"/>
  <c r="D63"/>
  <c r="E62"/>
  <c r="D62"/>
  <c r="E61"/>
  <c r="D61"/>
  <c r="E60"/>
  <c r="D60"/>
  <c r="E59"/>
  <c r="D59"/>
  <c r="E58"/>
  <c r="D58"/>
  <c r="E57"/>
  <c r="D57"/>
  <c r="E56"/>
  <c r="D56"/>
  <c r="E55"/>
  <c r="D55"/>
  <c r="E54"/>
  <c r="D54"/>
  <c r="E53"/>
  <c r="D53"/>
  <c r="E52"/>
  <c r="D52"/>
  <c r="E51"/>
  <c r="D51"/>
  <c r="E50"/>
  <c r="D50"/>
  <c r="E49"/>
  <c r="D49"/>
  <c r="E48"/>
  <c r="D48"/>
  <c r="E47"/>
  <c r="D47"/>
  <c r="E46"/>
  <c r="D46"/>
  <c r="E45"/>
  <c r="D45"/>
  <c r="E44"/>
  <c r="D44"/>
  <c r="E43"/>
  <c r="D43"/>
  <c r="E42"/>
  <c r="D42"/>
  <c r="E41"/>
  <c r="D41"/>
  <c r="E40"/>
  <c r="D40"/>
  <c r="E39"/>
  <c r="D39"/>
  <c r="E38"/>
  <c r="D38"/>
  <c r="E37"/>
  <c r="D37"/>
  <c r="E36"/>
  <c r="D36"/>
  <c r="E35"/>
  <c r="D35"/>
  <c r="E34"/>
  <c r="D34"/>
  <c r="E33"/>
  <c r="D33"/>
  <c r="E32"/>
  <c r="D32"/>
  <c r="E31"/>
  <c r="D31"/>
  <c r="E30"/>
  <c r="D30"/>
  <c r="E29"/>
  <c r="D29"/>
  <c r="E28"/>
  <c r="D28"/>
  <c r="E27"/>
  <c r="D27"/>
  <c r="E26"/>
  <c r="D26"/>
  <c r="E25"/>
  <c r="D25"/>
  <c r="E24"/>
  <c r="D24"/>
  <c r="E23"/>
  <c r="D23"/>
  <c r="E22"/>
  <c r="D22"/>
  <c r="E21"/>
  <c r="D21"/>
  <c r="E20"/>
  <c r="D20"/>
  <c r="E19"/>
  <c r="D19"/>
  <c r="E18"/>
  <c r="D18"/>
  <c r="E17"/>
  <c r="D17"/>
  <c r="E16"/>
  <c r="D16"/>
  <c r="E15"/>
  <c r="D15"/>
  <c r="E14"/>
  <c r="D14"/>
  <c r="E13"/>
  <c r="D13"/>
  <c r="E12"/>
  <c r="D12"/>
  <c r="E11"/>
  <c r="D11"/>
  <c r="E10"/>
  <c r="D10"/>
  <c r="E9"/>
  <c r="D9"/>
  <c r="E8"/>
  <c r="D8"/>
  <c r="E7"/>
  <c r="D7"/>
  <c r="E6"/>
  <c r="D6"/>
  <c r="E5"/>
  <c r="D5"/>
  <c r="E4"/>
  <c r="D4"/>
  <c r="E3"/>
  <c r="D3"/>
  <c r="E2"/>
  <c r="D2"/>
  <c r="E1"/>
  <c r="D1"/>
  <c r="B2" i="1"/>
</calcChain>
</file>

<file path=xl/sharedStrings.xml><?xml version="1.0" encoding="utf-8"?>
<sst xmlns="http://schemas.openxmlformats.org/spreadsheetml/2006/main" count="4714" uniqueCount="1603">
  <si>
    <t>Liliana, the Last Hope</t>
  </si>
  <si>
    <t>Blessed Alliance</t>
  </si>
  <si>
    <t>Escalate is one of the new mechanics in Eldritch Moon. Cards with escalate are extremely flexible; you can sink varying amounts of mana into them, and they have?multiple?modes to choose from. Most of the cards have one or two bread-and-butter modes that you’ll be using most of the time in Limited. The rest are situational, bonus modes that can be nice, but shouldn’t drastically change your valuation of the cards.In the case of Blessed Alliance, the bread and butter ability is making the opponent sacrifice an attacking creature (this is the only mode that gives you a card’s worth of value). However, the two bonus abilities make it a reasonably powerful utility spell.It’s difficult to kill two attackers with Blessed Alliance, because if you escalate and try to untap creatures for an ambush, your opponent can choose to sacrifice a weaker or non-evasive attacker. That said, you can certainly contrive situations where you can kill multiple attackers, and sometimes the stars do align.Finally, while you should basically never play with a card that does nothing but gain you life, having the gain-4 option tacked on to this card at such a low cost is also fantastic.</t>
  </si>
  <si>
    <t>Borrowed Grace</t>
  </si>
  <si>
    <t>I’m not a fan of Trumpet Blast. But Borrowed Grace will be Trumpet Blast when Trumpet Blast is good (a.k.a. lethal). It gives your team the full +2/+2 when the game stalls out, and every now and then it will save a creature for 3 mana. Escalate is a powerful ability, and Borrowed Grace is a very good version of what it does.Not every deck will be interested in Borrowed Grace, and it’s not the type of card you’ll want more than 1 or 2 copies of. But when you have an aggressive, white, creature-swarm deck, Borrowed Grace will be a great?addition.</t>
  </si>
  <si>
    <t>Choking Restraints</t>
  </si>
  <si>
    <t>Choking Restraints is Eldritch Moon’s version of the Pacifism, Arrest, and Bound by Moonsilver category of removal. These cards are typically excellent, and tend to rank higher than the vast majority of white commons.The weakness of Choking Restraints is that it cannot stop a creature with an annoying noncombat ability, such as Reckless Scholar. Its second ability somewhat corrects that weakness if you have the time and mana to spend on it. Most of the time, you’ll simply use this to remove a blocker. But some games do play out where you simply need to remove an opposing Drogskol Cavalry from the battlefield at any cost, and the fact that Choking Restraints can do it is certainly a plus. The activated ability can help it combo with Ironclad Slayer as well!Choking Restraints is marginally worse than Bound by Moonsilver, but is still excellent. It’s a card you should be happy to pick highly, and should play in as many copies as you can get.</t>
  </si>
  <si>
    <t>Courageous Outrider</t>
  </si>
  <si>
    <t>With only 5 other Humans in your deck, you’ll hit with Courageous Outrider close to 50% of the time. In a white-based creature deck, you’ll have a good chance of having more than 5 other Humans, and the odds will go further in your favor.Courageous Outrider isn’t quite as good as a 4-mana 3/4?that draws a card, but it’s pretty close. When you do find a creature, the ability winds up being better than drawing a card because you know you’re getting action instead of something random (which could be a land).</t>
  </si>
  <si>
    <t>Dawn Gryff</t>
  </si>
  <si>
    <t>Wind Drake is an oldie but a goodie. Dawn Gryff also fits white’s theme of evasive beatdown, and is good in a deck with equipment or other ways to buff creatures. This is a solid card, but might once in a while get cut from more defensive white decks.</t>
  </si>
  <si>
    <t>Deploy the Gatewatch</t>
  </si>
  <si>
    <t>If you somehow end up with 3 planeswalkers and Deploy the Gatewatch in Limited―congratulations, everybody hates you.</t>
  </si>
  <si>
    <t>Desperate Sentry</t>
  </si>
  <si>
    <t>Desperate Sentry does a lot, and has a pretty high raw power level for a common. It’s fantastic in a deck that can count on getting delirium. It’s also solid in a defensive deck that simply wants to block with it (3 mana for a 3/2 is a baseline rate, and getting a free chump-block from Desperate Sentry makes it a little better than that). It also does a nice job holding equipment, which is a bit of a theme in white.Don’t play this in an aggressive, non-delirium deck unless you’re desperate. In such a deck, you’ll have trouble getting him to die, and pecking away for 1 damage at a time is not what you want to get from your 3-drop creature.</t>
  </si>
  <si>
    <t>Drogskol Shieldmate</t>
  </si>
  <si>
    <t>Flash is quite a powerful ability in Limited, giving you the potential to ambush a smaller attacking creature. But all of the flash creatures in Eldritch Moon and Shadows over Innistrad are hurt by the fact that there are so many of them. Players will quickly learn to be wary of attacking small ground creatures into open mana, and so?the number of times Drogskol Shieldmate will successfully ambush a 2-drop won’t be quite as high as you would like.Drogskol Shieldmate also has a minor combat-trick element, offering the possibility of saving one of your creatures. 1 toughness isn’t much, and again, it might end up being harder to get full value from Drogskol Shieldmate in practice than you would like in theory.All told, the Shieldmate is going to be an average body (very slightly below average), with two outside chances at giving you extra value. This amounts to a creature you’ll be happy to play with. Some drafters will also be in the market for a Spirit creature type.</t>
  </si>
  <si>
    <t>Faith Unbroken</t>
  </si>
  <si>
    <t>I don’t love putting my faith in a card this swingy, but the power level breaks through the roof. When it works, you’ll eliminate your opponent’s best creature―no questions asked―while simultaneously creating a giant threat on the battlefield (with the benefit of some immediate damage coming through).When it doesn’t work, Faith Unbroken creates a 2-for-1 in the opponent’s favor just like any other Aura. The good news is that you can cast it when the opponent is tapped out for a huge board-presence swing that might allow you to either win the game or unload a ton of damage immediately.Because the downside is higher, Faith Unbroken is a bit worse than Banisher Priest. But it’s still a powerful card that aggressive white decks will be very interested in. When it goes unanswered, Faith Unbroken will lead to some easy and convincing wins.</t>
  </si>
  <si>
    <t>Faithbearer Paladin</t>
  </si>
  <si>
    <t>Faithbearer Paladin is basically my definition of a filler card. Lifelink on a creature this size is roughly equal to having an extra +1/+1, which makes Faithbearer Paladin equal on power level to Thornhide Wolves. Both creatures will continue to make the cut in my decks a little more than half the time.</t>
  </si>
  <si>
    <t>Fiend Binder</t>
  </si>
  <si>
    <t>Fiend Binder looked like a great card when I thought it was 3 mana. When I reread it, I became much less excited. Even with tapping down one?blocker, a 2-toughness creature often won’t make it out of the red zone alive on the fifth turn of the game.Getting this effect as an attack trigger is about equal to the enters-the-battlefield trigger on Voldaren Duelist. The fact that Fiend Binder lacks haste makes it far worse.Fiend Binder offers a powerful effect if it can successfully attack for a few turns in a row. Unfortunately, the bottom line is that its stats are simply too far below par for your 4-drop creature to be an exciting card. This is filler for aggressive decks, and should be avoided in defensive decks.</t>
  </si>
  <si>
    <t>Geist of the Lonely Vigil</t>
  </si>
  <si>
    <t>A 2-drop creature that can’t attack is fairly unappealing, and a 2/3?attacker in the late game isn’t exactly a big payoff. There will be some middle ground―defensive delirium decks―where getting both is good enough. But Geist of the Lonely Vigil is a fairly unexciting card that won’t wind up as a high pick.</t>
  </si>
  <si>
    <t>Give No Ground</t>
  </si>
  <si>
    <t>Defensive combat tricks are a particularly unloved category of cards. Are you really going to pass the turn with 4 mana open for Give No Ground, just in case your opponent goes for a big attack? Are you really going to cast it into your opponent’s open mana and risk getting blown out by a removal spell? Sure, sometimes you’ll do these things, and sometimes it will work out nicely, but Give No Ground is the type of card that you should not be planning your strategy around.</t>
  </si>
  <si>
    <t>Guardian of Pilgrims</t>
  </si>
  <si>
    <t>2-drops are incredibly important for white aggressive decks, and Guardian of Pilgrims is a good, efficient one. Grizzly Bears is solid enough that you’re happy to play this on turn 2 just to get something on the board. If you draw it on turn 5, you can get a bit of extra value, letting one of your creatures attack into a bigger blocker. Add the fact that it has a relevant creature type, and you have a solid?card that you’ll be happy to snatch up during the middle picks of the draft, once you’ve solidified yourself in white.</t>
  </si>
  <si>
    <t>Ironclad Slayer</t>
  </si>
  <si>
    <t>Choking Restraints is a premium common that might wind up in your graveyard in the very late game. Beyond that, it doesn’t look like it will be particularly easy or convenient to get Auras and equipments into your graveyard for the purposes of Ironclad Slayer. There are ways to mill yourself in Eldritch Moon/Shadows over Innistrad Limited, but that doesn’t seem to be a major theme of white.Ironclad Slayer is an average creature that offers the potential for some late game value. Even if you’re only returning an Aura 20% of the time, this is still a solid filler card.</t>
  </si>
  <si>
    <t>Ironwright's Cleansing</t>
  </si>
  <si>
    <t>Try not to maindeck Ironwright’s Cleansing, but there seem to be enough artifacts and enchantments in this Limited format that it wouldn’t be a complete catastrophe if you had to do so. Beyond that, it looks like a solid sideboard card.</t>
  </si>
  <si>
    <t>Long Road Home</t>
  </si>
  <si>
    <t>If you’ve read much of my writing on Limited, you’ll know that I have a strong tendency to dislike cards that are not creatures or removal spells. I’m going to err toward giving cards like Long Road Home low ratings. But where that means you shouldn’t be spending high draft picks on them, there can certainly still be a time and place for playing with them.Put Long Road Home in your deck main deck when you have several creatures with powerful enters-the-battlefield triggers. Sideboard it in to beat pesky Auras like Sleep Paralysis and Bound by Moonsilver. You can also use it to save your creature from a removal spell, or to remove a blocker on the turn you attack for lethal, but if those are the only things you can do, you’re better off leaving this at home.</t>
  </si>
  <si>
    <t>Lunarch Mantle</t>
  </si>
  <si>
    <t>Lunarch Mantle is an average Aura, and average Auras are generally weak in Limited. If this was Spectral Flight, I’d be interested, and Lunarch Mantle can help you with a few corner-case situations, like getting delirium. Unfortunately, having to both spend mana and sacrifice a permanent means that you can’t keep?giving your creature flying turn after turn.Lunarch Mantle is a decent rate for an aggressive deck, and there are a few cards (like Ironclad Slayer) that incentivize you to play with Auras. All told, I’d say this is a below-average filler card.</t>
  </si>
  <si>
    <t>Peace of Mind</t>
  </si>
  <si>
    <t>A reusable discard outlet is appealing in a madness set. Unfortunately, Peace of Mind doesn’t replace itself, doesn’t affect the board, and doesn’t really do much at all. Combine that with the fact that white is a color with no madness cards and you have a goofy enchantment that should largely be ignored.</t>
  </si>
  <si>
    <t>Providence</t>
  </si>
  <si>
    <t>I guess the original name of hexkaidodekaphilia didn’t have a great ring to it, but I like both the flavor and the function of this card.I’ve spent much of today’s review?bashing life-gain cards, and Providence is a card that doesn’t replace itself, and does nothing other than gain you life. That said, it’s a pretty darn powerful life gain card! If it’s in your opening hand, you get 6 life for free, and it still hangs out in your hand to be cast later! This makes it worth as many as 31 life points at its absolute best.Don’t get me wrong―this is by no means a premium card, and you need a very slow and controlling deck to be interested in it. It strikes me as the type of card that many players would immediately dismiss, but it may prove to be a lot more useful than you think.Every color has a lot of Humans in this Limited format, so Repel the Abominable will wind up being about 2/3 of a Fog. The upside is that white has the most Humans, you can build your deck around Repel the Abominable, and you can sculpt?your game plan around it. This will certainly make for some blowouts, but I’d be more interested in it as a sideboard card after seeing a lot of combat tricks out of my opponent.</t>
  </si>
  <si>
    <t>Sanctifier of Souls</t>
  </si>
  <si>
    <t>Token generators are traditionally powerful in Limited. Sanctifier of Souls is a repeatable token maker, but is limited to the number of creatures you can get into your graveyard. This is a card that will have a big impact on a protracted game, and I can’t imagine cutting it from a white deck. That said, I don’t see it as being one of the strongest rares in the set.</t>
  </si>
  <si>
    <t>Selfless Spirit</t>
  </si>
  <si>
    <t>Selfless Spirit is not a bomb, but it is a supremely good and efficient card. 2 mana, 2-power flyers are already premium cards in Limited, and this has the additional ability to save a better creature from removal or to bail you out of an otherwise-disastrous combat step.</t>
  </si>
  <si>
    <t>Sigarda's Aid</t>
  </si>
  <si>
    <t>If you have so much equipment in your deck that you’re considering Sigarda’s Aid, you’ve probably already done something very wrong. What’s worse is that this is card disadvantage, and does nothing as a late-game topdeck. If you work hard, you might be able to dream up a game that plays out in such a way where Sigarda’s Aid is decent, but trust me when I say that you’ll win a lot more if you ignore this card.</t>
  </si>
  <si>
    <t>Sigardian Priest</t>
  </si>
  <si>
    <t>Sigardian Priest is a functional reprint (and a fairly uncreative one at that) of Avacynian Priest, which was one of the best white commons in original Innistrad. A lot of creatures are Humans, but a lot are not, and Sigardian Priest gives you control over the battlefield.Tappers tend to be excellent in Limited, and Sigardian Priest is a very good, efficient tapper.</t>
  </si>
  <si>
    <t>Spectral Reserves</t>
  </si>
  <si>
    <t>You’d rather have a Courier Griffin than Spectral Reserves, but Courier Griffin was a strong filler card that would rarely get cut from a deck. Spectral Reserves seems like a completely fine, bread-and-butter card. You won’t want it in super-aggressive decks, but in average or controlling decks, this can buy you time, offer you value, and present some flying attackers.I’d also mention that Spectral Reserves gives you two?bodies to hold equipment, but that would be a bit of a flavor fail…</t>
  </si>
  <si>
    <t>Steadfast Cathar</t>
  </si>
  <si>
    <t>Aggressive white decks want 2-drops, and attacking as a 2/3?is a very solid rate for a 2-drop. Unfortunately, sitting around as a 2/1 creature also makes Steadfast Cathar vulnerable to the pinging effects (think Tooth Collector) that are reasonably prevalent in Eldritch Moon and Shadows over Innistrad. Overall, this is an average, or slightly above average card that you’ll play when you’re aggressive or when you need a 2-drop.</t>
  </si>
  <si>
    <t>Subjugator Angel</t>
  </si>
  <si>
    <t>The first thing I look for in my 6-drop creature is its ability to stabilize the board and bring me back from a tough situation. Subjugator Angel doesn’t earn high marks in that category, having a measly 3 toughness, and an ability that doesn’t contribute much to defense.On the other hand, its ability to act as a “super Voldaren Duelist” is not to be ignored. There is one tough situation that Subjugator Angel can get you out of, which is when a stronger late-game deck has stabilized against you, and you need to finish them off before things away from you completely. The Angel is so good at this particular job that you might be willing to stretch your curve all the way up to 6 mana in your WR beatdown decks when you would've otherwise stopped at 4 or 5.As a?mediocre 6-drop for the decks that normally want 6-drops, and a stellar 6-drop for the decks that normally don’t want 6-drops, Subjugator Angel is an interesting card. In a completely normal-looking deck (let’s say an average WB deck), the raw power level makes this a card you’ll be happy to play with.</t>
  </si>
  <si>
    <t>Thalia, Heretic Cathar</t>
  </si>
  <si>
    <t>Thalia is a premium creature for a white aggressive deck. 3 mana for a 3/2 first strike is a good body, and your opponent won’t be able to produce a creature that can beat her in combat until a few turns later in the game. Even when they can, you’ll get one?extra turn of free attacks because her passive ability forces opposing blockers to enter the battlefield tapped!If you don’t have experience with an effect like this, I think you’ll be surprised at how powerful forcing blockers to enter the battlefield tapped can be when you’re beating down. Thalia isn’t a bomb, but she is a card you’re very excited to have as part of your aggressive curve-out.</t>
  </si>
  <si>
    <t>Thraben Standard Bearer</t>
  </si>
  <si>
    <t>Thraben Standard Bearer’s effect is costly, and it doesn’t have enough impact on the game. It’s like Stern Constable in the sense that you’ll only play it when you have a lot of combos with madness and/or delirium. The Standard Bearer’s ability is more powerful than the Constable’s, but the fact that it costs 2 mana to use means that it doesn’t even do its job of enabling discarding particularly well. I do not like this card.</t>
  </si>
  <si>
    <t>Advanced Stitchwing</t>
  </si>
  <si>
    <t>Advanced Stitchwing is on par with Stitchwing Skaab and significantly better than Ghoulsteed, which makes it a very strong Limited card. A 3/4?flyer is capable of dominating games, and this one can come back over and over again. Add the fact that you can discard or mill your own Advanced Stitchwing for value, and you have a premium card that ought to go highly in booster draft.</t>
  </si>
  <si>
    <t>Chilling Grasp</t>
  </si>
  <si>
    <t>Frost Breath would already be a good card in?Shadows over Innistrad block since it’s fairly aggressive and there are archetypes where having a lot of cheap instants are helpful. The madness is only a small bonus, but a small bonus on an already good card makes for something you’re quite happy with.</t>
  </si>
  <si>
    <t>Coax from the Blind Eternities</t>
  </si>
  <si>
    <t>Coax from the Blind Eternities can let you tutor for a handful of the powerful rares in Eldritch Moon. The problem is that you then have to keep your powerful rare in the sideboard! You could contrive situations where this card is good, such as having multiples, or having multiple different Eldrazi that you’ve decided not to put in your deck anyway. All things considered, though, this is a bad Limited card that should mostly be ignored.</t>
  </si>
  <si>
    <t>Contingency Plan</t>
  </si>
  <si>
    <t>Contingency Plan is very bad. For the cost of 2 mana you get card disadvantage and no effect on the board. You do get to mill yourself for a bunch with the small upside of fixing your next draw step or two, but you have to have a very specific deck before this is a passable effect, let alone one you’re excited about. If playing with Contingency Plan is your contingency plan for drafting a self-mill deck, then I recommend not drafting a self-mill deck.</t>
  </si>
  <si>
    <t>Convolute</t>
  </si>
  <si>
    <t>Cancel is a?decidedly?average Limited card. Compared to Cancel, Convolute loses a little bit of late-game value due to the risk that the opponent might be able to pay the 4 mana. On the other hand, it gains a little bit of early-game value by being easier to cast, with less demanding color requirements.Overall, Convolute is slightly-below-average filler in most normal decks. It’s slightly-above-average filler in decks that have a lot of instants and that?keep?their mana untapped anyway. You should generally avoid putting more than one copy in your main deck.</t>
  </si>
  <si>
    <t>Displace</t>
  </si>
  <si>
    <t>Displace has some corner-case applications, but really doesn’t do much. 3 mana is far too expensive of a way to protect your creatures from removal spells. Retriggering enters-the-battlefield effects or untapping blockers will also typically not be worth a card. When your opponent has 4 or more detrimental Auras they want to stick on your creatures―dis is da place for Displace.</t>
  </si>
  <si>
    <t>Drag Under</t>
  </si>
  <si>
    <t>Sorcery-speed hurts bounce spells a lot, since it means that you won’t get the value of blowing out combat tricks and Auras. 2-mana instant-speed bounce spells like Unsubstantiate will generally be better than Drag Under, and there’s no shortage of those in this Limited format. But Drag Under is a perfectly reasonable Limited card as well.If you’re playing a spells-matter deck, you’ll be interested in Drag Under since it replaces itself while helping you keep pace on the board. It’ll be especially good in the combo-esque Rise From the Tides decks since it helps buy time while filling your graveyard.Beyond that, any blue deck that doesn’t get the 1 or 2 Just the Wind effects that it wants will be happy to play a Drag Under. It’s also a solid 23rd card that’ll never be embarrassing to play.</t>
  </si>
  <si>
    <t>Enlightened Maniac</t>
  </si>
  <si>
    <t>4 mana is too expensive for a 3/2 ground creature. Enlightened Maniac gives you a bit of extra value in a free chump-block, or the option to bounce-and-recast (or Displace) it for another creature. It’s also the perfect body to use for emerge. But if I had no way to make use of the 0/2 body, I’d be fairly disappointed to play with Enlightened Maniac.</t>
  </si>
  <si>
    <t>Exultant Cultist</t>
  </si>
  <si>
    <t>I tend to like any card that can trade off for value in the early game. Exultant Cultist isn’t a good beatdown creature, and it doesn’t have evasion or any other useful abilities. But the games that you get to play it and trade with a 2- or 3-drop creature, it’s going to be excellent. It’s not even the end of the world if you have to chump block with it. This is a pretty strong filler card for defensive decks.</t>
  </si>
  <si>
    <t>Fogwalker</t>
  </si>
  <si>
    <t>Like Exultant Cultist, Fogwalker is a great way for defensive decks to add to the board in the early game while getting a bit of bonus value for their troubles. I’ve never been too proud to play a Seagraf Skaab, so I like everything about Fogwalker. I like that it can block most 2-drops without dying, I like that it can lock down a flying creature for a turn, or generally help you in a damage race. I also like that skulk can let it pluck away for a few damage later in the game, once you no longer need it on defense.</t>
  </si>
  <si>
    <t>Geist of the Archives</t>
  </si>
  <si>
    <t>Sigiled Starfish anyone? The extra point of toughness is definitely not worth the extra mana, making Geist of the Archives a bit worse than Sigiled Starfish. But this is still a powerful effect in Limited, helping you to smooth your draw, find your bombs and answer cards, and make sure you don’t flood out in a long game.If you can use both a ground blocker and a little extra late-game power, then Geist of the Archives is a card you’ll be very happy to play with.</t>
  </si>
  <si>
    <t>Identity Thief</t>
  </si>
  <si>
    <t>When I first read Identity Thief I said to myself, “So it attacks as the best creature on the battlefield.” Upon further inspection, that’s a gross oversimplification.For starters, if the best creature on the battlefield is yours, and you want to attack with it, then you’ll have to thieve the identity of something else instead. On the other hand, if you target an opposing creature, you make it unable to block for the turn. Other uses of Identity Thief include knocking off Auras and counters, and retriggering enters-the-battlefield abilities.On the whole, this is a cool card that gives you a good amount of control over the battlefield. If it played better defense, it would be a 3.0 or 3.5.</t>
  </si>
  <si>
    <t>Imprisoned in the Moon</t>
  </si>
  <si>
    <t>Imprisoned in the Moon is an average-quality removal spell. It can answer any creature but can be destroyed to free the creature. I’d much rather pay the extra mana for Sleep Paralysis than give my opponent an extra mana for the rest of the game. That said, Sleep Paralysis is quite a good card, and I think Imprisoned in the Moon will still usually make the cut.One thing that is very nice, as compared to other Auras like Sleep Paralysis and Bound by Moonsilver is that the opponent will have a hard time bouncing and recasting their creature. The bounce spells in this format (Just the Wind, Unsubstantiate, etc.) cannot bounce lands.The ability to answer a planeswalker might come up, but I doubt it’ll ever be correct to cast this on an opposing land.</t>
  </si>
  <si>
    <t>Ingenious Skaab</t>
  </si>
  <si>
    <t>Ingenious Skaab is a very solid body that can hit quite hard if it goes unblocked and you have even a single noncreature spell to cast. In a color lacking a premium common removal spell, Ingenious Skaab could easily be among the best commons.</t>
  </si>
  <si>
    <t>Laboratory Brute</t>
  </si>
  <si>
    <t>Hill Giant is slightly-below-average filler for this Limited format, but it’s still reasonable if you need to fill out your mana curve. Add the fact that many blue decks will be interested in delirium and/or have other reasons to mill themselves, and you have a card that will probably make the cut in about 2 out of 3 of your blue decks.</t>
  </si>
  <si>
    <t>Lunar Force</t>
  </si>
  <si>
    <t>A permission spell that lets the opponent choose what it counters is not exactly stellar. At first, I thought that you could at least combo this with Ironclad Slayer, but it’s not even an Aura! I guess the value in Lunar Force is supposed to be a contribution to delirium. All things considered, I think you’d have to be a bit of a lunatic to play with this.</t>
  </si>
  <si>
    <t>Mausoleum Wanderer</t>
  </si>
  <si>
    <t>The stock of Spirits is on the rise! Mausoleum Wanderer is a Judge’s Familiar that sometimes attacks for 2, and can force the opponent to pay extra if you get very tricky. All of this makes for a solid and appealing card.Unfortunately, this is the type of card that was designed with Constructed in mind, and it’s far less exciting for Limited play. It’ll range from average to strong depending on how dedicated you are to Spirit tribal synergies.</t>
  </si>
  <si>
    <t>Nebelgast Herald</t>
  </si>
  <si>
    <t>Pestermite is back! What it lacks in the ability to untap a permanent it makes up for in having a repeatable effect in a deck with other Spirits. Even as a one-shot tapper, Nebelgast Herald is a super efficient Limited card that will virtually always make the cut. In a dedicated Spirit deck, it will give you a ton of control over the battlefield, and is going to be very frustrating for the opponent to play against. Your sorcery-speed Spirits will only tap down blockers to help you on offense, but a healthy number of the Spirits in Eldritch Moon have flash, and will give you more Pestermite effects to help you in a race.</t>
  </si>
  <si>
    <t>Niblis of Frost</t>
  </si>
  <si>
    <t>Much like Docent of Perfection, Niblis of Frost starts with an extremely powerful flying body and becomes absurd with just a couple of instants and sorceries. If you’ve done the work to draft around this, you’ll virtually never lose when you draw the Niblis and it survives. This strikes me as one of the best cards in the set for Limited.</t>
  </si>
  <si>
    <t>Scour the Laboratory</t>
  </si>
  <si>
    <t>6 mana to draw 3 cards is a pretty fair rate for Limited (6 mana for 4 cards is a bomb). In a stalled game, this can swing a game in your favor even at full price. Factor in that it can be cast for 4 mana in the very late game, or in a dedicated delirium deck, and you have quite a strong Limited card.You won’t play this in every draft deck, but the decks that do want it will be very, very happy to have it.</t>
  </si>
  <si>
    <t>Spontaneous Mutation</t>
  </si>
  <si>
    <t>Reducing the power on an opposing creature isn’t a particularly strong effect, but the price is right on Spontaneous Mutation. In slow decks that want to invest a lot of mana on card drawing (like Scour the Laboratory), Spontaneous Mutation is a great way to make up the tempo disadvantage and protect yourself. Even in a more normal deck, it’s a fine way to answer evasion creatures, and might be a good sideboard card against decks with a lot of flyers.Again, not every deck will want Spontaneous Mutation, but it will be a very strong and efficient card in the decks that do want it, and you’ll have a good chance of picking them up late in a draft.</t>
  </si>
  <si>
    <t>Summary Dismissal</t>
  </si>
  <si>
    <t>This is a fancy way of printing what amounts to a vanilla 4-mana counterspell. I like a Cancel more than most, but I’d be quite unhappy to main deck a 4-mana Cancel, and would only sideboard it in for very slow matchups.</t>
  </si>
  <si>
    <t>Take Inventory</t>
  </si>
  <si>
    <t>In an average deck, you need 4 copies to be very excited about Take Inventory, which is simply not something you can plan for with only 2 packs of Eldritch Moon. For a dedicated “spells matter” deck, you’d be thrilled to play 3 copies, and might play with Take Inventory even if you can only get 1 or 2.It’s always nice to pay attention to cards like this, in case you think you might wheel 1, or if you want to keep the door open for getting extremely lucky. But I think you’ll generally be making a mistake to spend a high pick on Take Inventory early in the draft.</t>
  </si>
  <si>
    <t>Tattered Haunter</t>
  </si>
  <si>
    <t>2-power 2-drops with evasion tend to be quite good, and Tattered Haunter is no exception. It might be held back a little bit by the fact that blue isn’t the most aggressive color in Eldritch Moon/Shadows over Innistrad Limited, but it’s still going to be excellent in decks like UW Spirits and UR Beatdown.Tattered Haunter is just one more reason that Spirits are shaping up to be a very successful tribe in Eldritch Moon Limited.</t>
  </si>
  <si>
    <t>Turn Aside</t>
  </si>
  <si>
    <t>Highly situational cards like Turn Aside are never high draft picks. In an emergency where you’ve only drafted 19 or 20 playables, you could put Turn Aside in your main deck and hope things work out for the perfect blowout. Preferably, though, this is?sideboard material.</t>
  </si>
  <si>
    <t>Unsubstantiate</t>
  </si>
  <si>
    <t>Most Limited decks benefit from having 1 or 2 bounce spells, and Unsubstantiate is a good bounce spell. You’ll still be bouncing creatures 80+% of the time, but once in a while Remanding that Descend Upon the Sinful or Devil’s Playground will be a game-winning play.All of Innistrad’s bounce spells are hurt by the fact that bounce is relatively plentiful. I’m less likely to spend a high pick on Unsubstantiate when there’s a good chance I’ll be able to pick up a Just the Wind on the cheap later in the draft.</t>
  </si>
  <si>
    <t>Wharf Infiltrator</t>
  </si>
  <si>
    <t>Wharf Infiltrator has the potential to run away with a game very quickly. You should pick it highly, and always play it, in order to give yourself a good chance at some easy wins.Looting and making 3/2 creatures are both extremely powerful abilities to trigger when your creature deals combat damage. But both abilities are slightly worse than they look on Wharf Infiltrator because you have to discard your good cards in order to make the 3/2 creatures. Later in the game, if you want to cycle through your extra lands, you won’t be making Eldrazi Horrors anymore. That said, having a looter in a stalled game is often good enough to win anyway.</t>
  </si>
  <si>
    <t>Boon of Emrakul</t>
  </si>
  <si>
    <t>Borrowed Malevolence</t>
  </si>
  <si>
    <t>Cemetery Recruitment</t>
  </si>
  <si>
    <t>Certain Death</t>
  </si>
  <si>
    <t>Collective Brutality</t>
  </si>
  <si>
    <t>Cryptbreaker</t>
  </si>
  <si>
    <t>Dark Salvation</t>
  </si>
  <si>
    <t>Dusk Feaster</t>
  </si>
  <si>
    <t>Gavony Unhallowed</t>
  </si>
  <si>
    <t>Graf Harvest</t>
  </si>
  <si>
    <t>Haunted Dead</t>
  </si>
  <si>
    <t>Markov Crusader</t>
  </si>
  <si>
    <t>Murder</t>
  </si>
  <si>
    <t>Noosegraf Mob</t>
  </si>
  <si>
    <t>Oath of Liliana</t>
  </si>
  <si>
    <t>Prying Questions</t>
  </si>
  <si>
    <t>Rise from the Grave</t>
  </si>
  <si>
    <t>Ruthless Disposal</t>
  </si>
  <si>
    <t>Skirsdag Supplicant</t>
  </si>
  <si>
    <t>Strange Augmentation</t>
  </si>
  <si>
    <t>Stromkirk Condemned</t>
  </si>
  <si>
    <t>Succumb to Temptation</t>
  </si>
  <si>
    <t>Thraben Foulbloods</t>
  </si>
  <si>
    <t>Tree of Perdition</t>
  </si>
  <si>
    <t>Vampire Cutthroat</t>
  </si>
  <si>
    <t>Wailing Ghoul</t>
  </si>
  <si>
    <t>Weirded Vampire</t>
  </si>
  <si>
    <t>Whispers of Emrakul</t>
  </si>
  <si>
    <t>Abandon Reason</t>
  </si>
  <si>
    <t>Assembled Alphas</t>
  </si>
  <si>
    <t>Bedlam Reveler</t>
  </si>
  <si>
    <t>Blood Mist</t>
  </si>
  <si>
    <t>Bold Impaler</t>
  </si>
  <si>
    <t>Borrowed Hostility</t>
  </si>
  <si>
    <t>Brazen Wolves</t>
  </si>
  <si>
    <t>Collective Defiance</t>
  </si>
  <si>
    <t>Distemper of the Blood</t>
  </si>
  <si>
    <t>Falkenrath Reaver</t>
  </si>
  <si>
    <t>Furyblade Vampire</t>
  </si>
  <si>
    <t>Galvanic Bombardment</t>
  </si>
  <si>
    <t>Harmless Offering</t>
  </si>
  <si>
    <t>Impetuous Devils</t>
  </si>
  <si>
    <t>Incendiary Flow</t>
  </si>
  <si>
    <t>Insatiable Gorgers</t>
  </si>
  <si>
    <t>Make Mischief</t>
  </si>
  <si>
    <t>Mirrorwing Dragon</t>
  </si>
  <si>
    <t>Otherworldly Outburst</t>
  </si>
  <si>
    <t>Prophetic Ravings</t>
  </si>
  <si>
    <t>Savage Alliance</t>
  </si>
  <si>
    <t>Shreds of Sanity</t>
  </si>
  <si>
    <t>Spreading Flames</t>
  </si>
  <si>
    <t>Stensia Banquet</t>
  </si>
  <si>
    <t>Stensia Innkeeper</t>
  </si>
  <si>
    <t>Stromkirk Occultist</t>
  </si>
  <si>
    <t>Thermo-Alchemist</t>
  </si>
  <si>
    <t>Weaver of Lightning</t>
  </si>
  <si>
    <t>Backwoods Survivalists</t>
  </si>
  <si>
    <t>Bloodbriar</t>
  </si>
  <si>
    <t>Clear Shot</t>
  </si>
  <si>
    <t>Crop Sigil</t>
  </si>
  <si>
    <t>Crossroads Consecrator</t>
  </si>
  <si>
    <t>Decimator of the Provinces</t>
  </si>
  <si>
    <t>Eldritch Evolution</t>
  </si>
  <si>
    <t>0.5/2.5</t>
  </si>
  <si>
    <t>Foul Emissary</t>
  </si>
  <si>
    <t>Gnarlwood Dryad</t>
  </si>
  <si>
    <t>Hamlet Captain</t>
  </si>
  <si>
    <t>Ishkanah, Grafwidow</t>
  </si>
  <si>
    <t>It of the Horrid Swarm</t>
  </si>
  <si>
    <t>Mockery of Nature</t>
  </si>
  <si>
    <t>Noose Constrictor</t>
  </si>
  <si>
    <t>Permeating Mass</t>
  </si>
  <si>
    <t>Prey Upon</t>
  </si>
  <si>
    <t>Primal Druid</t>
  </si>
  <si>
    <t>Somberwald Stag</t>
  </si>
  <si>
    <t>Spirit of the Hunt</t>
  </si>
  <si>
    <t>Splendid Reclamation</t>
  </si>
  <si>
    <t>Springsage Ritual</t>
  </si>
  <si>
    <t>Swift Spinner</t>
  </si>
  <si>
    <t>Ulvenwald Observer</t>
  </si>
  <si>
    <t>Waxing Moon</t>
  </si>
  <si>
    <t>Wolfkin Bond</t>
  </si>
  <si>
    <t>Woodland Patrol</t>
  </si>
  <si>
    <t>Abundant Maw</t>
  </si>
  <si>
    <t>Distended Mindbender</t>
  </si>
  <si>
    <t>Drownyard Behemoth</t>
  </si>
  <si>
    <t>Elder Deep-Fiend</t>
  </si>
  <si>
    <t>Emrakul, the Promised End</t>
  </si>
  <si>
    <t>Eternal Scourge</t>
  </si>
  <si>
    <t>Lashweed Lurker</t>
  </si>
  <si>
    <t>Vexing Scuttler</t>
  </si>
  <si>
    <t>Wretched Gryff</t>
  </si>
  <si>
    <t>Field Creeper</t>
  </si>
  <si>
    <t>Geist-Fueled Scarecrow</t>
  </si>
  <si>
    <t>Lupine Prototype</t>
  </si>
  <si>
    <t>Soul Separator</t>
  </si>
  <si>
    <t>Terrarion</t>
  </si>
  <si>
    <t>Thirsting Axe</t>
  </si>
  <si>
    <t>Bloodhall Priest</t>
  </si>
  <si>
    <t>Campaign of Vengeance</t>
  </si>
  <si>
    <t>Gisa and Geralf</t>
  </si>
  <si>
    <t>Grim Flayer</t>
  </si>
  <si>
    <t>Heron's Grace Champion</t>
  </si>
  <si>
    <t>Mercurial Geists</t>
  </si>
  <si>
    <t>Mournwillow</t>
  </si>
  <si>
    <t>Ride Down</t>
  </si>
  <si>
    <t>Spell Queller</t>
  </si>
  <si>
    <t>Tamiyo, Field Researcher</t>
  </si>
  <si>
    <t>Geier Reach Sanitarium</t>
  </si>
  <si>
    <t>Nephalia Academy</t>
  </si>
  <si>
    <t>Gisela, the Broken Blade</t>
  </si>
  <si>
    <t>Nahiri's Wrath</t>
  </si>
  <si>
    <t>Collective Effort</t>
  </si>
  <si>
    <t>Ulrich of the Krallenhorde</t>
  </si>
  <si>
    <t>Thalia's Lancers</t>
  </si>
  <si>
    <t>Bruna, the Fading Light</t>
  </si>
  <si>
    <t>Voldaren Pariah</t>
  </si>
  <si>
    <t>Hanweir Garrison</t>
  </si>
  <si>
    <t>Docent of Perfection</t>
  </si>
  <si>
    <t>Emrakul's Evangel</t>
  </si>
  <si>
    <t>Lone Rider</t>
  </si>
  <si>
    <t>Extricator of Sin</t>
  </si>
  <si>
    <t>Smoldering Werewolf</t>
  </si>
  <si>
    <t>Stitcher's Graft</t>
  </si>
  <si>
    <t>Shrill Howler</t>
  </si>
  <si>
    <t>Kessig Prowler</t>
  </si>
  <si>
    <t>Hanweir Battlements</t>
  </si>
  <si>
    <t>Conduit of Storms</t>
  </si>
  <si>
    <t>Cryptolith Fragment</t>
  </si>
  <si>
    <t>Tangleclaw Werewolf</t>
  </si>
  <si>
    <t>Ulvenwald Captive</t>
  </si>
  <si>
    <t>Midnight Scavengers</t>
  </si>
  <si>
    <t>Liliana's Elite</t>
  </si>
  <si>
    <t>Deranged Whelp</t>
  </si>
  <si>
    <t>Grizzled Angler</t>
  </si>
  <si>
    <t>Curious Homunculus</t>
  </si>
  <si>
    <t>Alchemist's Greeting</t>
  </si>
  <si>
    <t>Olivia's Dragoon</t>
  </si>
  <si>
    <t>Graf Rats</t>
  </si>
  <si>
    <t>Vildin-Pack Outcast</t>
  </si>
  <si>
    <t>Cultist's Staff</t>
  </si>
  <si>
    <t>Fortune's Favor</t>
  </si>
  <si>
    <t>Repel the Abominable</t>
  </si>
  <si>
    <t>Slayer's Cleaver</t>
  </si>
  <si>
    <t>Grapple with the Past</t>
  </si>
  <si>
    <t>Cathar's Shield</t>
  </si>
  <si>
    <t>Woodcutter's Grit</t>
  </si>
  <si>
    <t>Mind's Dilation</t>
  </si>
  <si>
    <t>Emrakul's Influence</t>
  </si>
  <si>
    <t>Boon of Emrakul is a solid removal spell. It’s sorcery speed and can’t kill giant monsters, but it will do a nice job taking out most creatures that cost less than 5 mana. This is the type of card you really want a copy or 2 of to keep your opponent from punking you out with an evasion creature, or dominating the board with a Sigardian Priest.Naturally, you’d rather have all Murders and Dead Weights, but the world we?live in is one in which we?typically have to make due with non-premium removal. As far as non-premium removal goes, Boon of Emrakul is reliable and affordable, and should earn moderately high draft picks.The combo with Ironclad Slayer might prove to be a driving force in BW.</t>
  </si>
  <si>
    <t>When things break right, you can spend 1 or 3 mana on Borrowed Malevolence to help your creature win a fight in combat. But by far the most practical use of this card is picking off 1-toughness creatures. You should either be sideboarding Borrowed Malevolence against decks with weenie creatures, or maindecking it then?sideboarding it out against decks that don’t have weenie creatures.</t>
  </si>
  <si>
    <t>Raise Dead is never really bad in Limited. In a vanilla deck, you can either start 1 copy of this card or skip it as you see fit. If you have?Zombies, bomb rare creatures, or self-mill, then it becomes an effect you want access to.</t>
  </si>
  <si>
    <t>This is certainly better than Sip of Hemlock, which was already pretty good. I loved drafting black in Theros block, and while Sip of Hemlock wasn’t one of the absolute best commons, it would virtually always make my deck, even in multiples. Compared to Sip, Certain Death gains you 2 life, and is marginally easier to cast (even splashable in a Sealed deck or some bizarre Draft decks).But an important note is that Theros was a format with heroic, where games could be won and lost by the ability to answer a single, monstrous threat. Eldritch Moon plus Shadows over Innistrad Limited isn’t like that, and you’ll sometimes wind up having to swallow your pride and point Certain Death at a 3-drop.All things considered, I’m starting Certain Death with a high rating. It’s never a big mistake to prioritize removal in the early days of a new Limited format, and this is an effect that controlling black decks really want somewhere in their 40 cards. But the value of Certain Death drops off in multiples, and I can see its rating settling at closer to a 2.0.</t>
  </si>
  <si>
    <t>A lot of the escalate cards have one mode that you’ll usually turn?to in Limited. For Collective Brutality, it’s killing a 2-toughness creature. Stripping an instant or sorcery from the opponent’s hand is also a good effect, but once in a while it will be complicated by the fact that you’ll want to wait until there’s a good creature to target before firing off your Collective Brutality.Draining your opponent for 2 life will rarely be worth the extra card (unless he or she is at 2). But keep an eye out for using Collective Brutality alongside madness cards.</t>
  </si>
  <si>
    <t>Cryptbreaker can take a while to get going, but it only costs 1 mana and can take over a game all on its own. Note that you don’t need to make 3 tokens before using the second ability―you can tap your other Zombies, and Cryptbreaker is a Zombie itself. It’s not farfetched to think that by turn 3, Cryptbreaker might have already allowed you to cash in your worst card for a 2/2 Zombie, and drawn you an extra card. All it takes is having another Zombie in your hand that costs 3 or less mana.And let’s not forget that it’s a repeatable instant-speed madness enabler.</t>
  </si>
  <si>
    <t>Dark Salvation is a powerful rare that offers the potential for solid card advantage. 5 mana for 2 Zombies is a slightly below average rate, but the flexibility to spend 3, 5, 7, or 9 mana makes the first line of text on Dark Salvation a card you’d be happy to play with. Tack on the ability to kill an opposing creature and you have a premium card that can really swing games. Remember that it counts your preexisting Zombies as well, so it’s really not far-fetched to kill a 4/4 or 5/5 creature with this.</t>
  </si>
  <si>
    <t>At 7 mana, Dusk Feaster could be an occasional role player, but would be a bit too expensive for widespread appeal. 5 mana for a 4/5?flyer, however, is a rate you can usually only get in Limited on a premium rare. This is a pretty big payoff for drafting delirium. Even in an average deck, you’ll sometimes achieve delirium before hitting your seventh land, making it more realistic that Dusk Feaster makes it to the party in time.Don’t be afraid to leave this on the bench in your aggressive, non-delirium decks. It’s a powerful card that many black decks will want to pay close attention to.</t>
  </si>
  <si>
    <t>Gavony Unhallowed starts with average stats, but then begins to get a bit unruly. This is a nice ability to have on a creature that starts with high toughness since it’s not fragile, and has a better chance of surviving those big, messy combat steps. Being a Zombie also helps, and I think this is a card that will make the cut in most black decks.Sacrificing creatures isn’t a huge theme in Eldritch Moon or Shadows over Innistrad, but there are a handful of cards that help you do it, and they’ll all pair well with Gavony Unhallowed.</t>
  </si>
  <si>
    <t>Graf Harvest is both slow and mana-intensive. The power level is pretty high, and in other Limited formats, this might be a borderline bomb. But Eldritch Moon/Shadows over Innistrad Limited will be relatively fast, and there are plenty of other activated abilities (especially Clues) that you can spend your extra mana on.Graf Harvest still seems like a card that your slower draft decks (and probably the majority of Sealed decks) will want 1?copy of. The fact that you’ll never want multiples, and that aggressive decks won’t want it, means that you won’t have to put a special premium on Graf Harvest during the draft.</t>
  </si>
  <si>
    <t>Single cards that give you two?relevant creatures tend to be strong in Limited, and the fact that your 1/1 bonus token has flying means that both bodies are relevant. Discarding 2 cards to return Haunted Dead isn’t a stellar rate, but it will come up a lot in the late game and allows you to trigger madness at instant speed. Overall, this is a strong card.</t>
  </si>
  <si>
    <t>Planeswalkers are virtually always powerful in Limited. Liliana, being only 1 color and only 3 mana, is very easy to cast and has the potential to give you a colossal advantage right off the bat.Liliana’s +1 ability can pick off small creatures or protect herself against bigger attackers. Beyond that, you can use your judgment as to cashing her in for a Raise Dead or two, or ticking up toward her -7 ultimate, which ought to comfortably win the game.Her cheap mana cost is a bigger deal in Constructed than Limited. In Limited you’d prefer to have one of the super-powerful 5- or 6-drop planeswalkers. Liliana, the Last Hope’s abilities are a bit more subtle, and she won’t always turn a horrible situation in your favor when you topdeck her on turn 10.</t>
  </si>
  <si>
    <t>When covering white, I described Faithbearer Paladin as, “basically my definition of a filler card.” A 4/3 is marginally better than a 3/4, and tacking haste onto a creature like this is easily worth a full point of rating.Markov Crusader will make your Vampire deck a colossal favorite to win any kind of damage race, and pairing this with Stensia Masquerade is going to be gross.It’s also worth noting that when there are plenty of playable Raise Dead effects in a format, a powerful creature like Markov Crusader, which trades off easily and provides you with a big life total buffer in the process, gets a bit better.</t>
  </si>
  <si>
    <t>Great. Instant-speed, unconditional removal. Great.</t>
  </si>
  <si>
    <t>Casting Noosegraf Mob isn’t quite the same as putting five 2/2 Zombies directly into play, but it’s pretty close. It’s very hard for the opponent to answer the Mob without giving you a lot of value. For example, against the beatdown player who wants to remove your blocker and finish you off, their?would-be-lethal spell now generate you an extra blocker.The Mob pairs exceptionally well with cards like Cemetery Recruitment and Macabre Waltz.</t>
  </si>
  <si>
    <t>Diabolic Edict effects aren’t great in Limited in general, and are especially mediocre in this block?because of token makers and disposable bodies like Sanitarium Skeleton. Oath of Liliana has a tiny bit of extra value in being an enchantment that might somehow end up in the graveyard to help with delirium, and maybe getting you a 2/2 Zombie once in a blue moon alongside a planeswalker. But, all told, this is an unexciting Limited card.</t>
  </si>
  <si>
    <t>If this was a Mind Rot, you’d have to pry it from my cold, dead fingers. But Mind Rot offers card advantage, and despite the terrifying artwork on this card, its power level is questionable. You can force the opponent to skip his or her next draw step, but that effect does nothing if they’re empty-handed, and denying them a draw step is a lot worse than forcing them to discard their best 1 or 2 cards.The lose-3-life clause makes Prying Questions a passable card, but the bottom line is that this is a noncreature, nonremoval spell that doesn’t impact the board, and doesn’t provide an effect that you ever desperately need. I don’t see much reason to ever play with this.</t>
  </si>
  <si>
    <t>Rise from the Grave has been a strong Limited card every time it’s been printed. One of the greatest appeals is that you’re not confined?to your own graveyard―you can take your opponent’s best creature as well.Rise from the Grave is a premium version of the Reanimate effect (by Limited standards). It’s a little bit more replaceable in Eldritch Moon than it has been in the past since you can always play Cemetery Recruitment or Macabre Waltz instead if you’re in a pinch. But this is still a strong card that will almost always make the cut.</t>
  </si>
  <si>
    <t>I spent a long time staring at Ruthless Disposal before I could actually start writing. First of all, the black cards in Eldritch Moon feature some of the most compelling artwork I can remember seeing in MTG, and Ruthless Disposal is particularly gruesome (a.k.a. awesome). Second of all, the effect on this card seems too good to be true! Kill your opponent’s 2 best creatures, no questions asked?!At a glance, the price is also pretty high, but in practice I think the costs will be fairly easy to meet, and you’ll be happy to pay them. You’ll almost always have some kind of disposable creature in play, and you can discard an extra land, or a card that has value in the graveyard―that’s not even to mention that you might happen to have a madness card.There will be games here and there where Ruthless Disposal isn’t great, such as against a WR Weenie deck or against a swarm of Spirit tokens. But the power level is simply outrageous, and there are certain decks―like bigger green decks―that I can’t envision ever beating this card.Ruthless Disposal is my early pick for the best nonrare in Eldritch Moon.</t>
  </si>
  <si>
    <t>Skirsdag Supplicant is average filler. 3 mana for a 2/3?with a medium ability is a dead-average card. If it were a Vampire or Zombie, it might be a bit better, but black doesn’t have much way to benefit from having a Human creature. This becomes solid if you need a madness enabler, but in most decks this is just a mana curve filler.</t>
  </si>
  <si>
    <t>This is a strange one to evaluate. It can be a highly efficient rate for an aggressive Aura, but the aggressive decks that would ordinarily want an Aura like this usually won’t be the ones putting the effort in to achieve delirium early in the game.This is a very poor card if you’re only getting +1/+1. It’s also a poor card if you can’t count on getting delirium until turn 7 or 8. It’s powerful in a dedicated delirium deck, but those decks will be hard-pressed to play a noncreature, nonremoval, non-delirium-enabling spell. Don’t work too hard trying to get Strange Augmentation to be good.</t>
  </si>
  <si>
    <t>Stromkirk Condemned has reasonable stats on its own, and gets powerful fast when you start adding madness and/or Vampire tribal synergies. You’ll be happy to play this in all decks with 9 or more Swamps, and picking it up early is a strong incentive to go BR.</t>
  </si>
  <si>
    <t>Divination is a strong Limited card. Compared to Divination, Succumb to Temptation is an instant, but it forces you to lose 2 life, and it has more demanding colored mana requirements. Perhaps worst of all, it’s not in the color (blue) that really wants card-drawing spells, and wants to hold its mana up for instants.My best advice is to err on the side of avoiding this card. But I confess that I’ll probably succumb to the temptation to play it a little more often than I’m proud to admit.</t>
  </si>
  <si>
    <t>Finally, black gets a common creature that’s legitimately great when you can count on achieving delirium! Thraben Foulbloods is what Stallion of Ashmouth and Hound of the Farbogs wish they could be.At 3 mana for a 3/2 Zombie, the Foulbloods already meet my criteria as an acceptable filler card. If you can make them attack as a 4/3 menace within a reasonable time frame, you have a very strong creature.</t>
  </si>
  <si>
    <t>Tree of Perdition is an excellent blocker that can nuke the opponent for 7 life points if you draw it early enough. The combo with Triskaidekaphobia is also good enough to be worth speculating on.</t>
  </si>
  <si>
    <t>Standing alone, Vampire Cutthroat is too low-impact to be a good Limited card, but it’s efficient enough that if you have Vampire tribal synergies, or good equipment and Auras that need to be carried, then this is a card you might get excited about.</t>
  </si>
  <si>
    <t>Wailing Ghoul is certainly not exciting, but is the type of card you’ll pick up late to round out your Zombie deck or your defensive black control deck.</t>
  </si>
  <si>
    <t>Weirded Vampire is pretty much exactly equal to Twins of Maurer Estates. It’s marginally better to hardcast, but a bit worse to madness out. One subtle factor is that Eldritch Moon has a high concentration of flash creatures, so I predict that players will be a little more cagey about attacking into open mana than they might’ve been in all Shadows over Innistrad Limited.Weirded Vampire is a solid card that you’ll be happy to play with if you have Vampire synergies, or a couple ways to enable madness. Failing that, it’s a mediocre filler card.</t>
  </si>
  <si>
    <t>Hymn to Tourach is one of my all-time favorite Magic cards, and this is probably as close as you’re ever going to get to a reprint. Unfortunately, a lot of the power (more accurately, the cheesiness) of Hymn was casting it on turn 2 and nailing your opponent’s lands or cheap plays. By the time most Limited decks can get delirium, the opponent will have had a fair chance to empty his or her hand.Making the opponent discard one at random isn’t a horrible effect, and sometimes you will land the good, clean 2-for-1. But make sure this isn’t your biggest payoff for drafting a delirium deck.</t>
  </si>
  <si>
    <t>This card is a reasonably good combat trick. I wouldn’t expect to actually kill two creatures with Abandon Reason more than about 10-15%?of the times you cast it. But you’ll often kill one, and getting an extra damage from an unblocked creature, plus the potential for extra value from madnessing it out (plus the chance that you actually do kill two creatures!), results in a solid card.I expect this to make the cut in most aggressive red decks, but not necessarily be a high draft pick.</t>
  </si>
  <si>
    <t>Assembled Alphas is annoying to attack into, and has a reasonable approximation of unblockable. But it’s a 6-mana creature in a format where 6-mana creatures aren’t at a premium. Compared to a vanilla 6-drop like Kessig Dire Swine, its biggest advantage is that your opponent won’t have the option of gang-blocking to try and take it down. Beyond that, though, I don’t envision this winning many games that a common 6-drop wouldn’t have been able to win anyway.If you’re looking for a top-end creature, this is a great one to have. But I don’t think you need to spend a first pick on this.</t>
  </si>
  <si>
    <t>In an average deck, you should count on Bedlam Reveler costing about 6 mana, but playing it out as the last card in your hand, getting a reasonable body, and drawing 3 cards gives you a phenomenal effect.In a dedicated spells deck, you’ll cast it on the cheap and make better use of the prowess. While it does get better the more spells you have, I think Bedlam Reveler is simply a great card that you don’t have to go too far out of your way to make?great use of. The more important “build-around” aspect of this card is avoiding permission spells and situational cards that need to sit in your hand for a long time (since you’ll always want to be empty-handed when you cast it).</t>
  </si>
  <si>
    <t>The effect of Blood Mist is relatively powerful, but it’s a bit too expensive to be a great Limited card. Comparing this to Uncaged Fury, you spend an extra mana, you miss out on the +1/+1, and it’s not an instant, meaning you have to commit to which creature you’re targeting, and your opponent sees it coming. All of that leads me to believe you want something in the ballpark of four good, clean attack steps with a strong creature before Blood Mist becomes worth its investment.Granted, there will be some games where Blood Mist is very good, and its value does depend a lot on your exact creature suite. If you have big tramplers and evasion creatures, it’s going to get better. If you curve into it on turn 4, you might put your opponent in chump-block mode pretty quickly.Overall, I think this card is playable, but not exciting. It does nothing for you on defense, and it gives your opponent too much warning about what’ll be coming at them. I expect it to make the cut approximately half the time.</t>
  </si>
  <si>
    <t>Bold Impaler is a functional reprint of Lavastep Raider, except that it has a relevant creature type. Unfortunately, Lavastep Raider was pretty bad.This can be acceptable filler if you’re dedicated to Vampire tribal, if you’re suicidally aggressive, or if you have a lot of cheap Auras. Usually, though, I recommend staying away.</t>
  </si>
  <si>
    <t>1 mana for 3 extra power is a decent enough rate that it’ll sometimes be fine to just cash this in for damage to the opponent. Normally, the weakness of a card that only pumps your creature’s power would be that it doesn’t help said creature survive combat. But with Borrowed Hostility, you have the option to choose first strike mode or to invest the full 4 mana when you need to.This looks like a solid combat trick for an aggressive deck, and gets better if a lot of your creatures already have first strike or trample.</t>
  </si>
  <si>
    <t>Brazen Wolves can attack as a 4/3 and block as a 2/3, which makes it noticeably better than Howlpack Wolf, which was already a very solid card. 4 power on a 3-drop is a rate that’s not easy to find, and this looks to be a solid?card that virtually all red decks will be happy to play. It would take a more brazen man than I to say anything bad about this card.</t>
  </si>
  <si>
    <t>Let’s start by evaluating Collective Defiance as 4 mana for 4 damage to a creature and 3 damage to the opponent. That’s what it’s going to be most of the time, and that’s excellent. For a 5th?mana, you’ll have the option to cycle the last couple of cards in your hand, which can be a great bonus if you’ve been planning for it, or if things coincidentally work out nicely for the ability. Also, look for times where you can force your opponent to Winds of Change his or her hand in order to ruin his or her well-laid plans.</t>
  </si>
  <si>
    <t>At sorcery speed, Distemper of the Blood is quite bad to hard-cast. It becomes good if you’re playing an aggressive deck that can usually count on having a madness enabler. Overall, it’s hard to make this work, and you shouldn’t be picking it highly.</t>
  </si>
  <si>
    <t>My analysis of Falkenrath Reaver is much the same as Deranged Whelp (the Whelp is a little better, however). Red wants 2-drops, and the Vampire creature type on this makes it fairly desirable.</t>
  </si>
  <si>
    <t>Furyblade Vampire can help you to have some extremely powerful curve-outs, but I wouldn’t jam it in just any deck. For a 2-drop, this thing hits incredibly hard, but you won’t simply want to start dumping your hand to it starting on turn 3. In a deck with no madness, you’d rather have Falkenrath Reaver. In a deck with a solid amount of madness, or a couple of Uncaged Furies, this becomes scary very quickly.</t>
  </si>
  <si>
    <t>You’ve always known Shock to be a good (though not outrageous) Limited card. Shock rarely wanted to target players in Limited anyway, so the small possibility of dealing a third damage easily makes up for not being able to hit the opponent. I pick Galvanic Bombardment to be the best red common in Eldritch Moon Limited.</t>
  </si>
  <si>
    <t>This is what my teammate Andrew Cuneo would call “a sideboard card.”</t>
  </si>
  <si>
    <t>Ball Lightning meets Asphyxiate. Impetuous Devils will typically come down, kill an opposing creature, and leave behind a couple of points of trample damage. That’s a great effect! It’s true that the Devils can’t kill a tapped creature, but hopefully your aggressive red deck will be more concerned with killing blockers than anything else (especially when this gives you a bunch of hasted damage to help win the race).If your opponent’s already on the back foot, Impetuous Devils might just kill him or her on the spot. On the other hand, this isn’t quite as reliable as a removal spell because of the possibility that the opponent might have an instant-speed way to deal with it. In particular, the threat of an untapped Sigardian Priest is very annoying.All told, though, the power level on Impetuous Devils is high, and I’d be happy spending a first or second pick on it.</t>
  </si>
  <si>
    <t>Incendiary Flow is likely even better than Galvanic Bombardment in the cheap burn spell department. It also has flavor text that would make Jaya Ballard herself proud.The ability to exile a creature can be easy to ignore, but in a format of graveyard recursion and creatures like Dauntless Cathar, it’s more than just a minor bonus.</t>
  </si>
  <si>
    <t>Insatiable Gorgers is one of the hardest-hitting beaters you’re going to find in Eldritch Moon. 4 mana for a 5-power attacker is powerful, and dropping this at the end of the turn via madness might have the opponent taking a lot more damage than he or she was prepared for.On a smaller creature, “attacks each turn if able” can be a substantial downfall, since it’ll wind up suiciding into bigger blockers sooner or later. When it comes to a 5 power creature, you want to be attacking every turn anyway! Sure, the opponent can trade off if they’re lucky, but it’s going to take quite a monster to actually beat Insatiable Gorgers in combat.</t>
  </si>
  <si>
    <t>In a color of flashy burn spells and 4 and 5 damage attackers, Make Mischief is a bit of an unassuming card. If you’re counting on this to be your 3-drop creature, it’s going to be pretty bad. But if you’re using it to kill a 1 toughness utility creature, then it’s a beating!Main decking this card is optional, but you should go out of your way to pick up 1 or 2 as sideboard cards against players with a lot of weenie creatures. Against white decks with Spirit tokens or red decks with fragile creatures, you should be making as much mischief as possible.</t>
  </si>
  <si>
    <t>Mirrorwing Dragon isn’t unkillable, but in a lot of situations it might as well be. Using a removal spell on this is going to cost the opponent a lot more than 7 years bad luck. If your opponent wants to cast Reduce to Ashes on your dragon, he or she needs to be prepared to Plague Wind themselves along with it.On the other side of the coin, Mirrorwing Dragon offers you the same ability that Zada, Hedron Grinder did in Battle for Zendikar, making a single combat trick lethal in most situations. Especially with Borrowed Hostility and Distemper of the Blood being commons in Eldritch Moon, Mirrorwing Dragon can help you unload an absolutely massive amount of damage under the right circumstances. You can even set up a combo turn by targeting the Dragon right away when you cast it. Just be careful, because your opponent can also use your Dragon against you to pump up all of their creatures!An affordable ? flyer with upside that’s also resilient to removal definitely fits my criteria for a Limited bomb.</t>
  </si>
  <si>
    <t>Otherworldly Outburst requires a little bit of setup, but the payoff is a 3/2 creature for the low price of 1 mana. The best use comes when you cast this before trading with your opponent’s 2-drop on turn 3, and then use your remaining mana to cast another 2-drop post-combat.When everything works out perfectly, this card is very exciting. But for practical purposes, I’d usually just as soon have another solid 2-drop or 3-drop creature in its place.Remember that you can target your opponent’s creatures, so you’ll almost always be able to cash this in sooner or later. Otherworldly Outburst is slightly less powerful than Skin Invasion, but being an instant makes it a lot more reliable.</t>
  </si>
  <si>
    <t>Prophetic Ravings lets you build your own Mad Prophet, and there are some madness-heavy decks that win a tremendously high percentage of the games that they can stick a Mad Prophet.I always preach caution when it comes to auras since you risk getting 2-for-1ed. But I do think that Prophetic Ravings is a useful card for decks that really need to enable their madness spells.</t>
  </si>
  <si>
    <t>For 4 mana, Savage Alliance can deal 3 damage to a creature and pick off all other 1 toughness guys your opponent might happen to have. It’s instant speed, and can even give your team trample to unload damage on the opponent (you’ll get even more damage if you pair trample with dealing damage to your opponent’s creatures).Savage Alliance does it all, and I consider this slightly better than even the premium removal spells of the format.</t>
  </si>
  <si>
    <t>Shreds of Sanity is a late-game card, and requires a bit of setup. You’ll be looking to play with this in your U/R Spells decks, and it’s not insane to play it in your slower Sealed decks, either. The discard clause will wind up being a plus just as often as it’ll be a minus since you have the option to pick up a madness card from your graveyard and use it again right away (say, Alchemist’s Greeting, for example).The setup costs are high, and the payoff isn’t huge, so Shreds of Sanity is a card you should ignore in a lot of your average decks. But when you have enough to go with it (say, 8+ other spells divided pretty evenly between instants and sorceries), then it can be a great way to restock a couple of removal spells and take over a game.</t>
  </si>
  <si>
    <t>Some aggressive Limited decks aren’t interested in 7-mana spells at all. When you do choose to play with a 7-mana spell, you want to be winning the game a very high percentage of the time that you cast it. Thankfully, Spreading Flames passes that test. 6 damage divided as you choose can kill a troublesome bomb, massacre an army of tokens, or just take out 3 creatures for value. Any way you look at it, it ought to be a huge swing in your favor.Red is an aggressive color, so Spreading Flames won’t go in just any deck. But if you happen to have a U/R or B/R controlling draft deck, you’ll be happy to play 1 copy. In a Sealed deck, this is quite powerful, and can even be splashed if you have the right mana fixing.</t>
  </si>
  <si>
    <t>A cantrip can never be that bad in Limited, but I don’t like this one very much. Dealing the opponent 2 or 3 damage and drawing a card usually won’t be worth 3 mana.And here’s some food for thought: When you have 3, 4, or more Vampires sticking on the battlefield, how many other cards could you find that would win you the game from that position?You’d have to be virtually mono-vampires before Stensia Banquet would threaten to actually be good, and even then it wouldn’t be great. I’d hope to play with this card less than half the time. Like I said, a cantrip can never be that bad, and I think you’ll mostly turn to this when the draft hasn’t gone well, and you just need to get to 22 playables without stretching into those 0.0 and 0.5 rated cards.</t>
  </si>
  <si>
    <t>Stensia Innkeeper is a hill giant with the upside of forcing your opponent to play off-curve for a turn. The value of its effect will be largely random. Sometimes your opponent was going to play two 3-drop creatures in a row anyway, and locking down their land will do nothing. Other times they’ll be missing land drops, and you’ll force them to pass the turn without doing anything, which is absolutely huge.Overall, this is a slightly-above average card, and you’ll stay with the Innkeeper well over half the time. Especially when you’re looking for more Vampires to help with your tribal synergies, you’ll be happy to have this.</t>
  </si>
  <si>
    <t>Stromkirk Occultist is yet another premium, aggressive Vampire. With only 2 toughness, it’s relatively easy for the opponent to trade with, but trample means that you can still get value from triggering the ability.Stensia Masquerade, or any other card that makes it hard for the opponent to block, will help the Occultist go nuts, and this card is absurdly punishing against a player with a poor draw.Tack madness onto an already-premium creature and you have a card you’re thrilled to play in any red deck.</t>
  </si>
  <si>
    <t>Thermo-Alchemist is very comparable to Lobber Crew, which was a solid Limited card. It doesn’t block as well, which is a downside, but it costs 1 less mana, which is great.At first glance, this looks like a build-around card, where you’ll have to play tons of spells to take full advantage. But I think simply pinging the opponent for one-and-a-half unblockable damage per turn is a good effect, and you don’t need to go crazy to make Thermo-Alchemist do work for you.If you have very few instants and sorceries, Thermo-Alchemist is cuttable, but I think it’ll be a solid card more often than not. Once you pick up 2 copies, you can start prioritizing average-quality instants and sorceries a little bit more than you normally would.</t>
  </si>
  <si>
    <t>Weaver of Lightning has the potential to be an extremely powerful card. It’s a great payoff for drafting a UR Spells deck, and even out of more average decks, certain opponents will have a very hard time beating Weaver of Lightning.As a 1/4 reach, Weaver of Lightning stands as a strong blocker even without its triggered ability. Most decks have some 1 toughness creatures, so even the occasional spell might take out a weenie creature or finish off a weakened blocker here and there. Where Weaver of Lightning begins to get really insane, though, is when you can reliably cast multiple instants and sorceries in the same turn in order to shoot down 2 toughness guys.I’d still err on the side of picking premium burn spells over Weaver of Lightning early in the draft. And in your aggressive red decks without a lot of spells, Weaver of Lightning will be relegated to being a strong sideboard card. But this is an extremely good, powerful card that’s worth picking highly.</t>
  </si>
  <si>
    <t>4 mana for a 4/3 is already a rock-solid Limited card. With a large potential bonus on top of that, Backwoods Survivalists looks excellent. A creature that can attack as a 5/4 trample this early in the game is a creature to really pay attention to.In an average deck, this is a 4/3 creature with the potential to grow a little bigger in the late game. In a dedicated delirium deck, you’re getting a giant, trampling creature way ahead of schedule. Backwoods Survivalists will rarely get cut, and is a pretty solid payoff for drafting delirium (at least when it comes to commons).</t>
  </si>
  <si>
    <t>There aren’t a lot of repeatable ways to sacrifice permanents, but there are a handful of permanents with abilities that require you to sacrifice them, and there’s the emerge mechanic.I think the most common home for Bloodbriar will be as a filler creature in a deck with 2-4 ways to sacrifice other permanents. In this case, it’ll start as a 2/3 with a reasonable ability to grow into a 3/4 a little later in the game―a fine filler card. Once you get multiples, you can start going out of your way to make them better. With 2 Bloodbriars, you’ll be happy to pick up a Warped Landscape in the Shadows over Innistrad pack―just as one example.If the stars align and you’re actually able to build a “sacrifice deck,” then this is a great payoff. Interestingly, it might be white, and not black, that gives you the best weapons to pair with Bloodbriar. Extricator of Sin and Lunarch Mantle are two of the best ways to sacrifice permanents in Eldritch Moon.</t>
  </si>
  <si>
    <t>Rabid Bite was one of the best commons in Shadows over Innistrad. Clear Shot costs an additional mana, but it offers +1/+1 and―more importantly―is an instant.Clearly, this is a great card. It’s a premium removal spell, and does a better job killing big monsters than most of the removal in black and red. It’s conceivable that this could even do double-duty by serving as both a trick to help a creature win in combat and a removal spell to take out one of the opponent’s other creatures.Keep in mind, Clear Shot only deals damage to the opponent’s creature―it’s not a fight spell like Prey Upon.</t>
  </si>
  <si>
    <t>Crop Sigil will help you achieve delirium, but it’s pretty slow at its job. Crawling Sensation dumped 2 cards in the graveyard per turn, and gave you value while it was at it. Crop Sigil has to sit in play for a bunch of turns in order to fill your graveyard, and doesn’t actually do anything until you’re ready to sacrifice it.Still, this is a decent card since you can play it early and sit on it for awhile. If you draw it in the late game, you can spend 4 mana to cash it in right away for a reasonable effect.</t>
  </si>
  <si>
    <t>Say it 10 times fast! “Crossroad Consecrators constantly complicate combat.”Anointer of Champions was a good card in very aggressive decks, but that was in Magic Origins, where a major goal was to punch your renowned creatures through blockers. More importantly, the Anointer and the Consecrator have the type of effect that you really don’t want to have to commit mana towards. The strength of a creature like this is to sit on the table and passively offer extra damage and make things difficult on the opponent. If you have to play off-curve in order to activate it, the value drops off very quickly.Crossroad Consecrator is still passable if you’re aggressive and most of your creatures are Humans. It also helps that he’s a Human himself. Overall, however, this shouldn’t be a high pick.</t>
  </si>
  <si>
    <t>Based on feedback from the blue section of the set review, I decided that seeing the green emerge creatures alongside the rest of the green cards would offer a more complete picture. These emerge creatures will be featured again in the colorless section tomorrow.10 mana is quite a lot, so you should only be excited about Decimator of the Provinces in a deck that can pay its emerge cost.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 I’d be thrilled to first-pick this card.10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cards.10 mana is quite a lot, so you should only be excited about Decimator of the Provinces in a deck that can pay its emerge cost. But this card is very likely to win you the game immediately when you cast it. I envision plenty of games where you emerge this out on turn 6 or 7 for a quick win. I envision even more where the board stalls out and you’re simply waiting to draw it to win the game.Overall, Decimator of the Provinces seems noticeably better than Overrun, which has traditionally helped set the bar for broken Limited cards.</t>
  </si>
  <si>
    <t>Eldritch Evolution is card disadvantage, so under normal circumstances you should avoid it. However, if you wind up with an incredible bomb creature like Ishkanah, Grafwidow, then Eldritch Evolution will increase your chances of getting it into play.I think you can mostly ignore Eldritch Evolution, and in the rare cases where your deck wants it, you’ll know.</t>
  </si>
  <si>
    <t>In case you couldn’t take the hint with cards like Enlightened Maniac and Exultant Cultist, Foul Emissary is holding a big, flashing neon sign that says, “use me with emerge creatures!” And he’s very good at his job. Where emerge normally costs two cards to produce one creature, when you sacrifice Foul Emissary you’ve actually gained card advantage―you get a creature in your hand, a 3/2 token, and a giant Eldrazi on the battlefield.This is simply a very good card. The enters-the-battlefield ability on Foul Emissary is better than drawing a card, making him a good chump blocker that replaces himself well.If you have even one creature with emerge, this is a slam dunk, and I also think it’s fine to play Foul Emissary with no emerge just for the enters-the-battlefield trigger. If you suspect you’re going to end up with multiple emerge creatures, this should be a high pick.</t>
  </si>
  <si>
    <t>Gnarlwood Dryad is a Sedge Scorpion for most practical purposes. Small deathtouch creatures tend to trade up the curve anyway, so whether Gnarlroot Dryad is a 1/1 or a 3/3, it’s likely to trade with a Brazen Wolves or an Ingenious Skaab either way. That said, Sedge Scorpion rocks, and I’ll put this card in basically all of my green decks!</t>
  </si>
  <si>
    <t>In the past, I’ve always been a big fan of Raise Dead effects. But in this Limited format, I’m grappling with the idea that they’re so plentiful that they won’t be worth high picks. BG is the color combination that would want Grapple with the Past the most, but in that archetype you could just as easily play Cemetery Recruitment, Macabre Waltz, or Rise from the Grave.Grapple With the Past is a strong card, and has a nice home in the green delirium decks, but doesn’t need to be a high priority.</t>
  </si>
  <si>
    <t>In original Innistrad, this was a staple of WG Aggro―the archetype that many players felt was the best in the format. Hamlet Captain has still got moves in Eldritch Moon, being one the cheapest, most direct, and most efficient payoffs for drafting a Human aggro deck.White and green are the colors with the most Humans, and Human tribal is a major theme of the color combination. But there are Humans in every color, and the Shadows over Innistrad Werewolves are even Humans on the front side, making Hamlet Captain powerful in a variety of decks.While not a bomb, Hamlet Captain is a very good 2-drop creature that ought to be a priority for aggressive green decks, especially when paired with white.</t>
  </si>
  <si>
    <t>Here’s the newest creature to follow in the footsteps of Siege-Gang Commander, Cloudgoat Ranger, and Pia and Kiran Nalaar. Ishkanah, Grafwidow can easily hold a candle (or 8) to all of them.Her high toughness and reach help stabilize the board immediately, and the fact that her Spider tokens are 1/2s makes them resistant to many of the normal anti-token measures. Pair stabilizing the board with a deadly activated ability to sit behind, and you have a creature that can win the game all on its own.Ishkanah, Grafwidow is probably the best payoff for delirium in the format. If you see her, windmill slamming and drafting GB delirium will usually be a great option. In particular, creatures like this are disgusting alongside recursion (like Grapple With the Past), and recursion happens to be a theme of the delirium decks.</t>
  </si>
  <si>
    <t>It of the Horrid Swarm is one of only two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early.It of the Horrid Swarm is 1 of only 2 common emerge creatures. I like this card, and I like its immediate impact on the battlefield. You can think about it as a very affordable 4/4 creature that replaces whatever you sacrificed with 2 Insect tokens. That alone is a strong card and if you allow for the possibility of “value emerges” like with Foul Emissary, then you have a card that’s worth picking up relatively early.</t>
  </si>
  <si>
    <t>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it seems natural to sideboard it out if the opponent doesn’t have artifacts or enchantments, and you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emerge.There are enough artifacts and enchantments in this Limited format that you’ll kill something with Mockery of Nature a reasonable portion of the time. When it destroys something relevant, this card is going to be great. When it doesn’t, it’s still okay, but is a little on the expensive and vanilla side.I’d be inclined to maindeck Mockery of Nature, but would be willing to sideboard it out if the opponent doesn’t have artifacts or enchantments and I don’t have combos with emerge.</t>
  </si>
  <si>
    <t>We’ve come a long way since?Wild Mongrel was the best creature in Magic. But in Limited―and particularly in a format with madness―Noose Constrictor is still an excellent card. Reach is even a nice addition since the Odyssey days.This is both a great beater and a cheap way for slower green decks to defend themselves against UW Flying Spirits which look powerful in Eldritch Moon.</t>
  </si>
  <si>
    <t>Permeating Mass is a fancy rare that, for practical purposes, will wind up playing similarly to Gnarlwood Dryad. Your opponent won’t want to attack his or her big creatures into the Mass. But be careful about putting it into combat against disposable 2-toughness creatures because you’ll wind up giving your opponent Permeating Masses to hold off your creatures!Most games, this thing will stay home and hold down the fort. Every once in a while, though, it might cause a game to get very, very weird…</t>
  </si>
  <si>
    <t>Prey Upon is a reprint from original Innistrad, where it was one of the strongest green commons. It will be no different here, letting green’s giant Werewolves take out opposing creatures on the cheap. Just remember that, unlike Rabid Bite, your creature will take damage back from whatever opposing creature you’re trying to kill.</t>
  </si>
  <si>
    <t>Primal Druid is a solid defensive card against opponents who are trying to attack you on the ground. As a 2-drop, it can hold the ground for a while, and you’ll usually be happy if it winds up dying in combat.Unfortunately, Primal Druid will be poor in aggressive decks, poor if your opponent is controlling, and poor if they’re attacking you with flying creatures. This is a relatively useful card, but shouldn’t be a high pick.</t>
  </si>
  <si>
    <t>Somberwald Stag is like a Flametongue Kavu for little creatures. If you can cast this card and fight something like a Dawn Gryff, then you have a borderline bomb card capable of swinging a game in your favor. At only 3 toughness, it’s not terribly easy to kill a relevant creature while keeping the Stag out of danger. Remember, though, that you can always use this as a 5-mana removal spell to trade with a 4/4 if you need to.Overall, Somberwald Stag looks like an excellent card, and will probably prove to be stronger than the majority of rares in the set.</t>
  </si>
  <si>
    <t>If Spirit of the Hunt pumped itself up, it would be incredible. Instead, it’s merely great. 3 mana for a 3/3 flash can ambush an attacker nicely, especially since it’s a rare and the opponent usually won’t expect it. You can also use it to save your other Wolves and Werewolves from removal or from a hairy combat step.At its absolute worst, Spirit of the Hunt is a good, efficient creature. More often than not, I expect you’ll also be able to find a way for it to result in a 2-for-1 exchange.</t>
  </si>
  <si>
    <t>Even if you’ve already gone to the trouble of filling your graveyard with lands, Limited decks usually aren’t in a position to benefit from the jump from 7 to 11 lands on the 10th?turn of the game. The set-up costs are high and the rewards are low. Splendid Reclamation is a less-than-splendid Limited card.</t>
  </si>
  <si>
    <t>Here’s what I wrote about Ironwright’s Cleansing when I covered white: “Try not to maindeck Ironwright’s Cleansing, but there seem to be enough artifacts and enchantments in this Limited format that it wouldn’t be a complete catastrophe if you had to do so. Beyond that, it looks like a solid sideboard card.”Springsage Ritual is noticeably better than Ironwright’s Cleansing, but the evaluation is mostly the same. Try not to maindeck this, but pick one up for your sideboard.</t>
  </si>
  <si>
    <t>I would’ve been more excited about Swift Spinner in all-Shadows-over-Innistrad Limited, where you could pass with a flash creature in order to transform all of your Werewolves. Unfortunately, Werewolves have found a new method of transforming in Eldritch Moon, and Swift Spinner cannot help them.As it stands, the Spider has below-average stats, and generally isn’t that exciting. The fact that UW Spirits appears to be a strong archetype in Eldritch Moon will make this useful, especially for slower green decks. This is just a filler card, and is generally worse than Watcher in the Web.</t>
  </si>
  <si>
    <t>Ulvenwald Observer is a powerful card and has a great chance of either dominating a game, or scoring you a 2-for-1 exchange. Be wary of bounce spells, though, and Auras like Bound by Moonsilver. Green in Eldritch Moon/Shadows over Innistrad is a color of meaty creatures, and the Observer will frequently trigger off of creatures other than itself.Unfortunately, I have to make the same criticism that I made of Assembled?Alphas, which is that 6-drop creatures aren’t at a premium, and Kessig Dire Swine can still do a lot of what Ulvenwald Observer does. This is a strong card that should always make the cut, but it’s not the rare you’re hoping to observe when you crack your first pack.</t>
  </si>
  <si>
    <t>Waxing Moon is effectively a premium combat trick that can only be used on a Werewolf. When it works, you’ll be able to eat a guy in combat while transforming your average creature into a huge monster―either permanently or semi-permanently―and getting in some trample damage to boot. That’s an excellent effect, but it takes a lot to line up properly before it can happen. I’d want to have something in the ballpark of 7 Werewolves before I’d be excited to play with Waxing Moon.</t>
  </si>
  <si>
    <t>Raised by Wolves was a good card, but that gave you 2 Wolves, and was in a set where you were constantly trying to trigger heroic. I really don’t see the appeal of Wolfkin Bond. When it turns your 3/3 into a 5/5 that can attack through an opposing blocker, then it’s okay. But I think you’re better off just playing an average 5-drop creature in your deck. The power level of this card is too low to risk getting blown out by removal or bounce in response.</t>
  </si>
  <si>
    <t>3 mana for a 3/2 is average, and Woodland Patrol gets an ability on top of that. The problem with vigilance on a low-toughness creature is that it often won’t survive combat when it attacks. Even when it does, there’s not really much that you’ll be excited to block. This is the definition of a filler card.</t>
  </si>
  <si>
    <t>I like emerge as a quite a lot. As a general rule when evaluating new Magic cards, anything that lets you cast expensive spells for cheaper is worth paying close attention to. Emerge can lead to some easy wins when you put a giant monster into play quickly and it goes unanswered. In Limited it’s important?to put yourself in a position to earn easy wins.But be aware that the cost of emerge is card disadvantage. You spend 2 cards (the Eldrazi in your hand and the creature on the battlefield) to result in 1 new creature on the battlefield. There’s a risk of falling behind if the opponent can answer your Eldrazi with a removal or bounce spell.Abundant Maw isn’t quite the payoff I’d hope for for an emerge creature. Since it puts you down on card advantage, I’m looking for an immediate impact on the battlefield, which this card doesn’t have. Granted, the 6 point life swing gives you breathing room, and ensures that things can’t go too horribly wrong. The power level is high enough that I think you’re happy to play with Abundant Maw in your black decks.</t>
  </si>
  <si>
    <t>By the time turn 8 rolls around, your opponent’s hand will often be empty. So you have another emerge card that’s unexciting to hardcast. Casting Distended Mindbender ahead of schedule for its emerge cost can be more powerful. You can feel a lot better sacrificing board presence for a creature like this when you know you can strip away your opponent’s removal spell.You should evaluate this card assuming you’ll strip 1 card out of your opponent’s hand. Even by turn 5, the odds of actually sniping 2 spells will be relatively low. Overall, the Mindbender looks like something you’re always happy to play in a black deck, but not exactly a bomb. That said, it’s also a bit matchup dependent and can be absolutely devastating against slow, control decks. Despite not having the highest power and toughness, the Mindbender is great at trumping other emerge creatures by taking them out of the opponent’s hand before they can hit the battlefield.</t>
  </si>
  <si>
    <t>Because of its strange 1-turn-hexproof clause, Drownyard Behemoth is a foolproof way to ambush a ground attacker. Almost nothing can beat a 5/7 in combat, and the opponent can’t use instant-speed bounce or removal to trump the Behemoth. This is its way of guaranteeing value and paying for the creature you sacrificed to emerge. Looks pretty solid to me.</t>
  </si>
  <si>
    <t>When you’re winning, Elder Deep-Fiend will usually win you the game by tapping down opposing blockers at the end of the turn. When you’re losing, it can ambush a creature in combat, or fog for a turn (but unfortunately not both). Being helpful in a wide variety of situations is exactly what I look for in an expensive card, and this one seems to fit that bill.Note also that it can tap any permanent, including lands. This can help you clear the way for a safe, clean combat step where you’ll know exactly what your opponent can and can’t do.Elder Deep-Fiend earns its high rating based on being able to cast it for its emerge cost in a blue deck. But I think it stands out from the other emerge creatures in that its rate is good enough to be playable “off color.” Of course, your WR Beatdown decks don’t want an 8-mana spell for any reason. I can easily see playing this in?a slow?GB delirium deck.</t>
  </si>
  <si>
    <t>By the time you’re ready to cast Emrakul, the Promised End, she’ll probably only cost?between 8 and 10 mana, and will very likely win you the game on the spot. Spending that much mana for an auto-win card is an effect that some, but not all, decks will be interested in.Building a self-mill deck that gets delirium quickly is a little helpful. But the more important build-around aspect of Emrakul is having a slow deck that promises to survive deep into the game, while actually being able to get to 8+ mana.If you open Emrakul, the Promised End, I think it’s reasonable to pick her and build around her. I also think it would be reasonable to start instead with a removal spell or a premium cheaper card in order to keep the door open for an aggressive deck.</t>
  </si>
  <si>
    <t>For most practical purposes, Eternal Scourge is a colorless Nessian Courser. If you can’t exile it from your own graveyard (which is difficult), then its ability is a minor downfall, since it gives your opponent more options. It can always come back, but they might use their instants and sorceries to tempo you out, or they might have a permanent that can repeatedly target it. Overall, not a high draft pick.</t>
  </si>
  <si>
    <t>Having a multicolored emerge cost makes Lashweed Lurker slightly more difficult to use well. But the power level is still definitely there, as it has a large, immediate impact on the board, and won’t leave you down on card advantage even when paying the emerge cost.</t>
  </si>
  <si>
    <t>Of the non-rare emerge creatures, Vexing Scuttler is my favorite. Returning an instant or sorcery from your graveyard to your hand replaces the creature that you sacrificed to emerge. It’s also pretty affordable by Eldrazi standards, and it’s not far-fetched that you could cast this and whatever spell you return both in the same turn.I like the card advantage, the flexibility, and the giant monster that you get out of casting Vexing Scuttler. Look for this to be an especially powerful card in a Sealed deck.</t>
  </si>
  <si>
    <t>Mulldrifter this is not. But a threatening body that replaces itself it is! Wretched Gryff looks like a good addition to any blue deck, and some, slow nonblue decks.For practical purposes, Wretched Gryff might prove to be one of the best “blue” commons. Pairing this with Exultant Cultist or Enlightened Maniac will probably be one of the bread-and-butter synergies that blue decks will want in Eldritch Moon Limited.</t>
  </si>
  <si>
    <t>2-drops are important. Field Creeper’s stats aren’t exciting, but a 2-drop that can go in any deck and contributes an extra card type for delirium is totally fine in my book.</t>
  </si>
  <si>
    <t>You’re going to get sick of me talking about fueling delirium, but it’s going to be a legitimate appeal of all of these artifact creatures. Geist-Fueled Scarecrow is a body that’s more efficient than you’re likely to find in any of the 5 colors. The drawback is not even that bad since you can cast this as one of the last creatures in your hand and you’ll often have the option to trade it off once it’s on the board. Granted, it will be very annoying to have this locked down by a Choking Tethers (you can consider sideboarding it out if your opponent has a lot of cards like that).Unlike a Steel Golem, you can still cast your creatures―it just becomes minorly annoying to do so. The only place you might want to avoid Geist-Fueled Scarecrow is in a deck like RG Werewolves, where you actually have a healthy number of 5-drop creatures that you’d like to play on curve. Outside of that, I envision this being a solid playable for most decks in this Limited format.</t>
  </si>
  <si>
    <t>Play with Lupine Prototype if you’re planning to eventually empty your own hand, as you would with most normal, aggressively slanted decks. It often won’t be attacking until turn 6 or so, but that still makes it as good as most creatures you’d tap out for on turn 5. The advantage of the Lupine isn’t its speed, but the fact that it requires such a small investment of mana. You can cast this and another spell in the same turn, and then cash in once you finally do empty your hand.Avoid this card in blue decks with card drawing, counterspells, or other situational instants.</t>
  </si>
  <si>
    <t>Soul Separator has excellent flavor, and some interesting potential uses, but I think it costs too much mana to be very good. If you have some self-mill, you can dump a giant monster in your graveyard and then use Soul Separator to make a big threat. But for 8 mana, why aren’t you just casting Cemetery Recruitment and recasting your creature? It’s a real shame that this can’t even target creatures in the opponent’s graveyard.As someone pointed out in the comments section of the black review, the sweetest combo with Soul Separator is Tree of Perdition. This will give you a 0/13 ground blocker and a 1/1 Spirit with the ability to set your opponent’s life total at 1!</t>
  </si>
  <si>
    <t>Terrarion isn’t exactly exciting, but it offers mana fixing and a contribution to delirium at a very, very low cost. You’ll be happy to play this virtually any time your deck is 3 colors, or any time you’re going for delirium (and don’t already have a handful of artifacts in your deck).</t>
  </si>
  <si>
    <t>More than the other common and uncommon equipment, I like both the flavor and the strategy questions represented by Thirsting Axe. For a pretty affordable rate, you can put your opponent to the test of trading for your weakest creatures every turn, or taking massive damage.Thirsting Axe is a pretty strong card for decks that aggressively attack the opponent’s life total. It’s good with evasion creatures, even though they’ll go unblocked. Having the option to unload damage is a good thing. More importantly, it’s good in decks with a lot of cheap creatures. Cheaper creatures are more expendable if you have to sacrifice them to the Axe’s triggered ability. They also don’t demand large mana investments, meaning you can use your mana on re-equiping each turn instead.</t>
  </si>
  <si>
    <t>Well-above-average stats and madness make Bloodhall Priest a card to be excited about in any RB deck. The ability to sometimes kill a creature when it enters the battlefield is a big bonus on an already-good card.Unfortunately, it’s hard to get both the “kill a creature” value and the “big creature ahead of schedule” value at the same time since you’ll rarely be hellbent by turn 4. But jamming Bloodhall Priest right away or waiting to empty your hand is a choice that can be made case-by-case. It’s also a problem I’ll be happy to have.</t>
  </si>
  <si>
    <t>Campaign of Vengeance does a reasonable impression of Glorious Anthem and is quite a powerful card. Where it doesn’t help you on defense, the life gain can make you difficult to race. Where it doesn’t help your creatures win in combat, it works well with skulk and can allow you to bleed out an opponent who might’ve otherwise stabilized.Campaign of Vengeance will make the cut in all but the most controlling of BW decks, and it’s even a draw toward the color combination. But noncreature, nonremoval card that commits me to 2 colors is not how I would hope to start a draft.</t>
  </si>
  <si>
    <t>Just like Bloodhall Priest, Gisa and Geralf offer a 4-mana 4/4 with tons of upside. Blue and black are the Zombie colors, and even without trying you’re going to end up with a decent handful of creatures that you can cast from your graveyard. The self-mill ability finds you Zombies to cast, helps with delirium, and can offer plenty of other benefits in this color combination.</t>
  </si>
  <si>
    <t>Grim Flayer is efficiently costed, but “efficiently costed” usually isn’t a great reason to commit to a 2-color combination early in the draft. That said, if you’re GB already, then a 2-mana creature that becomes a 4/4 trampler and can help with delirium is something you’ll always be happy to have.</t>
  </si>
  <si>
    <t>Heron’s Grace Champion is exactly what your WG creature decks will be looking for. Those are the colors with the most Humans anyway, so you can use the Champion as Tenacity in a big combat step (plus a 3/3 lifelink that sticks around for later). He also stands on his own extremely well, being a solid body that can ambush an attacker. Built-in lifelink also makes him carry equipment, Auras, and combat tricks particularly well.</t>
  </si>
  <si>
    <t>Mercurial Geists has the potential to hit incredibly hard, but I usually hope for my 4-mana gold uncommon to have a bit more standalone power than this. If you can’t offer it much help, it’s a fragile creature that might only average about 2 damage per turn.Thankfully, blue and red are the “spells matter” colors, and you’ll usually have enough that, when you’re drawing well, Mercurial Geists will be a deadly threat.</t>
  </si>
  <si>
    <t>The stats and text on Mournwillow are similar (likely a little worse) than Voldaren Duelist. Its converted mana cost is 1 less, but it’s a gold card in a combination that’s not always aggressive. On efficiency, this is a card you’ll always play in your BG decks, but it’s not the payoff you want for committing your colors early in the draft.</t>
  </si>
  <si>
    <t>When you’re playing WR aggro, this is a card you can ride to victory. When you’re attacking, Ride Down is a premium removal spell with a healthy chunk of damage attached to it. These decks are in the market for any card that lets them keep attacking, and Ride Down might just be the best one out there.Note that it can give trample to all 8 creatures blocked by an opposing Watcher in the Web!</t>
  </si>
  <si>
    <t>In terms of power level, Spell Queller is pushed to the limit on virtually every axis! A 2/3?with flying for 3 mana has great stats. Flash gives it the potential to ambush a creature if you choose, or keeps your mana open for other options. The ability to (temporarily) counter a spell while adding an evasive attacker to the board is a huge swing. It’s also a Spirit, which is the creature type the UW color combination wants.Granted, Spell Queller does have its limits. If it gets killed later in the game, the opponent will finally get their spell. But if it’s a cheap creature you’re countering, delaying it by a few turns has already taken away a ton of its value―it might be outclassed by the time it finally hits the battlefield. If it’s a situational spell like a combat trick, the opponent might not find as good a use for it.Spell Queller can’t counter any spell, but hitting anything that costs 4 or less mana means you should have no trouble finding a target. At any rate, this seems like a creature that you want to get onto the board early to push a tempo advantage, not save in your hand forever to counter their late-game bomb.</t>
  </si>
  <si>
    <t>We all know how powerful planeswalkers are in Limited, and you’re going to win most games that you cast Tamiyo on an even board. In Limited, both players are going to have creatures, so you can use the +1 ability on your own guys to draw cards, or on your opponent’s to make combat more difficult for them. If you’re far ahead, the -2 ability ought to effectively win the game. If you’re far behind, it ought to buy you enough time to get right back in it.One strike against the Field Researcher is?that her ultimate isn’t particularly great in Limited (I doubt you’ll ever really want to cash her in for the emblem and 3 random cards). The other is her demanding 3-color requirement. This is a 2-color format, and splashing comes at a very high cost. If you’re drafting WG, WU, or GU already, then the rewards are high enough to consider splashing, but decreasing the consistency of your WG Beatdown deck is something that should make you cringe. A lot has to go right for Tamiyo to fit into your deck, and a lot more has to go right before you can smoothly curve into casting her on turn 4.</t>
  </si>
  <si>
    <t>Geier Reach Sanitarium offers a relatively powerful symmetrical effect, and having control over it is appealing. That said, Eldritch Moon/Shadows over Innistrad is a fast Limited format with poor mana fixing, and the costs of adding a colorless land to your deck are high.I’d never call somebody crazy for playing with this card, but I think you’re only excited about it in dedicated madness decks, or decks with extremely good mana (for example, if you’re mostly one?color with a light splash).</t>
  </si>
  <si>
    <t>Nephalia Academy’s ability simply doesn’t do enough in Limited. You’re almost always going to be better off with a basic land from the land box.So that’s it for Eldritch Moon’s Limited cards! Much like Shadows over Innistrad, there seem to be a lot of powerful rares which, even if they’re not bombs, can be picked highly and give your draft some direction. The multicolored rares are great examples.As of now, I see no reason not to believe that all 10 color combinations will be viable in draft. In particular, UW Spirits and RB Vampires seem to have gotten a lot stronger. If the emerge mechanic is as powerful as it looks like it might be, then there might be big rewards in finding the perfect way to build a UG Emerge deck.Shadows over Innistrad was already a fun and popular Limited format. Let’s hope that Eldritch Moon only adds to it!				Reid Duke burst onto the competitive scene in 2011 by winning the Magic Online Championship at Worlds, and has since grown to become one of the most widely respected players in Magic. For Team ChannelFireball: The Pantheon, Reid functions as more of a fine-tuner than a pure deckbuilder, always ready with an improved version of a known deck. _x000D_</t>
  </si>
  <si>
    <t>Emrakul, the Promised End</t>
    <phoneticPr fontId="5"/>
  </si>
  <si>
    <t>info</t>
  </si>
  <si>
    <t>colorless</t>
  </si>
  <si>
    <t>white</t>
  </si>
  <si>
    <t>When Courageous Outrider enters the battlefield, look at the top four cards of your library. You may reveal a Human card from among them and put it into your hand. Put the rest on the bottom of your library in any order.</t>
  </si>
  <si>
    <t>Flying</t>
  </si>
  <si>
    <t>Look at the top seven cards of your library. Put up to two planeswalker cards from among them onto the battlefield. Put the rest on the bottom of your library in a random order.</t>
  </si>
  <si>
    <t>Lifelink （Damage dealt by this creature also causes you to gain that much life.）</t>
  </si>
  <si>
    <t>Whenever Fiend Binder attacks, tap target creature defending player controls.</t>
  </si>
  <si>
    <t>Target creature gets +2/+6 until end of turn and can block any number of creatures this turn.</t>
  </si>
  <si>
    <t>When Guardian of Pilgrims enters the battlefield, target creature gets +1/+1 until end of turn.</t>
  </si>
  <si>
    <t>When Ironclad Slayer enters the battlefield, you may return target Aura or Equipment card from your graveyard to your hand.</t>
  </si>
  <si>
    <t>Exile target artifact or enchantment.</t>
  </si>
  <si>
    <t>Exile target creature. At the beginning of the next end step, return that card to the battlefield under its owner's control with a +1/+1 counter on it.</t>
  </si>
  <si>
    <t>{W}, Discard a card: You gain 3 life.</t>
  </si>
  <si>
    <t>Prevent all damage that would be dealt this turn by non-Human sources.</t>
  </si>
  <si>
    <t>{1}, {T}: Tap target non-Human creature.</t>
  </si>
  <si>
    <t>Put two 1/1 white Spirit creature tokens with flying onto the battlefield. You gain 2 life.</t>
  </si>
  <si>
    <t>Whenever Steadfast Cathar attacks, it gets +0/+2 until end of turn.</t>
  </si>
  <si>
    <t>{1}{W}, {T}, Discard a card: Put a 1/1 white Human Soldier creature token onto the battlefield.</t>
  </si>
  <si>
    <t>blue</t>
  </si>
  <si>
    <t>2U</t>
  </si>
  <si>
    <t>You may choose an Eldrazi card you own from outside the game or in exile, reveal that card, and put it into your hand.</t>
  </si>
  <si>
    <t>Look at the top five cards of your library. Put any number of them into your graveyard and the rest back on top of your library in any order.</t>
  </si>
  <si>
    <t>Counter target spell unless its controller pays {4}.</t>
  </si>
  <si>
    <t>Exile up to two target creatures you control, then return those cards to the battlefield under their owner's control.</t>
  </si>
  <si>
    <t>When Enlightened Maniac enters the battlefield, put a 3/2 colorless Eldrazi Horror creature token onto the battlefield.</t>
  </si>
  <si>
    <t>When Exultant Cultist dies, draw a card.</t>
  </si>
  <si>
    <t>Target opponent looks at the top four cards of your library and separates them into a face-down pile and a face-up pile. Put one pile into your hand and the other into your graveyard.</t>
  </si>
  <si>
    <t>{T}: Put the top two cards of your library into your graveyard. Then if there is a colorless creature card in your graveyard, transform Grizzled Angler.</t>
  </si>
  <si>
    <t>Whenever Identity Thief attacks, you may exile another target nontoken creature. If you do, Identity Thief becomes a copy of that creature until end of turn. Return the exiled card to the battlefield under its owner's control at the beginning of the next end step.</t>
  </si>
  <si>
    <t>When Laboratory Brute enters the battlefield, put the top four cards of your library into your graveyard.</t>
  </si>
  <si>
    <t>When an opponent casts a spell, sacrifice Lunar Force and counter that spell.</t>
  </si>
  <si>
    <t>Whenever an opponent casts his or her first spell each turn, that player exiles the top card of his or her library. If it's a nonland card, you may cast it without paying its mana cost.</t>
  </si>
  <si>
    <t>Exile all other spells and counter all abilities.</t>
  </si>
  <si>
    <t>Draw a card, then draw cards equal to the number of cards named Take Inventory in your graveyard.</t>
  </si>
  <si>
    <t>Counter target spell that targets a permanent you control.</t>
  </si>
  <si>
    <t>Return target spell or creature to its owner's hand.</t>
  </si>
  <si>
    <t>black</t>
  </si>
  <si>
    <t>Return target creature card from your graveyard to your hand. If it's a Zombie card, draw a card.</t>
  </si>
  <si>
    <t>Destroy target creature. Its controller loses 2 life and you gain 2 life.</t>
  </si>
  <si>
    <t>multi</t>
  </si>
  <si>
    <t>Target player puts X 2/2 black Zombie creature tokens onto the battlefield, then up to one target creature gets -1/-1 until end of turn for each Zombie that player controls.</t>
  </si>
  <si>
    <t>Whenever another creature you control dies, put a +1/+1 counter on Gavony Unhallowed.</t>
  </si>
  <si>
    <t>At the beginning of combat on your turn, if you both own and control Graf Rats and a creature named Midnight Scavengers, exile them, then meld them into Chittering Host.</t>
  </si>
  <si>
    <t>1BB</t>
  </si>
  <si>
    <t>\"+1: Up to one target creature gets -2/-1 until your next turn.
-2: Put the top two cards of your library into your graveyard, then you may return a creature card from your graveyard to your hand.
-7: You get an emblem with \\"\"At the beginning of your end step, put X 2/2 black Zombie creature tokens onto the battlefield, where X is two plus the number of Zombies you control.\\"\"\"</t>
  </si>
  <si>
    <t>Liliana's Elite gets +1/+1 for each creature card in your graveyard.</t>
  </si>
  <si>
    <t>Destroy target creature.</t>
  </si>
  <si>
    <t>Discard a card: Olivia's Dragoon gains flying until end of turn.</t>
  </si>
  <si>
    <t>Target opponent loses 3 life and puts a card from his or her hand on top of his or her library.</t>
  </si>
  <si>
    <t>Put target creature card from a graveyard onto the battlefield under your control. That creature is a black Zombie in addition to its other colors and types.</t>
  </si>
  <si>
    <t>{B}, {T}, Discard a card: Each player loses 2 life.</t>
  </si>
  <si>
    <t>BB</t>
  </si>
  <si>
    <t>Discard a card: Vampires you control get +1/+1 until end of turn. Activate this ability only once each turn.</t>
  </si>
  <si>
    <t>You draw two cards and you lose 2 life.</t>
  </si>
  <si>
    <t>Delirium --- Thraben Foulbloods gets +1/+1 and has menace as long as there are four or more card types among cards in your graveyard. （A creature with menace can't be blocked except by two or more creatures.）</t>
  </si>
  <si>
    <t>When Wailing Ghoul enters the battlefield, put the top two cards of your library into your graveyard.</t>
  </si>
  <si>
    <t>Madness {2}{B} （If you discard this card, discard it into exile. When you do, cast it for its madness cost or put it into your graveyard.）</t>
  </si>
  <si>
    <t>red</t>
  </si>
  <si>
    <t>Whenever Assembled Alphas blocks or becomes blocked by a creature, Assembled Alphas deals 3 damage to that creature and 3 damage to that creature's controller.</t>
  </si>
  <si>
    <t>At the beginning of combat on your turn, target creature you control gains double strike until end of turn.</t>
  </si>
  <si>
    <t>{2}{R}: Bold Impaler gets +2/+0 until end of turn.</t>
  </si>
  <si>
    <t>Whenever Brazen Wolves attacks, it gets +2/+0 until end of turn.</t>
  </si>
  <si>
    <t>Menace （This creature can't be blocked except by two or more creatures.）</t>
  </si>
  <si>
    <t>Galvanic Bombardment deals X damage to target creature, where X is 2 plus the number of cards named Galvanic Bombardment in your graveyard.</t>
  </si>
  <si>
    <t>Target opponent gains control of target permanent you control.</t>
  </si>
  <si>
    <t>Incendiary Flow deals 3 damage to target creature or player. If a creature dealt damage this way would die this turn, exile it instead.</t>
  </si>
  <si>
    <t>Make Mischief deals 1 damage to target creature or player. Put a 1/1 red Devil creature token onto the battlefield. It has \"When this creature dies, it deals 1 damage to target creature or player.\"</t>
  </si>
  <si>
    <t>Target creature gets +1/+0 until end of turn. When that creature dies this turn, put a 3/2 colorless Eldrazi Horror creature token onto the battlefield.</t>
  </si>
  <si>
    <t>Return up to one target instant card and up to one target sorcery card from your graveyard to your hand, then discard a card. Exile Shreds of Sanity.</t>
  </si>
  <si>
    <t>Spreading Flames deals 6 damage divided as you choose among any number of target creatures.</t>
  </si>
  <si>
    <t>When Stensia Innkeeper enters the battlefield, tap target land an opponent controls. That land doesn't untap during its controller's next untap step.</t>
  </si>
  <si>
    <t>green</t>
  </si>
  <si>
    <t>Delirium --- Backwoods Survivalists gets +1/+1 and has trample as long as there are four or more card types among cards in your graveyard.</t>
  </si>
  <si>
    <t>Whenever you sacrifice another permanent, put a +1/+1 counter on Bloodbriar.</t>
  </si>
  <si>
    <t>Target creature you control gets +1/+1 until end of turn. It deals damage equal to its power to target creature you don't control.</t>
  </si>
  <si>
    <t>{G}, {T}: Target attacking Human gets +1/+1 until end of turn.</t>
  </si>
  <si>
    <t>{T}, Sacrifice Emrakul's Evangel and any number of other non-Eldrazi creatures: Put a 3/2 colorless Eldrazi Horror creature token onto the battlefield for each creature sacrificed this way.</t>
  </si>
  <si>
    <t>Whenever you cast an Eldrazi creature spell with converted mana cost 7 or greater, draw two cards.</t>
  </si>
  <si>
    <t>1G</t>
  </si>
  <si>
    <t>Put the top three cards of your library into your graveyard, then you may return a creature or land card from your graveyard to your hand.</t>
  </si>
  <si>
    <t>Whenever Hamlet Captain attacks or blocks, other Humans you control get +1/+1 until end of turn.</t>
  </si>
  <si>
    <t>{4}{G}: Transform Kessig Prowler.</t>
  </si>
  <si>
    <t>Whenever Permeating Mass deals combat damage to a creature, that creature becomes a copy of Permeating Mass.</t>
  </si>
  <si>
    <t>Target creature you control fights target creature you don't control.</t>
  </si>
  <si>
    <t>When Primal Druid dies, you may search your library for a basic land card, put it onto the battlefield tapped, then shuffle your library.</t>
  </si>
  <si>
    <t>When Somberwald Stag enters the battlefield, you may have it fight target creature you don't control.</t>
  </si>
  <si>
    <t>Return all land cards from your graveyard to the battlefield tapped.</t>
  </si>
  <si>
    <t>Destroy target artifact or enchantment. You gain 4 life.</t>
  </si>
  <si>
    <t>Whenever a creature you control with toughness 4 or greater dies, draw a card.</t>
  </si>
  <si>
    <t>Transform up to one target Werewolf you control. Creatures you control gain trample until end of turn.</t>
  </si>
  <si>
    <t>Target creature you control gets +3/+3 and gains hexproof until end of turn. （It can't be the target of spells or abilities your opponents control.）</t>
  </si>
  <si>
    <t>Vigilance</t>
  </si>
  <si>
    <t>Whenever a creature you control attacks, defending player loses 1 life and you gain 1 life.</t>
  </si>
  <si>
    <t>Destroy target blocking creature. Creatures that were blocked by that creature this combat gain trample until end of turn.</t>
  </si>
  <si>
    <t>Creature spells you cast cost {1} more to cast.</t>
  </si>
  <si>
    <t>Lupine Prototype can't attack or block unless a player has no cards in hand.</t>
  </si>
  <si>
    <t>{5}, {T}, Sacrifice Soul Separator: Exile target creature card from your graveyard. Put a token onto the battlefield that's a copy of that card except it's 1/1, it's a Spirit in addition to its other types, and it has flying. Put a black Zombie creature token onto the battlefield with power equal to that card's power and toughness equal to that card's toughness.</t>
  </si>
  <si>
    <t>land</t>
  </si>
  <si>
    <t>0 SideboardCards 0 0 W0U0B0R0G0C0</t>
  </si>
  <si>
    <t>Channelfireball Comment</t>
  </si>
  <si>
    <t>oracle</t>
  </si>
  <si>
    <t>manacost</t>
  </si>
  <si>
    <t>Channelfireball</t>
  </si>
  <si>
    <t>color</t>
  </si>
  <si>
    <t>SMDS</t>
  </si>
  <si>
    <t>1</t>
  </si>
  <si>
    <t>エラー 2042</t>
  </si>
  <si>
    <t>2.5</t>
  </si>
  <si>
    <t>4.5</t>
  </si>
  <si>
    <t>3</t>
  </si>
  <si>
    <t>4</t>
  </si>
  <si>
    <t>2</t>
  </si>
  <si>
    <t>3.5</t>
  </si>
  <si>
    <t>0</t>
  </si>
  <si>
    <t>1.5</t>
  </si>
  <si>
    <t>0.5</t>
  </si>
  <si>
    <t>LimitedRatingg:2.0</t>
  </si>
  <si>
    <t>8</t>
  </si>
  <si>
    <t>1.9</t>
  </si>
  <si>
    <t>10</t>
  </si>
  <si>
    <t>9.5</t>
  </si>
  <si>
    <t>9</t>
  </si>
  <si>
    <t>1.7</t>
  </si>
  <si>
    <t>9.7</t>
  </si>
  <si>
    <t>5.4</t>
  </si>
  <si>
    <t>1.1</t>
  </si>
  <si>
    <t>1.2</t>
  </si>
  <si>
    <t>7</t>
  </si>
  <si>
    <t>1.4</t>
  </si>
  <si>
    <t>8.8</t>
  </si>
  <si>
    <t>2.3</t>
  </si>
  <si>
    <t>0.6</t>
  </si>
  <si>
    <t>2.2</t>
  </si>
  <si>
    <t>2.8</t>
  </si>
  <si>
    <t>3.4</t>
  </si>
  <si>
    <t>0.7</t>
  </si>
  <si>
    <t>0.8</t>
  </si>
  <si>
    <t>0.9</t>
  </si>
  <si>
    <t>9.4</t>
  </si>
  <si>
    <t>9.1</t>
  </si>
  <si>
    <t>3.8</t>
  </si>
  <si>
    <t>2.7</t>
  </si>
  <si>
    <t>7.3</t>
  </si>
  <si>
    <t>1.6</t>
  </si>
  <si>
    <t>4.4</t>
  </si>
  <si>
    <t>5.5</t>
  </si>
  <si>
    <t>4.2</t>
  </si>
  <si>
    <t>9.9</t>
  </si>
  <si>
    <t>1.3</t>
  </si>
  <si>
    <t>7.6</t>
  </si>
  <si>
    <t>9.2</t>
  </si>
  <si>
    <t>2.1</t>
  </si>
  <si>
    <t>5</t>
  </si>
  <si>
    <t>3.3</t>
  </si>
  <si>
    <t>6.5</t>
  </si>
  <si>
    <t>7.8</t>
  </si>
  <si>
    <t>7.4</t>
  </si>
  <si>
    <t>6.1</t>
  </si>
  <si>
    <t>9.8</t>
  </si>
  <si>
    <t>2.6</t>
  </si>
  <si>
    <t>5.1</t>
  </si>
  <si>
    <t>6.8</t>
  </si>
  <si>
    <t>3.2</t>
  </si>
  <si>
    <t>6</t>
  </si>
  <si>
    <t>1.8</t>
  </si>
  <si>
    <t>8.4</t>
  </si>
  <si>
    <t>9.3</t>
  </si>
  <si>
    <t>8.6</t>
  </si>
  <si>
    <t>8.9</t>
  </si>
  <si>
    <t>Emerge {6}{B} （You may cast this spell by sacrificing a creature and paying the emerge cost reduced by that creature's converted mana cost.）
When you cast Abundant Maw, target opponent loses 3 life and you gain 3 life.</t>
  </si>
  <si>
    <t>Emerge {6}{G}{G}{G} （You may cast this spell by sacrificing a creature and paying the emerge cost reduced by that creature's converted mana cost.）
When you cast Decimator of the Provinces, creatures you control get +2/+2 and gain trample until end of turn.
Trample, haste</t>
  </si>
  <si>
    <t>Emerge {5}{B}{B} （You may cast this spell by sacrificing a creature and paying the emerge cost reduced by that creature's converted mana cost.）
When you cast Distended Mindbender, target opponent reveals his or her hand. You choose from it a nonland card with converted mana cost 3 or less and a card with converted mana cost 4 or greater. That player discards those cards.</t>
  </si>
  <si>
    <t>Flash （You may cast this spell any time you could cast an instant.）
Emerge {7}{U} （You may cast this spell by sacrificing a creature and paying the emerge cost reduced by that creature's converted mana cost.）
Drownyard Behemoth has hexproof as long as it entered the battlefield this turn.</t>
  </si>
  <si>
    <t>Flash
Emerge {5}{U}{U} （You may cast this spell by sacrificing a creature and paying the emerge cost reduced by that creature's converted mana cost.）
When you cast Elder Deep-Fiend, tap up to four target permanents.</t>
  </si>
  <si>
    <t>You may cast Eternal Scourge from exile.
When Eternal Scourge becomes the target of a spell or ability an opponent controls, exile Eternal Scourge.</t>
  </si>
  <si>
    <t>Emerge {6}{G} （You may cast this spell by sacrificing a creature and paying the emerge cost reduced by that creature's converted mana cost.）
When you cast It of the Horrid Swarm, put two 1/1 green Insect creature tokens onto the battlefield.</t>
  </si>
  <si>
    <t>Emerge {5}{G}{U} （You may cast this spell by sacrificing a creature and paying the emerge cost reduced by that creature's converted mana cost.）
When you cast Lashweed Lurker, you may put target nonland permanent on top of its owner's library.</t>
  </si>
  <si>
    <t>Emerge {7}{G} （You may cast this spell by sacrificing a creature and paying the emerge cost reduced by that creature's converted mana cost.）
When you cast Mockery of Nature, you may destroy target artifact or enchantment.</t>
  </si>
  <si>
    <t>Emerge {6}{U} （You may cast this spell by sacrificing a creature and paying the emerge cost reduced by that creature's converted mana cost.）
When you cast Vexing Scuttler, you may return target instant or sorcery card from your graveyard to your hand.</t>
  </si>
  <si>
    <t>Emerge {5}{U} （You may cast this spell by sacrificing a creature and paying the emerge cost reduced by that creature's converted mana cost.）
When you cast Wretched Gryff, draw a card.
Flying</t>
  </si>
  <si>
    <t>1W1W</t>
  </si>
  <si>
    <t>Escalate {2} （Pay this cost for each mode chosen beyond the first.）
Choose one or more ---
? Target player gains 4 life.
? Untap up to two target creatures.
? Target opponent sacrifices an attacking creature.</t>
  </si>
  <si>
    <t>2W2W</t>
  </si>
  <si>
    <t>Escalate {1}{W} （Pay this cost for each mode chosen beyond the first.）
Choose one or both ---
? Creatures you control get +2/+0 until end of turn.
? Creatures you control get +0/+2 until end of turn.</t>
  </si>
  <si>
    <t>5WW5WW</t>
  </si>
  <si>
    <t>Enchant creature
Enchanted creature can't attack or block.
{3}{W}{W}, Sacrifice Choking Restraints: Exile enchanted creature.</t>
  </si>
  <si>
    <t>1WW1WW</t>
  </si>
  <si>
    <t>Escalate --- Tap an untapped creature you control. （Pay this cost for each mode chosen beyond the first.）
Choose one or more ---
? Destroy target creature with power 4 or greater.
? Destroy target enchantment.
? Put a +1/+1 counter on each creature target player controls.</t>
  </si>
  <si>
    <t>3W3W</t>
  </si>
  <si>
    <t>4WW4WW</t>
  </si>
  <si>
    <t>When Desperate Sentry dies, put a 3/2 colorless Eldrazi Horror creature token onto the battlefield.
Delirium --- Desperate Sentry gets +3/+0 as long as there are four or more card types among cards in your graveyard.</t>
  </si>
  <si>
    <t>Flash （You may cast this spell any time you could cast an instant.）
When Drogskol Shieldmate enters the battlefield, other creatures you control get +0/+1 until end of turn.</t>
  </si>
  <si>
    <t>When Extricator of Sin enters the battlefield, you may sacrifice another permanent. If you do, put a 3/2 colorless Eldrazi Horror creature token onto the battlefield.
Delirium --- At the beginning of your upkeep, if there are four or more card types among cards in your graveyard, transform Extricator of Sin.</t>
  </si>
  <si>
    <t>Enchant creature you control
When Faith Unbroken enters the battlefield, exile target creature an opponent controls until Faith Unbroken leaves the battlefield.
Enchanted creature gets +2/+2.</t>
  </si>
  <si>
    <t>4W4W</t>
  </si>
  <si>
    <t>Defender, flying
Delirium --- Geist of the Lonely Vigil can attack as though it didn't have defender as long as there are four or more card types among cards in your graveyard.</t>
  </si>
  <si>
    <t>First strike, lifelink
At the beginning of the end step, if you gained 3 or more life this turn, transform Lone Rider.</t>
  </si>
  <si>
    <t>Enchant creature
Enchanted creature gets +2/+2 and has \"{1}, Sacrifice a permanent: This creature gains flying until end of turn.\"</t>
  </si>
  <si>
    <t>You may reveal this card from your opening hand. If you do, at the beginning of the first upkeep, your life total becomes 26.
Your life total becomes 26.</t>
  </si>
  <si>
    <t>Whenever another creature enters the battlefield under your control, Sanctifier of Souls gets +1/+1 until end of turn.
{2}{W}, Exile a creature card from your graveyard: Put a 1/1 white Spirit creature token with flying onto the battlefield.</t>
  </si>
  <si>
    <t>Flying
Sacrifice Selfless Spirit: Creatures you control gain indestructible until end of turn.</t>
  </si>
  <si>
    <t>WW</t>
  </si>
  <si>
    <t>You may cast Aura and Equipment spells as though they had flash.
Whenever an Equipment enters the battlefield under your control, you may attach it to target creature you control.</t>
  </si>
  <si>
    <t>Flying
When Subjugator Angel enters the battlefield, tap all creatures your opponents control.</t>
  </si>
  <si>
    <t>3WW3WW</t>
  </si>
  <si>
    <t>First strike
When Thalia's Lancers enters the battlefield, you may search your library for a legendary card, reveal it, put it into your hand, then shuffle your library.</t>
  </si>
  <si>
    <t>3UU3UU</t>
  </si>
  <si>
    <t>Flying
{2}{U}, Discard two cards: Return Advanced Stitchwing from your graveyard to the battlefield tapped.</t>
  </si>
  <si>
    <t>2U2U</t>
  </si>
  <si>
    <t>Tap up to two target creatures. Those creatures don't untap during their controller's next untap step.
Madness {3}{U} （If you discard this card, discard it into exile. When you do, cast it for its madness cost or put it into your graveyard.）</t>
  </si>
  <si>
    <t>1U1U</t>
  </si>
  <si>
    <t>{T}: Add {C} to your mana pool. Spend this mana only to cast an instant or sorcery spell.
At the beginning of your upkeep, if there are three or more instant and/or sorcery cards in your graveyard, transform Curious Homunculus.</t>
  </si>
  <si>
    <t>Flying
Whenever you cast an instant or sorcery spell, put a 1/1 blue Human Wizard creature token onto the battlefield. Then if you control three or more Wizards, transform Docent of Perfection.</t>
  </si>
  <si>
    <t>Return target creature to its owner's hand.
Draw a card.</t>
  </si>
  <si>
    <t>3U3U</t>
  </si>
  <si>
    <t>Skulk （This creature can't be blocked by creatures with greater power.）
When Fogwalker enters the battlefield, target creature an opponent controls doesn't untap during its controller's next untap step.</t>
  </si>
  <si>
    <t>Defender
At the beginning of your upkeep, scry 1. （Look at the top card of your library. You may put that card on the bottom of your library.）</t>
  </si>
  <si>
    <t>2UU2UU</t>
  </si>
  <si>
    <t>Enchant creature, land, or planeswalker
Enchanted permanent is a colorless land with \"{T}: Add {C} to your mana pool\" and loses all other card types and abilities.</t>
  </si>
  <si>
    <t>Prowess （Whenever you cast a noncreature spell, this creature gets +1/+1 until end of turn.）
{U}: Ingenious Skaab gets +1/-1 until end of turn.</t>
  </si>
  <si>
    <t>UU</t>
  </si>
  <si>
    <t>Flying
Whenever another Spirit enters the battlefield under your control, Mausoleum Wanderer gets +1/+1 until end of turn.
Sacrifice Mausoleum Wanderer: Counter target instant or sorcery spell unless its controller pays {X}, where X is Mausoleum Wanderer's power.</t>
  </si>
  <si>
    <t>5UU5UU</t>
  </si>
  <si>
    <t>Flash （You may cast this spell any time you could cast an instant.）
Flying
Whenever Nebelgast Herald or another Spirit enters the battlefield under your control, tap target creature an opponent controls.</t>
  </si>
  <si>
    <t>Flying
Prowess （Whenever you cast a noncreature spell, this creature gets +1/+1 until end of turn.）
Whenever you cast an instant or sorcery spell, tap target creature an opponent controls. That creature doesn't untap during its controller's next untap step.</t>
  </si>
  <si>
    <t>4UU4UU</t>
  </si>
  <si>
    <t>Delirium --- Scour the Laboratory costs {2} less to cast if there are four or more card types among cards in your graveyard.
Draw three cards.</t>
  </si>
  <si>
    <t>Flash （You may cast this spell any time you could cast an instant.）
Enchant creature
Enchanted creature gets -X/-0, where X is the number of cards in your graveyard.</t>
  </si>
  <si>
    <t>Flying
Tattered Haunter can block only creatures with flying.</t>
  </si>
  <si>
    <t>Skulk （This creature can't be blocked by creatures with greater power.）
Whenever Wharf Infiltrator deals combat damage to a player, you may draw a card. If you do, discard a card.
Whenever you discard a creature card, you may pay {2}. If you do, put a 3/2 colorless Eldrazi Horror creature token onto the battlefield.</t>
  </si>
  <si>
    <t>2B2B</t>
  </si>
  <si>
    <t>Enchant creature
Enchanted creature gets +3/-3.</t>
  </si>
  <si>
    <t>Escalate {2} （Pay this cost for each mode chosen beyond the first.）
Choose one or both ---
? Target creature gets +1/+1 until end of turn.
? Target creature gets -1/-1 until end of turn.</t>
  </si>
  <si>
    <t>1B1B</t>
  </si>
  <si>
    <t>5B5B</t>
  </si>
  <si>
    <t>Escalate --- Discard a card. （Pay this cost for each mode chosen beyond the first.）
Choose one or more ---
? Target opponent reveals his or her hand. You choose an instant or sorcery card from it. That player discards that card.
? Target creature gets -2/-2 until end of turn.
? Target opponent loses 2 life and you gain 2 life.</t>
  </si>
  <si>
    <t>{1}{B}, {T}, Discard a card: Put a 2/2 black Zombie creature token onto the battlefield.
Tap three untapped Zombies you control: You draw a card and you lose 1 life.</t>
  </si>
  <si>
    <t>ＸＸBＸＸB</t>
  </si>
  <si>
    <t>5BB5BB</t>
  </si>
  <si>
    <t>Delirium --- Dusk Feaster costs {2} less to cast if there are four or more card types among cards in your graveyard.
Flying</t>
  </si>
  <si>
    <t>3B3B</t>
  </si>
  <si>
    <t>Zombies you control have menace. （They can't be blocked except by two or more creatures.）
{3}{B}, Exile a creature card from your graveyard: Put a 2/2 black Zombie creature token onto the battlefield.</t>
  </si>
  <si>
    <t>When Haunted Dead enters the battlefield, put a 1/1 white Spirit creature token with flying onto the battlefield.
{1}{B}, Discard two cards: Return Haunted Dead from your graveyard to the battlefield tapped.</t>
  </si>
  <si>
    <t>4B4B</t>
  </si>
  <si>
    <t>Lifelink
Markov Crusader has haste as long as you control another Vampire.</t>
  </si>
  <si>
    <t>When Midnight Scavengers enters the battlefield, you may return target creature card with converted mana cost 3 or less from your graveyard to your hand.
（Melds with Graf Rats.）</t>
  </si>
  <si>
    <t>4BB4BB</t>
  </si>
  <si>
    <t>Noosegraf Mob enters the battlefield with five +1/+1 counters on it.
Whenever a player casts a spell, remove a +1/+1 counter from Noosegraf Mob. If you do, put a 2/2 black Zombie creature token onto the battlefield.</t>
  </si>
  <si>
    <t>When Oath of Liliana enters the battlefield, each opponent sacrifices a creature.
At the beginning of each end step, if a planeswalker entered the battlefield under your control this turn, put a 2/2 black Zombie creature token onto the battlefield.</t>
  </si>
  <si>
    <t>As an additional cost to cast Ruthless Disposal, discard a card and sacrifice a creature.
Two target creatures each get -13/-13 until end of turn.</t>
  </si>
  <si>
    <t>Enchant creature
Enchanted creature gets +1/+1.
Delirium --- Enchanted creature gets an additional +2/+2 as long as there are four or more card types among cards in your graveyard.</t>
  </si>
  <si>
    <t>BBBB</t>
  </si>
  <si>
    <t>1BB1BB</t>
  </si>
  <si>
    <t>Defender
{T}: Exchange target opponent's life total with Tree of Perdition's toughness.</t>
  </si>
  <si>
    <t>Skulk （This creature can't be blocked by creatures with greater power.）
Lifelink （Damage dealt by this creature also causes you to gain that much life.）</t>
  </si>
  <si>
    <t>3BB3BB</t>
  </si>
  <si>
    <t>Flying
Sacrifice three other creatures: Transform Voldaren Pariah.
Madness {B}{B}{B} （If you discard this card, discard it into exile. When you do, cast it for its madness cost or put it into your graveyard.）</t>
  </si>
  <si>
    <t>Target opponent discards a card at random.
Delirium --- If there are four or more card types among cards in your graveyard, that player discards two cards at random instead.</t>
  </si>
  <si>
    <t>2R2R</t>
  </si>
  <si>
    <t>Up to two target creatures each get +1/+0 and gain first strike until end of turn.
Madness {1}{R} （If you discard this card, discard it into exile. When you do, cast it for its madness cost or put it into your graveyard.）</t>
  </si>
  <si>
    <t>4R4R</t>
  </si>
  <si>
    <t>Alchemist's Greeting deals 4 damage to target creature.
Madness {1}{R} （If you discard this card, discard it into exile. When you do, cast it for its madness cost or put it into your graveyard.）</t>
  </si>
  <si>
    <t>5R5R</t>
  </si>
  <si>
    <t>6RR6RR</t>
  </si>
  <si>
    <t>Bedlam Reveler costs {1} less to cast for each instant and sorcery card in your graveyard.
Prowess （Whenever you cast a noncreature spell, this creature gets +1/+1 until end of turn.）
When Bedlam Reveler enters the battlefield, discard your hand, then draw three cards.</t>
  </si>
  <si>
    <t>3R3R</t>
  </si>
  <si>
    <t>RR</t>
  </si>
  <si>
    <t>Escalate {3} （Pay this cost for each mode chosen beyond the first.）
Choose one or both ---
? Target creature gets +3/+0 until end of turn.
? Target creature gains first strike until end of turn.</t>
  </si>
  <si>
    <t>1RR1RR</t>
  </si>
  <si>
    <t>Escalate {1} （Pay this cost for each mode chosen beyond the first.）
Choose one or more ---
? Target player discards all the cards in his or her hand, then draws that many cards.
? Collective Defiance deals 4 damage to target creature.
? Collective Defiance deals 3 damage to target opponent.</t>
  </si>
  <si>
    <t>Whenever Conduit of Storms attacks, add {R} to your mana pool at the beginning of your next main phase this turn.
{3}{R}{R}: Transform Conduit of Storms.</t>
  </si>
  <si>
    <t>1R1R</t>
  </si>
  <si>
    <t>Target creature gets +2/+2 and gains trample until end of turn.
Madness {R} （If you discard this card, discard it into exile. When you do, cast it for its madness cost or put it into your graveyard.）</t>
  </si>
  <si>
    <t>Trample
At the beginning of combat on your turn, you may discard a card. If you do, Furyblade Vampire gets +3/+0 until end of turn.</t>
  </si>
  <si>
    <t>Whenever Hanweir Garrison attacks, put two 1/1 red Human creature tokens onto the battlefield tapped and attacking.
（Melds with Hanweir Battlements.）</t>
  </si>
  <si>
    <t>2RR2RR</t>
  </si>
  <si>
    <t>Trample, haste
When Impetuous Devils attacks, up to one target creature defending player controls blocks it this combat if able.
At the beginning of the end step, sacrifice Impetuous Devils.</t>
  </si>
  <si>
    <t>Insatiable Gorgers attacks each combat if able.
Madness {3}{R} （If you discard this card, discard it into exile. When you do, cast it for its madness cost or put it into your graveyard.）</t>
  </si>
  <si>
    <t>3RR3RR</t>
  </si>
  <si>
    <t>Flying
Whenever a player casts an instant or sorcery spell that targets only Mirrorwing Dragon, that player copies that spell for each other creature he or she controls that the spell could target. Each copy targets a different one of those creatures.</t>
  </si>
  <si>
    <t>As an additional cost to cast Nahiri's Wrath, discard X cards.
Nahiri's Wrath deals damage equal to the total converted mana cost of the discarded cards to each of up to X target creatures and/or planeswalkers.</t>
  </si>
  <si>
    <t>Enchant creature
Enchanted creature has haste and \"{T}, Discard a card: Draw a card.\"</t>
  </si>
  <si>
    <t>Escalate {1} （Pay this cost for each mode chosen beyond the first.）
Choose one or more ---
? Creatures target player controls gain trample until end of turn.
? Savage Alliance deals 2 damage to target creature.
? Savage Alliance deals 1 damage to each creature target opponent controls.</t>
  </si>
  <si>
    <t>When Smoldering Werewolf enters the battlefield, it deals 1 damage to each of up to two target creatures.
{4}{R}{R}: Transform Smoldering Werewolf.</t>
  </si>
  <si>
    <t>6R6R</t>
  </si>
  <si>
    <t>Stensia Banquet deals damage to target opponent equal to the number of Vampires you control.
Draw a card.</t>
  </si>
  <si>
    <t>Trample
Whenever Stromkirk Occultist deals combat damage to a player, exile the top card of your library. Until end of turn, you may play that card.
Madness {1}{R} （If you discard this card, discard it into exile. When you do, cast it for its madness cost or put it into your graveyard.）</t>
  </si>
  <si>
    <t>Defender
{T}: Thermo-Alchemist deals 1 damage to each opponent.
Whenever you cast an instant or sorcery spell, untap Thermo-Alchemist.</t>
  </si>
  <si>
    <t>Trample
{R}: Vildin-Pack Outcast gets +1/-1 until end of turn.
{5}{R}{R}: Transform Vildin-Pack Outcast.</t>
  </si>
  <si>
    <t>Reach
Whenever you cast an instant or sorcery spell, Weaver of Lightning deals 1 damage to target creature an opponent controls.</t>
  </si>
  <si>
    <t>3G3G</t>
  </si>
  <si>
    <t>2G2G</t>
  </si>
  <si>
    <t>GG</t>
  </si>
  <si>
    <t>At the beginning of your upkeep, you may put the top card of your library into your graveyard.
Delirium --- {2}{G}, Sacrifice Crop Sigil: Return up to one target creature card and up to one target land card from your graveyard to your hand. Activate this ability only if there are four or more card types among cards in your graveyard.</t>
  </si>
  <si>
    <t>1GG1GG</t>
  </si>
  <si>
    <t>As an additional cost to cast Eldritch Evolution, sacrifice a creature.
Search your library for a creature card with converted mana cost X or less, where X is 2 plus the sacrificed creature's converted mana cost. Put that card onto the battlefield, then shuffle your library. Exile Eldritch Evolution.</t>
  </si>
  <si>
    <t>2GG2GG</t>
  </si>
  <si>
    <t>When Foul Emissary enters the battlefield, look at the top four cards of your library. You may reveal a creature card from among them and put it into your hand. Put the rest on the bottom of your library in any order.
When you sacrifice Foul Emissary while casting a spell with emerge, put a 3/2 colorless Eldrazi Horror creature token onto the battlefield.</t>
  </si>
  <si>
    <t>Deathtouch
Delirium --- Gnarlwood Dryad gets +2/+2 as long as there are four or more card types among cards in your graveyard.</t>
  </si>
  <si>
    <t>1G1G</t>
  </si>
  <si>
    <t>4G4G</t>
  </si>
  <si>
    <t>Reach
Discard a card: Noose Constrictor gets +1/+1 until end of turn.</t>
  </si>
  <si>
    <t>Creatures with power less than Shrill Howler's power can't block it.
{5}{G}: Transform Shrill Howler.</t>
  </si>
  <si>
    <t>3GG3GG</t>
  </si>
  <si>
    <t>Flash
When Spirit of the Hunt enters the battlefield, each other creature you control that's a Wolf or a Werewolf gets +0/+3 until end of turn.</t>
  </si>
  <si>
    <t>Flash （You may cast this spell any time you could cast an instant.）
Reach （This creature can block creatures with flying.）</t>
  </si>
  <si>
    <t>Tangleclaw Werewolf can block an additional creature each combat.
{6}{G}: Transform Tangleclaw Werewolf.</t>
  </si>
  <si>
    <t>Defender
{T}: Add {G} to your mana pool.
{5}{G}{G}: Transform Ulvenwald Captive.</t>
  </si>
  <si>
    <t>4GG4GG</t>
  </si>
  <si>
    <t>Enchant creature
When Wolfkin Bond enters the battlefield, put a 2/2 green Wolf creature token onto the battlefield.
Enchanted creature gets +2/+2.</t>
  </si>
  <si>
    <t>2BR2BR</t>
  </si>
  <si>
    <t>Whenever Bloodhall Priest enters the battlefield or attacks, if you have no cards in hand, Bloodhall Priest deals 2 damage to target creature or player.
Madness {1}{B}{R} （If you discard this card, discard it into exile. When you do, cast it for its madness cost or put it into your graveyard.）</t>
  </si>
  <si>
    <t>3WB3WB</t>
  </si>
  <si>
    <t>2UB2UB</t>
  </si>
  <si>
    <t>When Gisa and Geralf enters the battlefield, put the top four cards of your library into your graveyard.
During each of your turns, you may cast a Zombie creature card from your graveyard.</t>
  </si>
  <si>
    <t>BGBG</t>
  </si>
  <si>
    <t>Trample
Whenever Grim Flayer deals combat damage to a player, look at the top three cards of your library. Put any number of them into your graveyard and the rest back on top of your library in any order.
Delirium --- Grim Flayer gets +2/+2 as long as there are four or more card types among cards in your graveyard.</t>
  </si>
  <si>
    <t>2GW2GW</t>
  </si>
  <si>
    <t>Flash
Lifelink
When Heron's Grace Champion enters the battlefield, other Humans you control get +1/+1 and gain lifelink until end of turn.</t>
  </si>
  <si>
    <t>2UR2UR</t>
  </si>
  <si>
    <t>Flying
Whenever you cast an instant or sorcery spell, Mercurial Geists gets +3/+0 until end of turn.</t>
  </si>
  <si>
    <t>1BG1BG</t>
  </si>
  <si>
    <t>Haste
Delirium --- When Mournwillow enters the battlefield, if there are four or more card types among cards in your graveyard, creatures with power 2 or less can't block this turn.</t>
  </si>
  <si>
    <t>RWRW</t>
  </si>
  <si>
    <t>1WU1WU</t>
  </si>
  <si>
    <t>Flash
Flying
When Spell Queller enters the battlefield, exile target spell with converted mana cost 4 or less.
When Spell Queller leaves the battlefield, the exiled card's owner may cast that card without paying its mana cost.</t>
  </si>
  <si>
    <t>3RG3RG</t>
  </si>
  <si>
    <t>Whenever this creature enters the battlefield or transforms into Ulrich of the Krallenhorde, target creature gets +4/+4 until end of turn.
At the beginning of each upkeep, if no spells were cast last turn, transform Ulrich of the Krallenhorde.</t>
  </si>
  <si>
    <t>Equipped creature gets +0/+3 and has vigilance.
Equip {3} （{3}: Attach to target creature you control. Equip only as a sorcery.）</t>
  </si>
  <si>
    <t>Cryptolith Fragment enters the battlefield tapped.
{T}: Add one mana of any color to your mana pool. Each player loses 1 life.
At the beginning of your upkeep, if each player has 10 or less life, transform Cryptolith Fragment.</t>
  </si>
  <si>
    <t>Equipped creature gets +2/+2.
Equip {3} （{3}: Attach to target creature you control. Equip only as a sorcery.）</t>
  </si>
  <si>
    <t>Equipped creature gets +3/+1 and must be blocked by an Eldrazi if able.
Equip {4}</t>
  </si>
  <si>
    <t>Equipped creature gets +3/+3.
Whenever equipped creature attacks, it doesn't untap during its controller's next untap step.
Whenever Stitcher's Graft becomes unattached from a permanent, sacrifice that permanent.
Equip {2}</t>
  </si>
  <si>
    <t>Terrarion enters the battlefield tapped.
{2}, {T}, Sacrifice Terrarion: Add two mana in any combination of colors to your mana pool.
When Terrarion is put into a graveyard from the battlefield, draw a card.</t>
  </si>
  <si>
    <t>Equipped creature gets +4/+0.
At the beginning of your end step, if equipped creature didn't deal combat damage to a creature this turn, sacrifice it.
Equip {2}</t>
  </si>
  <si>
    <t>{T}: Add {C} to your mana pool.
{2}, {T}: Each player draws a card, then discards a card.</t>
  </si>
  <si>
    <t>{T}: Add {C} to your mana pool.
{R}, {T}: Target creature gains haste until end of turn.
{3}{R}{R}, {T}: If you both own and control Hanweir Battlements and a creature named Hanweir Garrison, exile them, then meld them into Hanweir, the Writhing Township.</t>
  </si>
  <si>
    <t>If a spell or ability an opponent controls causes you to discard a card, you may reveal that card and put it on top of your library instead of putting it anywhere else.
{T}: Add {C} to your mana pool.</t>
  </si>
  <si>
    <t>88</t>
  </si>
  <si>
    <t>1010</t>
  </si>
  <si>
    <t>99</t>
  </si>
  <si>
    <t>33</t>
  </si>
  <si>
    <t>77</t>
  </si>
  <si>
    <t>22</t>
  </si>
  <si>
    <t>44</t>
  </si>
  <si>
    <t>11</t>
  </si>
  <si>
    <t>Always Watching</t>
  </si>
  <si>
    <t>That there is?a heavy token component to white does make this less absurd than it would be otherwise, but it’s still incredible. Not only are your creatures bigger and stronger, they also play both sides of the court. I can’t imagine this being anything less than great, even if you have to slightly de-prioritize token creatures over actual ones.</t>
  </si>
  <si>
    <t>Angel of Deliverance</t>
  </si>
  <si>
    <t>Without knowing the speed of the format, it’s tough to get a sense of how good this card is. The format seems fast enough that an 8-drop isn’t a trivial addition to your deck, so this rating is contingent on having to do some work to make it function. That usually means a combination of defense + ramp, after which you get an effective killing machine. By the time you can cast this, there’s a very good chance you have delirium, which eats the opponent’s best creature every time it goes into combat. Note that it triggers when it deals damage to anything and not just enemy players.</t>
  </si>
  <si>
    <t>Angelic Purge</t>
  </si>
  <si>
    <t>White has a decent amount of tokens for when you have to cast this in the early/midgame, and later in the game you can sacrifice a land. That seems like a good removal spell to me, albeit not one you want too many of, and you can build?your deck to maximize this. Aggressive decks with a curve ending at 4 can play this without paying a huge cost, and it kills everything you’d want to kill. In blue/white or green/white, this card gets quite a bit better, as you can sacrifice Clues, which look abundant.The effect here is desirable enough and you should be able to mitigate the drawback, but there are times where this is going to be awful. This is definitely a card to watch, especially given how much it looks like Bone Splinters, a card that ranges from unplayable to awesome depending on your deck. Being able to sacrifice lands is a huge upside, so I’m starting this high.</t>
  </si>
  <si>
    <t>Apothecary Geist</t>
  </si>
  <si>
    <t>In a deck with 0 other Spirits, this is quite playable. In a deck with a bunch, it’s exactly what the doctor ordered. On balance it’s slightly worse than Courier Griffin, a card that I rarely cut from my deck.</t>
  </si>
  <si>
    <t>Archangel Avacyn // Avacyn, the Purifier</t>
  </si>
  <si>
    <t>Flavor:A+</t>
  </si>
  <si>
    <t>Iassume(evenwithoutfollowingthestory</t>
  </si>
  <si>
    <t>I’mprettysureAvacynnailsalltheplotpointsexactly)</t>
  </si>
  <si>
    <t>A neat game you can play with Avacyn is to try and figure out how many abilities she could?lose and?still be absolutely ridiculous. She certainly would be without the transform ability, and even without the indestructible ability she’d be incredible. Without vigilance, she’d be great, and it’s only when you start taking away flash and flying that she starts to descend to the realm of mere mortals. Now rewind that and realize that you get every single ability mentioned, because that’s how Magic cards work.Avacyn comes down, wins you combat, and presents a 4/4 flying, vigilant threat. Even if your opponent sees her coming and declines to attack, she still swoops in end of turn and starts to beat down. If they ever dare to kill one of your creatures, she turns into an even bigger threat, and that threat comes with a free Flamebreak (that conveniently doesn’t hit you or her). I don’t think you needed me to tell you how absurd Avacyn is, but it was still fun.</t>
  </si>
  <si>
    <t>Avacynian Missionaries // Lunarch Inquisitors</t>
  </si>
  <si>
    <t>2.0//3.5</t>
  </si>
  <si>
    <t>Without any gear in your deck, the Missionaries are in the unfortunate position of being a Hill Giant. Playable, but not exciting. Once you have a couple pieces of equipment, they become fiends, and turn into a 4/4 Banisher Priest. That is one of the better transformations, and worth playing medium equipment (especially if you can pick up 2 or more Missionaries).</t>
  </si>
  <si>
    <t>Bound by Moonsilver</t>
  </si>
  <si>
    <t>This would be a 3.5 without the second ability, as a 3-mana Pacifism is a great card. Being able to switch targets is a powerful bit of flexibility and bound to make this a high pick. Note that it doesn’t stop activated abilities, so don’t drop this on something expecting it to do so.</t>
  </si>
  <si>
    <t>Bygone Bishop</t>
  </si>
  <si>
    <t>First of all, a 2/3 flyer for 3 is very good. What I’m less sure about is the Clue part. Getting a Clue (even I am going to be tired of hearing that) is pretty good the first few times as you can afford to use those Clues without much trouble. Getting 6 Clues is definitely not twice as good as getting 3 because at some point, you don’t have the time to break open all the Clues and consume the sweet, sweet cards within. This does enable Angelic Purge, and overall is close enough to a draw engine that I’ll call it great.</t>
  </si>
  <si>
    <t>Cathar’s Companion</t>
  </si>
  <si>
    <t>In a land of Spirit tokens and other such nonsense, a 3/1 is an underdog to survive long. This does come with a protection ability, so it’s a fine addition to any aggressive deck that can trigger it. It’s not much of a guard dog unless you have a lot of instants, though leaving this on defense with mana up should make your opponent raise their hackles in suspicion.</t>
  </si>
  <si>
    <t>Chaplain’s Blessing</t>
  </si>
  <si>
    <t>This is obviously not Chapin's Blessing because it’s perilously short on card drawing and not Grixis-colored. It is a mediocre sideboard card at best because it would take a mighty aggressive opponent before I’d want to bring this in.</t>
  </si>
  <si>
    <t>Dauntless Cathar</t>
  </si>
  <si>
    <t>A 3/2 that later gives you a 1/1 flyer is a solid Magic card. It’s pretty cathartic to get to add these to your deck instead of 3/1 vanillas and the like, and I will try and do so as often as I can. I like 2-for-1s that don’t overcharge me for the privilege.</t>
  </si>
  <si>
    <t>Declaration in Stone</t>
  </si>
  <si>
    <t>Killing anything is worth giving the opponent a card, even if this isn’t as good as it will be in Constructed. Limited is slow enough that they will eventually unlock the Clue, though you can try and maximize the value here by being aggressive. Plus, every now and then, this will hit multiple creatures and just be the stones while being an?effective answer against token decks.</t>
  </si>
  <si>
    <t>Descend upon the Sinful</t>
  </si>
  <si>
    <t>Frenchversion:3.0</t>
  </si>
  <si>
    <t>A 6-mana wrath isn’t my favorite kind, but it’s still good. A 6-mana Wrath that leaves behind a 4/4 flyer is among the best cards in the set, and building your deck so that this is the second even half the time is well worth it.The French version is apparently “Descend upon the Fishermen,” which clearly makes it worse. There have to be fewer?fishermen than sinners on Innistrad, so the effectiveness of the card goes down.</t>
  </si>
  <si>
    <t>Devilthorn Fox</t>
  </si>
  <si>
    <t>I’m not high on x/1s in general, though this is cheap enough to make the cut in most decks. As with all cards like this, don’t be afraid to side it out if your opponent has cards that punish it.</t>
  </si>
  <si>
    <t>Drogskol Cavalry</t>
  </si>
  <si>
    <t>You do need to untap with this for it to be effective, but once you do, the cavalry has well and truly arrived. It makes 2 tokens if you have the 8th land, gaining you 4 life in the process, which I can’t imagine racing very easily. I don’t assume that 7-drops are trivial in this format, but the various flashback-type effects and Clues do promote playing plenty of lands, so this could be a 4.0 in the right deck.</t>
  </si>
  <si>
    <t>Eerie Interlude</t>
  </si>
  <si>
    <t>This is reasonably better than Ghostway because you get to pick and choose what goes and what stays. It can save your creatures from removal spells and re-trigger ETB effects, which adds up to a niche playable. It’s a great card against wraths, and can fight enchantment-based removal like Bound by Moonsilver, which makes me want to side this in more than maindeck it.</t>
  </si>
  <si>
    <t>Emissary of the Sleepless</t>
  </si>
  <si>
    <t>If you don’t have very many creatures, this is a mildly overpriced flyer. If you have a creature-heavy deck, especially one that attacks, this is a good deal. A card that ranges from medium to good is exactly what this grade is meant for.</t>
  </si>
  <si>
    <t>Ethereal Guidance</t>
  </si>
  <si>
    <t>Like Swarm Surge, this has niche playable status, though I did end up liking Surge more than I initially thought I would. This combos with flyers, and needs a lot of them to be playable. Decks with tons of flyers don’t usually need that much help, so I wouldn’t recommend this type of guidance for most decks.</t>
  </si>
  <si>
    <t>Expose Evil</t>
  </si>
  <si>
    <t>I like this in fast decks because the tap ability approaches an actual card when you are the beatdown. You eventually get your card back, and paying 4 mana total is still a fine deal, especially since you get to split it up as you choose.</t>
  </si>
  <si>
    <t>Gryff’s Boon</t>
  </si>
  <si>
    <t>Gryff’s Boon is essentially an equipment that you can only move once it hits the graveyard with the upside of being very cheap the first time you cast it. I can see this being awesome in an aggressive deck, as it offers a good initial ability and a recurring threat, but you have to be sure you are attacking before this becomes appealing.</t>
  </si>
  <si>
    <t>Hanweir Militia Captain // Westvale Cult Leader</t>
  </si>
  <si>
    <t>A bear with aspirations is always a welcome addition, so Hanweir Militia Captain is a solid card for any white deck. If your deck is particularly creature-heavy, the rating does go up, as the flipped version is quite powerful. Most of the time this is only going to play as a 2/2 for 2, and don’t be afraid to get aggressive with it. Once you have a couple creatures in play and it looks like the board is going to stall, then it’s time to sit back and watch the cult form.</t>
  </si>
  <si>
    <t>Hope Against Hope</t>
  </si>
  <si>
    <t>As loathe as I am to recommend putting Auras in your deck, this card is powerful enough that it’s worth the risk. Most white decks will have plenty of Humans, and this works well with the 1/1 flyers that are everywhere. You hope to dodge removal when you play this, but at +4/+4 or greater, it does restrict how many spells do anything, and the payoff is very large. I do recommend siding this out against most blue decks, as there are multiple common spells that deal with an enchanted creature.</t>
  </si>
  <si>
    <t>Humble the Brute</t>
  </si>
  <si>
    <t>Flavor:C-(acreatureenchantedwithTheBrutecanregeneratefromthis)</t>
  </si>
  <si>
    <t>There aren’t as many large creatures as there were in Battle for Zendikar, but I’m still putting the first one of these in my deck (and as an uncommon it's unlikely you'll?see 2 anyway). Killing a creature and drawing a card is worth a lot of mana, and you can always side this out in the event your opponent doesn’t have a lot of targets.</t>
  </si>
  <si>
    <t>Inquisitor’s Ox</t>
  </si>
  <si>
    <t>I was all set to give this a lower grade because the classic Ox cards are always medium 2/4s for 4, but the stats here actually deliver. It’s time to cast off the yoke of oppression and fairly judge Oxen for what they are, and this is a solid card. If you get delirium, it becomes quite good, and until then, it can hang out and blocks well.</t>
  </si>
  <si>
    <t>Inspiring Captain</t>
  </si>
  <si>
    <t>Apparently, going from tactical to inspiring means you are easier to cast, as this is Ampryn Tactician with a 3W casting cost. That’s a fine upgrade, and this synergizes well with Spirit tokens and aggressive Human decks. In a defensive deck, I wouldn’t look to play this.</t>
  </si>
  <si>
    <t>Militant Inquisitor</t>
  </si>
  <si>
    <t>Equipment still isn’t great in this set, so you are only playing this if you want a 2/3 for 3. I don’t expect to want that all the time, but every now and then it’s worth it.</t>
  </si>
  <si>
    <t>Moorland Drifter</t>
  </si>
  <si>
    <t>A 2-drop that grows wings in the late game sounds good to me. This is the kind of delirium card you don’t have to work too hard for. It just works eventually and provides a small bonus when it does, while being serviceable up until then. Some cards need specific enablers and pay you for including them, but Moorland Drifter is not one of those cards.</t>
  </si>
  <si>
    <t>Nahiri’s Machinations</t>
  </si>
  <si>
    <t>1.0//2.5(ifRWbeatdown)</t>
  </si>
  <si>
    <t>If you are both red and white, and aggressive, this is a powerful card. Otherwise, it’s quite poor, and that’s why grades can be tricky. In a RW beatdown deck I’d give this a 2.5 or 3.0, but it’s a 1.0 outside that. If you have plans to attack and plenty of red mana, this makes combat a headache for your opponent. They can’t kill what is indestructible, and being able to ping a couple times makes blocking anything very difficult.</t>
  </si>
  <si>
    <t>Nearheath Chaplain</t>
  </si>
  <si>
    <t>This is near a 4.0 based solely on how much value it brings. A 3/1 lifelink will always quickly trade in combat, giving you a 1-for-1 and 3 life, after which you get 2 1/1 flyers. That’s way over 2 cards in value, and all it asks is that you cast it. This card is excellent, and I will not be passing it often.</t>
  </si>
  <si>
    <t>Not Forgotten</t>
  </si>
  <si>
    <t>I’m not a huge fan of Reclaim, even a Reclaim with a 1/1 flyer attached. This can take away opposing delirium (at sorcery speed), and can even make the opponent skip a draw step if you put a useless land or bad spell on top. That doesn’t add up to much, and this card is easily forgettable.</t>
  </si>
  <si>
    <t>Odric, Lunarch Marshal</t>
  </si>
  <si>
    <t>Flavor:B+(solidGeorgeClooneytop-downdesign-A+if“Odric’s11”isacardinEldritchMoon)</t>
  </si>
  <si>
    <t>The fail case on Odric is a 4-mana 3/3, which is an acceptable risk given how big?the upside is. Any creature with flying makes your whole team very hard to block, and if you can give them all lifelink, you aren’t losing any races. This also works immediately, and doesn’t make you pay many deckbuilding costs in order to be good. I’d slightly prioritize creatures with good abilities if I had Odric, but I wouldn’t go nuts―Odric is going to be solid even without drastically changing your pick order.</t>
  </si>
  <si>
    <t>Open the Armory</t>
  </si>
  <si>
    <t>There’s no equipment I’d pay 2 mana to have a second copy of except maybe Slayer’s Plate, and even then that’s expensive. Getting Bound by Moonsilver is fine, but still not exciting enough to be worth including Open the Armory in your deck. As far as I’m concerned, the Armory is closed and will remain so.</t>
  </si>
  <si>
    <t>Paranoid Parish-Blade</t>
  </si>
  <si>
    <t>This is a step better than Moorland Drifter when you have delirium, and a step better?worse when you don’t. Isn’t that elegant? I’d lean towards not including this unless you have Human synergies and/or a good shot at acquiring delirium, but I wouldn’t perish the thought if I was short on creatures.</t>
  </si>
  <si>
    <t>Pious Evangel // Wayward Disciple</t>
  </si>
  <si>
    <t>A 3-mana 2/2 that gains you a life when you play a creature is a card I’d likely include anyway, and this is much better than that. It’s not hard to flip Evangel if you think combat is likely to occur, and then it becomes a 2/4 with a very good ability. It’s worth noting that you may want to hold off on flipping if you expect to cast more creatures than have creatures die, which usually lines up nicely with when you’d naturally want to flip this anyway.</t>
  </si>
  <si>
    <t>Puncturing Light</t>
  </si>
  <si>
    <t>Searing Light ended up being one of my least-favorite cards in Oath of the Gatewatch, but I’ve played with Puncturing Light and it’s quite a bit better. It looks like it’ll have plenty of targets in the format, and I’ll always include the first one of these (though they get worse in multiples). It’s a bit annoying that removal you intend to play on the opponent’s turn has the drawback of flipping opposing Werewolves if you pass without playing a spell, but this is cheap enough that you can leave mana up while still playing a spell on your turn.</t>
  </si>
  <si>
    <t>Reaper of Flight Moonsilver</t>
  </si>
  <si>
    <t>Fallen Angel is a card I haven’t had the pleasure of playing with for over 20 years, but it was a very sweet one. Reaper is a 3/3 until it gets delirious (and apparently hungry), at which point it becomes as good as gold. This is playable without delirium, which is where I like these cards to land, and I’ll include this in every white deck.</t>
  </si>
  <si>
    <t>Silverstrike</t>
  </si>
  <si>
    <t>I’m going to enjoy playing with this card. Killing attackers and gaining life is all I want to do, and this does both those things at very fair cost. What it doesn’t do is support aggressive decks, which is why the rating isn’t particularly high.</t>
  </si>
  <si>
    <t>Spectral Shepherd</t>
  </si>
  <si>
    <t>A Wind Drake is playable to begin with, and this has a serious upside if you have access to blue mana. Once you’ve established that you are in UW, you can take this more aggressively, as it’s a very annoying card for your opponent to deal with. It protects all your Spirits, lets you pay a bunch of mana to bounce and return them (build-your-own vigilance) and allows you to block and bounce to your heart’s content.</t>
  </si>
  <si>
    <t>Stern Constable</t>
  </si>
  <si>
    <t>If you aren’t going deep on madness, don’t play this. It’s not how I want to enable delirium, and you certainly can’t pay this cost every turn without having some kind of combo.</t>
  </si>
  <si>
    <t>Strength of Arms</t>
  </si>
  <si>
    <t>A +2/+2 trick for 1-mana is playable if you are in the market for tricks, though it loses the arms race against bigger pump spells. Add a couple of equipment to your deck and this becomes a card you are unlikely to cut.</t>
  </si>
  <si>
    <t>Survive the Night</t>
  </si>
  <si>
    <t>After having just played with Make a Stand, I can say that this card will do a pretty good job approximating it. It isn’t all that often that multiple creatures are involved in combat at once, and getting a Clue is a reasonable upside. There are a fair amount of combat tricks and ways to use your mana in this set, so I wouldn’t heavily prioritize any of these.</t>
  </si>
  <si>
    <t>Tenacity</t>
  </si>
  <si>
    <t>Even though Tenacity is another addition to the list of pump spells, it’s got enough of a sweeping effect that I would look to pick one up. Giving your whole team lifelink is how you crush any race, and this even lets you ambush the opponent. You need a creature-heavy deck to really make this tick, which doesn’t seem too hard to accomplish.</t>
  </si>
  <si>
    <t>Thalia’s Lieutenant</t>
  </si>
  <si>
    <t>With white getting five common Humans (not counting Stern Constable) and two uncommon ones, I’d be happy taking Thalia’s Lieutenant highly. It’s a great card if you get two +1/+1 counters total, and it’s very easy to get more than that. This being a good topdeck late and a substantial early threat is exactly the combination of abilities I’m looking for in a card.</t>
  </si>
  <si>
    <t>Thraben Inspector</t>
  </si>
  <si>
    <t>A world where Thraben Inspector isn’t good is?not?a world I would want to live in. Like I mentioned with other cards that grant Clues, these don’t stack well―the second Inspector is much more costly than the first. Still, this is a cheap way to enable Human synergies and get a little card advantage, so I’ll be closely inspecting packs in search of these.</t>
  </si>
  <si>
    <t>Topplegeist</t>
  </si>
  <si>
    <t>1.0//3.0</t>
  </si>
  <si>
    <t>In an average deck, this is not worth a card. In a deck that can consistently enable delirium, it’s quite good, and there are some mild Spirit synergies that would make me upgrade it as well. I could see running this in a very aggressive deck, but for the most part would leave it for the turbo-delirium deck (that I hope is out there).</t>
  </si>
  <si>
    <t>Unruly Mob</t>
  </si>
  <si>
    <t>Much like the last time I went to Innistrad, I’d run this in any deck with lots of creatures, especially creature tokens. Once you are at 14+ creatures, it becomes truly unruly―fewer?than that, and it is a little too ruly, and nobody wants that.</t>
  </si>
  <si>
    <t>Vessel of Ephemera</t>
  </si>
  <si>
    <t>This may look overcosted, but two 1/1 flyers are worth about 4 mana, and a card that costs 2+3 is closer to 4 mana than 5 mana, once you factor in how convenient it is to split things up. This also enables delirium quite nicely, and I suspect most decks will be interested in the very not ephemeral advantages that this provides.</t>
  </si>
  <si>
    <t>Town Gossipmonger</t>
  </si>
  <si>
    <t>Limited: 2.5If you have enough cheap creatures to reliably flip this on turn 2, it’s a very good aggressive play. It does fall off somewhat in the late game, given that it has to attack, but the pump ability means that it’s rarely chump-attacking. If your deck is creature-light or controlling, leave the gossip to the professionals.</t>
  </si>
  <si>
    <t>Aberrant Researcher</t>
  </si>
  <si>
    <t>Snapping Drake is a fine addition to most blue decks, and being able to flip into a 5/4 is a huge upside. You don’t even need tons of spells to make this playable, though a 10+ spell deck makes it truly great. This is better in Limited than the original Delver, though slightly worse in Constructed.</t>
  </si>
  <si>
    <t>Broken Concentration</t>
  </si>
  <si>
    <t>This card is certainly not broken, but it’s playable. The madness cost is mainly a way to get card advantage if you can discard it at instant speed for value, though it can fix mana in a pinch as well. If the format ends up being slow this could go up in value, and it is a nice combo with Werewolves (pass with mana up, flip Werewolf, then counter their spell).</t>
  </si>
  <si>
    <t>Catalog</t>
  </si>
  <si>
    <t>In a normal set, this would be marginally playable instead of an interesting madness/delirium enabler. That is why it’s here, and why you should take it and play it. If you have zero?combos, the effect isn’t worth 3 mana.</t>
  </si>
  <si>
    <t>Compelling Deterrence</t>
  </si>
  <si>
    <t>A bounce spell for 2 mana is already playable, and adding the rider of “discard a card” is strong. If you have a couple Zombies in your deck this becomes more appealing, and remember that it can bounce any nonland permanent and not just creatures. It does have the mild drawback of making you discard if you target your own card and have a Zombie in play, but that isn’t a compelling reason to leave it out. If you can reliably have a Zombie in play, this easily moves up to a 3.5.</t>
  </si>
  <si>
    <t>Confirm Suspicions</t>
  </si>
  <si>
    <t>The effect here is powerful enough that I suspect it’s worth trying, but be aware of how easy it is to play around. If you pass with 5 mana up,?that’s very suspicious, and a wary opponent will try to?avoid playing into something like this. If you then do nothing and pass again, they are going to treat it as confirmation, at which point you cost?yourself a ton of mana for no gain. You can maximize this by?combining it with other instants, so you get to use the mana even if they do nothing, or with Werewolves. Like I mentioned earlier, passing to flip a Werewolf doesn’t set off alarm bells, so your opponent is more likely to play into your counterspell.Countering a spell and having the option to draw up to 3 cards is something I'm very interested in doing, but be aware that there are a few hoops to jump through to make it effective.</t>
  </si>
  <si>
    <t>Daring Sleuth</t>
  </si>
  <si>
    <t>In a deck with 0 Clue generation, this drops down the 1.5 or so that a vanilla 2/1 would get. In a deck with a lot of Clues, it’s a legitimate offensive threat, as decks with lots of Clues tend to be good at triggering prowess. I wouldn’t call this a full-on build-around, but it does a good job supplementing the Clue theme.</t>
  </si>
  <si>
    <t>Deny Existence</t>
  </si>
  <si>
    <t>I’m not going to deny that this is easier to cast than Broken Concentration, but that’s not enough to make me like it more. It counters a narrower range of cards, and the upside of exiling the target isn’t enough.</t>
  </si>
  <si>
    <t>Drownyard Explorers</t>
  </si>
  <si>
    <t>A 2/4 for 4 doesn’t need a ton of extra upside to make the cut, and a Clue suffices. This blocks well enough to give you time to crack open your Clues, and has synergy with the various cards that care about Clues in blue and green.</t>
  </si>
  <si>
    <t>Drunau Corpse Trawler</t>
  </si>
  <si>
    <t>Getting a 2/2 and a 1/1 for 4 mana is nothing to scoff at, and the ability to give either of them (plus your other Zombies) deathtouch is the cherry on top of this rather disgusting sundae. In the early game, this delivers the stats you expect for the mana you spend, and in the late game, it becomes a great way to ensure you trade for any creature you want.</t>
  </si>
  <si>
    <t>Engulf the Shore</t>
  </si>
  <si>
    <t>I guess the joke here is that you play enough Islands to bounce all the opponent’s creatures while having large enough creatures that yours remain standing. That seems difficult to pull off, though I’m shore I’ll try. This might be best served as a sideboard card against token decks since getting the right mix of Islands and large creatures seems tough.</t>
  </si>
  <si>
    <t>Epiphany at the Drownyard</t>
  </si>
  <si>
    <t>This card is very interesting. For most values of X (1-5 or so), it’s not super exciting, but it will draw you a couple cards while putting the rest in the graveyard. In terms of what cards actually end up in your hand, you don’t get a huge edge, so you really need to be taking advantage of the graveyard aspect to get full value. That can either be via delirium (this is a great enabler) or the various white cards that exile themselves out of your graveyard for value. This is an instant, so it synergizes nicely with other expensive instants, which also helps. I’m not having an epiphany about exactly how good this is, but I’ll start by assuming it’s decent.</t>
  </si>
  <si>
    <t>Erdwal Illuminator</t>
  </si>
  <si>
    <t>If Makindi Aeronaut taught me anything, it’s to err on the side of playing 1/3 flyers for 2 instead of passing them. This is a good rate to begin with, and it can pick up a couple extra Clues per game in most blue decks. My standard warning about getting Clue-flooded applies, but you aren’t really paying for the ability here.</t>
  </si>
  <si>
    <t>Essence Flux</t>
  </si>
  <si>
    <t>The range on this card is wide and constantly in flux. In a deck with no Spirits and few enters-the-battlefield combos, it’s not very good. In a deck with a ton of good enters-the-battlefield effects and lots of Spirits, it’s great. It’s very cheap and powerful if you can get it to work. I wouldn’t take this early, but I’d be on the lookout if I had a deck that fit the above criteria.</t>
  </si>
  <si>
    <t>Fleeting Memories</t>
  </si>
  <si>
    <t>This is a member of the fabled “uncommon build-around” class, a type of card that I always try and get to work. It looks like a valid kill condition in a very Clue-heavy deck, and highly unplayable outside of that. I’d try constructing a deck based solely on defense and generating clues, at which point you can win the game while drawing cards, which is basically the dream. Note that this can mill you to enable delirium if need be.</t>
  </si>
  <si>
    <t>Forgotten Creation</t>
  </si>
  <si>
    <t>This card is awesome. It creates tons of value with its ability, all while giving you a 3/3 for 4 with a minor evasive ability. It’s not the best skulker around, but being able to discard your hand for a fresh one is a huge advantage. It’s optional, so you only use it when your hand isn’t great, which lets your rip through your deck easily and quickly. It fuels delirium and madness while finding your good cards, and all at a very low cost.</t>
  </si>
  <si>
    <t>Furtive Homunculus</t>
  </si>
  <si>
    <t>I’m in for a solid 2-drop that might have late game relevance. I like cards that are good early and have a shot at being good late, and this fits the bill.</t>
  </si>
  <si>
    <t>Geralf’s Masterpiece</t>
  </si>
  <si>
    <t>Geralf’s Masterpiece isn’t the easiest card to optimize, though it rewards you handsomely if you are able to do so. The simplest way to get value is to play this as one of your last cards, at which point it’s a large flyer for only 5 mana. It isn’t the best turn-5 play unless you curved out really well, but a 5/5 or 6/6 flier on turn 7+ is still fantastic. If it does happen to die (or get milled/discarded), you can save up some lands or bad spells and bring it back, at which point it’s a very threatening 7/7.There’s a little tension between wanting to hold cards to bring this back if it dies and wanting it to be as big as possible, but you get to make that choice based on each individual game (and either way, this is performing well above the average card).</t>
  </si>
  <si>
    <t>Ghostly Wings</t>
  </si>
  <si>
    <t>Ghostly Wings does a bunch of different things and is trickier than it looks. The most obvious is that it makes one of your creatures into a large flyer, and gives you the option to protect it from removal. That’s solid, but only the start. Wings also serves as a madness outlet, enables delirium by putting an enchantment + whatever you discarded into the graveyard, and is an expensive bounce spell. You can put this on the opponent’s creature, and because you control Wings, you can discard a card to return that creature.All that combined is a lot of flexibility, even if any individual effect isn’t hugely powerful.</t>
  </si>
  <si>
    <t>Gone Missing</t>
  </si>
  <si>
    <t>I wouldn't mind playing an expensive Time Ebb that comes with a card at some future date, but I wouldn’t miss if I didn’t have it. At 5 mana, you aren’t getting much of a mana advantage, so I’d look to play one of these to cap off my removal and wouldn’t prioritize getting multiples.</t>
  </si>
  <si>
    <t>Invasive Surgery</t>
  </si>
  <si>
    <t>This is a clear Constructed plant, and one you may occasionally sideboard in if you see 5+ sorceries to counter.</t>
  </si>
  <si>
    <t>Jace, Unraveler of Secrets</t>
  </si>
  <si>
    <t>Jace is secretly (or not-so-secretly) great in Limited. This particular iteration comes with a lot of loyalty, and has two very strong abilities. Scry + draw a card each turn is an engine your opponent has to deal with, and at 6+ loyalty that’s not easy. The bounce ability is also great at protecting Jace, and being able to use it twice in succession is what makes this card for me. It’s so easy to imagine playing Jace, bouncing the opponent’s only viable attacker, then doing it again next turn while playing a 5- or 6-drop. At that point, they replay their creature for the third time, and you start drawing cards with Jace. You have all your mana up and you can easily protect him, and eventually he can start bouncing again if necessary.</t>
  </si>
  <si>
    <t>Jace’s Scrutiny</t>
  </si>
  <si>
    <t>I feel like I’m going to have one of these in every blue deck I draft, but that doesn’t mean you should go out of your way to pick one up. It’s an expensive cantrip and a decent combat trick, but doesn’t stack well in multiples. I do like that it can just cycle if there are no good combats on the horizon, and it can get you a 2-for-1 pretty easily.</t>
  </si>
  <si>
    <t>Just the Wind</t>
  </si>
  <si>
    <t>Bounce also has diminishing returns unless you are putting the tempo advantage to good use, though this has the upside of working well with discard. This is the type of madness card that you want to combine with discard-as-a-cost cards because you aren’t getting that much value by playing this for 1 mana cheaper. Using Just the Wind to pay for a Catalog discard is much more appealing, and I’m in for building a Divination + Unsummon (shocking, I know).</t>
  </si>
  <si>
    <t>Lamplighter of Selhoff</t>
  </si>
  <si>
    <t>Oracle of Dust returns and can be activated once at most. Blue decks often want good blockers, and this provides a solid defensive body with a minor upside.</t>
  </si>
  <si>
    <t>Manic Scribe</t>
  </si>
  <si>
    <t>If you aren’t going the full way to mill your opponent, this is a 0/3 for 2 mana with a downside (as it enables their graveyard). That is not a good card so you need to be sure that you have a plan. This seems a lot harder to enable than Fleeting Memories, as you need to get delirium and have an 0/3 survive, so I’m not very high on the card. It does mill the opponent out rapidly, so I can see a turbo-delirium control deck with 2 of these being successful―something that you might assemble once in the entire format.</t>
  </si>
  <si>
    <t>Nagging Thoughts</t>
  </si>
  <si>
    <t>Like many of the other madness/delirium cards, this does what you want in a deck based around those mechanics and is unexciting elsewhere. A normal deck doesn’t get 2 mana’s worth of card selection out of this, but if you are madnessing it and setting up delirium, it is fine.</t>
  </si>
  <si>
    <t>Nephalia Moondrakes</t>
  </si>
  <si>
    <t>I’d be a lot more interested in this if it cost 6, as 7 mana is a bit steep for a 5/5 flyer with some very minor upsides. Giving a creature flying this turn is not very powerful, so the graveyard ability is by far the most interesting part. If you can mill or discard this, it can set you up for an alpha strike of some kind, though blue decks that want 7-drops don’t tend to have lots of creatures (and many of those have flying anyway). Nephalia Moondrakes is still a serviceable finisher for control decks, but isn’t much more than that.</t>
  </si>
  <si>
    <t>Niblis of Dusk</t>
  </si>
  <si>
    <t>Niblis of Dusk is quite good. It will often attack for 3, and can be even bigger if you optimize for it. I like that it’s a good rate to begin with and you can get value from it regardless of how deep you want to go on prowess. If you pick up a couple of these, you can start prioritizing cantrips and make them legitimate threats. The whole madness theme means that multiple spells will be cast a higher percentage of the time than in other formats. I wouldn’t be surprised if I bump the rating up a bit after playing with this.</t>
  </si>
  <si>
    <t>Ongoing Investigation</t>
  </si>
  <si>
    <t>1.5//3.5</t>
  </si>
  <si>
    <t>In a deck with a good amount of evasion but no access to green mana, this is a cute way to get a little card advantage. It’s likely too slow, as you need to pay 6 mana and get 3 hits in before you are even up a card, but that’s not the real way to use the card anyway.In a UG deck, this looks very powerful. Gaining 2 life per creature is a great way to keep yourself alive, and with all that extra time, you are able to crack the Clues open for cards. Those cards draw you more creatures, which give you more chances to attack the opponent or to trade off and fuel your graveyard. This looks like a very good engine card for UG, and I’m excited to continue investigating exactly how good it is.</t>
  </si>
  <si>
    <t>Pieces of the Puzzle</t>
  </si>
  <si>
    <t>Very few decks will actually be able to put all the pieces together and make this work, which means that they will end up with 2 or 3 copies if that’s what they really want. I’d want 14+ other spells in my deck before I played this, though a heavy delirium deck with other graveyard synergies could get away with a few less.</t>
  </si>
  <si>
    <t>Pore Over the Pages</t>
  </si>
  <si>
    <t>This is no Compulsive Research (and given that I’ve been gorging myself on Ravnica throwback drafts on MTGO, I can say that with certainty). It’s still great, as drawing 3 and discarding a card for 3 mana is fantastic, even if you have to get to 5 mana before you can cast it. Getting to 5 means that this doesn’t fix your mana-light draws, but I’m still taking this early and casting it often.</t>
  </si>
  <si>
    <t>Press for Answers</t>
  </si>
  <si>
    <t>As a sorcery, I’m a lot less impressed. It’s still a fine way to pick up a Clue, and has value in an aggressive deck, but stopping an attacker for just 1 turn isn’t exciting.</t>
  </si>
  <si>
    <t>Rattlechains</t>
  </si>
  <si>
    <t>Like Dimensional Infiltrator, this is mainly a 2/1 flying flash, and it’ll occasionally have some upside. When that does happen, the upside is very big, as countering a removal spell is huge, and being able to play Spirits at instant speed isn’t bad either. I wouldn’t fully call this a build-around, but I would prioritize other Spirits once I had a Rattlechains.</t>
  </si>
  <si>
    <t>Reckless Scholar</t>
  </si>
  <si>
    <t>In this format, I think Looter gets a real bump. Besides the normal great Looter abilities of smoothing out mana flood/screw and getting you to your good cards, this enables madness at any time for 0 mana and fuels delirium. I’m ready to get reckless.</t>
  </si>
  <si>
    <t>Rise from the Tides</t>
  </si>
  <si>
    <t>1.0//3.5</t>
  </si>
  <si>
    <t>Now here’s a build-around I can sink my teeth into (then immediately vomit, as I just bit into a Zombie leg or something). If you can put together all the pieces of the puzzle and make a deck full of spells and ways to churn through cards, this could end the game easily. Making 5+ Zombies is huge, even if they don’t defend (that is a very real downside), and I expect to try this at the first opportunity.</t>
  </si>
  <si>
    <t>Seagraf Skaab</t>
  </si>
  <si>
    <t>Sometimes all the good blockers are on strike, and you have no choice but to call in?Seagraf Skaab. At least this is a Zombie, which means that you will play it for synergy purposes every now and then.</t>
  </si>
  <si>
    <t>Silburlind Snapper</t>
  </si>
  <si>
    <t>Limited:1.5</t>
  </si>
  <si>
    <t>I like this trend of having giant 6/6s at common. I’ll play this a little more than the rating indicates only because I do plan on blocking and usually have lots of noncreature spells in my deck. It should be easy enough to snap one of these up, and you’ll rarely want two.</t>
  </si>
  <si>
    <t>Silent Observer</t>
  </si>
  <si>
    <t>I’m dancing with joy at the prospect of getting such a great flying defender, and anticipate casting many of these over my Shadows over Innistrad draft career. It can peck in for damage if need be, and counts as a Spirit for the couple cards that care about that. I suppose if you are a beatdown deck this isn’t exactly what you want, but it still has evasion.</t>
  </si>
  <si>
    <t>Sleep Paralysis</t>
  </si>
  <si>
    <t>It doesn’t get much simpler than this, and blue doesn’t often get removal this good. This is an easier-to-cast Claustrophobia, which was one of the best blue commons in original Innistrad,?even if it does cost one more mana.</t>
  </si>
  <si>
    <t>Startled Awake</t>
  </si>
  <si>
    <t>I have to explain why this drew comparisons to Umezawa’s Jitte when it was spoiled―it’s not because of power level but because of how little interaction there is. If your opponent casts this, often you will lose and have no chance to stop it. 13 cards is a lot and will end plenty of games without much support. If it doesn’t end the game, the 1/1 can often sneak in for a second go-around, which will do it, and bounce spells do the same. I’m not a huge fan of that kind of gameplay, but at mythic rare, at least it won't not come up that much. This is powerful and worth taking early if you can build your deck to support it (control with a couple mill cards).</t>
  </si>
  <si>
    <t>Stitched Mangler</t>
  </si>
  <si>
    <t>Reading this card is very funny. At first you think “oh, it can’t block the turn you play it,” and then you read the second part and realize that it essentially blocks while also removing a blocker for a turn. Overall, this is decent in both aggressive and controlling decks, and provides another Zombie if you are in the market for one (slightly used).</t>
  </si>
  <si>
    <t>Stitchwing Skaab</t>
  </si>
  <si>
    <t>Stitchwing Skaab is a very good threat. A 3/1 flyer for 4 isn’t the most impressive on its face, but is certainly playable. Being able to bring it back from the dead whenever you have excess lands is quite strong, and that’s even without factoring in how well it enables madness and delirium. If you can madness a card off this, you basically discarded only 1 card, and that’s a great deal. If your deck has 0 other interactions like madness, Stitchwing loses a little luster, but I expect most decks to find something that works with this.It’s funny that the only way for your opponent to stop this from being a madness enabler is to not kill it, which is the opposite of most cards.</t>
  </si>
  <si>
    <t>Stormrider Spirit</t>
  </si>
  <si>
    <t>I’ve always enjoyed the 5-mana 3/3 flash flyers and will play most of the Stormrider Spirits I encounter. This is expensive enough that you don’t need to prioritize it highly, and you will sometimes cut it. It’s especially good if you can get a Rattlechains into play first.</t>
  </si>
  <si>
    <t>Thing in the Ice</t>
  </si>
  <si>
    <t>This isn’t a thing in a deck with less than 10 spells or so, though I sure hope it is if you draft around it. I’m definitely slamming this the first time I see it, and if blue control decks are good, this looks like a good win condition.</t>
  </si>
  <si>
    <t>Trail of Evidence</t>
  </si>
  <si>
    <t>I don’t know how much time I will have to investigate all these Clues, but if this format is slow enough, I’d be willing (and excited) to upgrade this. You do need a good amount of spells to get this going, and it’s nice that it perpetuates itself by drawing into the next spell.</t>
  </si>
  <si>
    <t>Uninvited Geist</t>
  </si>
  <si>
    <t>Let’s get something straight: I had absolutely nothing to do with the naming of this card, even though I do enjoy it. I also enjoy the idea of putting this in my deck and attacking my opponent with it, even if it takes a little help to get through most games. It’s a nice reward if you can flip it, so something like UW with pump spells is the perfect place for this, because your opponent is guaranteed to try and block it.</t>
  </si>
  <si>
    <t>Vessel of Paramnesia</t>
  </si>
  <si>
    <t>The main use for this isn’t in a mill deck―it’s in a delirium deck. It puts an enchantment + 3 other cards into your graveyard, and does so without costing a card. You’d never add this to a random deck, but it’s a good enabler if your goal is to go crazy. This is such a good enabler that I could see it moving up in value quickly if delirium is a viable and consistent deck.</t>
  </si>
  <si>
    <t>Welcome to the Fold</t>
  </si>
  <si>
    <t>The base card is already one I’m very interested in, and the madness version is just absurd. Control Magics are good, even if they take a little work. I’d definitely go out of my way to enable this, as it’s hugely powerful if I can.</t>
  </si>
  <si>
    <t>Accursed Witch</t>
  </si>
  <si>
    <t>It’s cute that this pays the opponent to target it, given that it dies into a very annoying Curse. A 4/2 that dies into a permanent drain 1 is very strong, and I would take this early and play it in every deck. There are games where you will try and get this killed so the curse starts going, which speaks to just how powerful this card is.</t>
  </si>
  <si>
    <t>Alms of the Vein</t>
  </si>
  <si>
    <t>Without the madness, this is a card you’d only play in a very aggressive deck, and even then likely out of the sideboard against other aggressive decks. With madness, you have a shot of getting this effect for 1 mana while paying some discard cost of another card, which is a little more appealing. I’m still not going to play this card very often, but a beatdown madness deck could make use of it (and will likely be the only deck at the table looking to do so).</t>
  </si>
  <si>
    <t>Asylum Visitor</t>
  </si>
  <si>
    <t>A cheap beater that has a powerful late-game ability and can get value from?madness? You’d be crazy to turn that down, and I suspect most people won’t.Asylum Visitor is very threatening once you get to the point where you are emptying your hand, and does just fine before that. It even punishes the opponent if they go down to zero cards, though it can backfire if your life total gets too low. This isn’t a bomb, but this much value for this low a cost is a good early pick.</t>
  </si>
  <si>
    <t>Behind the Scenes</t>
  </si>
  <si>
    <t>I wouldn’t play this unless I was BW (or my opponent had a very odd creature configuration). It is neat that they have to block your 2/2s with their 2/2s, and then you can give your team +1/+1, but the cost is high enough that this is a niche playable in an aggressive deck more than a build-around. Also, the art is very disturbing.</t>
  </si>
  <si>
    <t>Behold the Beyond</t>
  </si>
  <si>
    <t>7-drops that don’t affect the board and require some setup are exactly how I get into trouble. You won’t want to discard too many cards to this (let’s just say it’s not a madness enabler), so it’s a 7 that you want to cast even later than normal. The upside is your hand is presumably quite good afterwards, so it could be a finisher of sorts for a control deck.</t>
  </si>
  <si>
    <t>Biting Rain</t>
  </si>
  <si>
    <t>Black decks don’t seem very well-suited to take advantage of Biting Rain, and madness decks in particular might skew toward being aggressive. Having a spell that comes back to bite you doesn’t seem like a good plan, and I don’t think you’re going to want to make it Rain all that often.</t>
  </si>
  <si>
    <t>Call the Bloodline</t>
  </si>
  <si>
    <t>Without combos, this takes a while before you get an advantage. Discarding 3 cards to get 3 lifelinkers isn’t the worst, especially in a long game. In order to really get value, you’ll want to be discarding madness cards, and that doesn’t seem like an unrealistic dream. Having a madness outlet that pays you for discarding and is very hard to kill is great, and this looks like a strong early pick. Later in the draft, the value goes down if you aren’t drafting madness, but given enough time, this is a worthy build-around.</t>
  </si>
  <si>
    <t>Creeping Dread</t>
  </si>
  <si>
    <t>I have trouble imagining the perfect setup for this card. It costs 4 mana, but wants to go in a low-curve deck. It requires you to discard to try and trigger the life loss, but you want to empty your hand so you aren’t actually discarding cards. I certainly can see control decks losing badly to this, so it might be primarily a sideboard card (one I dread playing against).</t>
  </si>
  <si>
    <t>Crow of Dark Tidings</t>
  </si>
  <si>
    <t>I’m game for a 2/1 flyer for 3, and the triggers are a minor upside if you have graveyard shenanigans afoot. If you pick up enough of these you can murder your opponent with flyers, and black seems like it’s got plenty of support for aggressive decks.</t>
  </si>
  <si>
    <t>Dead Weight</t>
  </si>
  <si>
    <t>This may seem like a high rating for such an innocuous card, yet?Dead Weight is anything but. It kills small creatures dead, even through pump spells, and can weaken larger creatures if need be. It also is a very neat reprint, as delirium gives it new meaning. The efficiency and effectiveness of Dead Weight make it a surprisingly strong addition to any Limited deck.</t>
  </si>
  <si>
    <t>Diregraf Colossus</t>
  </si>
  <si>
    <t>Diregraf Colossus is priced to move. If you cast even 1 Zombie afterwards, it has obtained good value, and that’s without factoring in how often it shows up as a 3/3 or 4/4. This makes going deep on Zombies a worthwhile goal, and plays very nicely with self-mill. Diregraf Colossus pushes you toward UB, but is solid-to-great in any black deck, assuming you prioritize Zombies accordingly.</t>
  </si>
  <si>
    <t>Elusive Tormentor</t>
  </si>
  <si>
    <t>A nigh-unkillable 4/4 that enables madness and delirium sounds more like a hit than a mist to me. If they try and kill it, you get to trade your worst card for their removal spell, and you can swap it back whenever you please. It’s even a madness enabler! The flavor is great too, as Vampires that turn into mist are classic and captured well by the card’s mechanics.</t>
  </si>
  <si>
    <t>Ever After</t>
  </si>
  <si>
    <t>I normally don’t like cards this situational, but the reward for Ever After is high enough that I’m willing to work for it. Even if you aren’t milling yourself, this is a 2-for-1 and likely a mana advantage, and it becomes very strong the more cards you have that dump things into your graveyard. Plus, if you can mill your whole deck you get to cast this every turn, which literally is demonstrating a loop.</t>
  </si>
  <si>
    <t>Farbog Revenant</t>
  </si>
  <si>
    <t>I’m a fan of defensive lifelinkers, and there will be plenty of board states where the Revenant will be able to get in there for damage. Skulk is an interesting ability and I’m curious how it ends up playing out. This is the perfect kind of card for it as it can hang back and block until the time is right.</t>
  </si>
  <si>
    <t>From Under the Floorboards</t>
  </si>
  <si>
    <t>The base card here is quite good―5 mana for 3 life and three 2/2s is above the curve, even if they can’t block immediately. I’m also willing to go great lengths to madness this out, ideally with cards that don’t cost any mana the turn you discard. If you take this early, you can try and build around it because the payoff is so great. If you pick it up later in the draft, you might not be able to enable it, but that’s still fine. The floor is so high that I’m willing to pick this up regardless of what my deck looks like.</t>
  </si>
  <si>
    <t>Ghoulcaller’s Accomplice</t>
  </si>
  <si>
    <t>A bear that you can dig up for a second use is awesome, and it bears repeating: 2-drops that are good early and good late are what I want in my deck. It is somewhat random which Zombies enter the battlefield tapped and which don’t, but that’s less a comment on this card than a general observation.</t>
  </si>
  <si>
    <t>Ghoulsteed</t>
  </si>
  <si>
    <t>Don’t look a gift horse in the mouth, and don’t leave a Zombie Horse in the graveyard. Words to live by.This is a fine deal to begin with, if not exciting, and being able to return it at a relatively low cost makes it a good recurring threat and a decent madness enabler.</t>
  </si>
  <si>
    <t>Gisa’s Bidding</t>
  </si>
  <si>
    <t>4 mana for 4/4 worth of stats continues to be a good deal, and this being a midcombat trick when you madness it is a real upside. I’d take this even if I were short on madness nonsense, though it does move me closer to prioritizing discard cards.</t>
  </si>
  <si>
    <t>Grotesque Mutation</t>
  </si>
  <si>
    <t>This gains enough life that I’m willing to put something as grotesque as a combat trick into my deck. It will often trade 1-for-1 and leave you up 5 or 6 life, which is a reasonably-sized game. If your creatures are too low on toughness, this might not be enough, so keep that in mind while drafting and sideboarding.</t>
  </si>
  <si>
    <t>Heir of Falkenrath</t>
  </si>
  <si>
    <t>A very aggressive 2-drop that also enables madness? I’m in. This is great in any beatdown deck or any madness deck, and it looks like those two things will often overlap.</t>
  </si>
  <si>
    <t>Hound of the Farbogs</t>
  </si>
  <si>
    <t>Stop trying to make Geyserfield Stalker happen. It’s not going to happen.</t>
  </si>
  <si>
    <t>Indulgent Aristocrat</t>
  </si>
  <si>
    <t>1.5//3.0</t>
  </si>
  <si>
    <t>Indulge me for a moment while I talk for the millionth time about how you need enough Vampires to make the Vampire tribal card good. This is a powerful card if you enable it, which actually requires two parts. The first is the obvious: Vampires. You need to reliably have at least one other Vampire in play before this starts getting good (though it’s passable at just growing itself). The second piece of the puzzle is fuel. Ostentatious blood fountains don’t grow on trees, and the Aristocrat requires victims in order to reach his full potential. Zombies and Spirit tokens both seem like good candidate, despite the lack of blood in Spirits and the presumably gross blood from Zombies.I’m not at the point where I’d slam this early and try and draft Vampires, but if I was already drafting Vampires, I’d likely pick this up and try and make sure it’s well fed.</t>
  </si>
  <si>
    <t>Kindly Stranger</t>
  </si>
  <si>
    <t>This is exactly the kind of delirium card worth drafting around. A 2/3 for 3 is kind of medium, but definitely passable, and turning into a removal spell is huge. Later in the game, this is a 6-mana 4/3 that kills something, which is awesome. I’d take this early and try to enable it, though even in a normal deck this is a very solid pick.</t>
  </si>
  <si>
    <t>Liliana’s Indignation</t>
  </si>
  <si>
    <t>This is an expensive way to enable delirium/graveyard synergies, and an ineffective way to make your opponent lose a bunch of life. I guess a creature-heavy deck that both wants to beat down and fill its graveyard might be in, but that’s not going to come together very often.</t>
  </si>
  <si>
    <t>Macabre Waltz</t>
  </si>
  <si>
    <t>Waltz is another card with new meaning in a new format. This being a madness enabler is a new trick, and one that seems pretty fun to play with. Waltz also plays very nicely with all the other graveyard cards, and I bet almost every black deck will want one, with the madness decks looking to play multiples. The only reason I’m not giving it a full 3 is that it’s a noncreature non-removal spell, and some decks just won’t have room for that.</t>
  </si>
  <si>
    <t>Markov Dreadknight</t>
  </si>
  <si>
    <t>While this may not be the most exciting rare to open (it’s dreadful in Constructed), it grows quickly enough that it’s a good Limited threat. If you can untap with this, you get to hit for 5-7 damage and in a few turns it can just end the game. It’s a bit risky, but that risk is worth it.</t>
  </si>
  <si>
    <t>Merciless Resolve</t>
  </si>
  <si>
    <t>I wouldn’t play this in a deck without a plan for it, and that’s coming from someone who’s never met a Divination he didn’t like. In order for this to be interesting, you need creatures that are good to sacrifice or a desperate need to hit delirium (since this puts a land in the graveyard). That’s not every deck, and it’s not even most decks.</t>
  </si>
  <si>
    <t>Mindwrack Demon</t>
  </si>
  <si>
    <t>0.0//3.5</t>
  </si>
  <si>
    <t>Mindwrack Demon is a tricky case. If you play this and don’t hit delirium, you can die to it. It loses the race against itself, and if your opponent has any removal or bounce spell, it isn’t particularly close (I’m not even imagining what would happen with Sleep Paralysis―too gruesome). To make this acceptable, you want to have a very aggressive deck or a deck that’s good at hitting delirium, at which point the Demon is one of the best cards in your deck. You can put this into a medium delirium deck and just resign yourself to not casting it until later, which isn’t bad either. It’s hard to evaluate how good this card is, and I bet a lot of people are going to put it into decks where it’s bad and cast it when they shouldn’t, after which it’s going to consume them.</t>
  </si>
  <si>
    <t>Morkrut Necropod</t>
  </si>
  <si>
    <t>I’m in for a gigantic 7/7 that requires multiple chump blockers. Sacrificing a land or creature is a cost, but one I’m willing to pay. Presumably this is the top of your curve, and it’s not like it’s going to take too many hits before this ends the game.</t>
  </si>
  <si>
    <t>Murderous Compulsion</t>
  </si>
  <si>
    <t>Not only would I play Assassinate for 1B, the joke here is that you can discard it and madness at instant speed, killing the creature before it hits you. Hilarious! This does good work in any deck, and great work in a deck well suited to madness it. Cards like this tend to have diminishing returns because killing a creature after it has hit you does cost life, but that doesn’t apply if you have ample madness outlets. At that point, you want as many of these as you can get.</t>
  </si>
  <si>
    <t>Olivia’s Bloodsworn</t>
  </si>
  <si>
    <t>Once you are pretty sure you are in aggressive RB Vampires, the rating on this gets much higher. I only started it where I did because blocking is such a key part of what creatures do, and you can easily end up in black decks where this doesn’t even make the cut. Once you are attacking, this is about the best 2-drop I can imagine, and you should treat it as such.</t>
  </si>
  <si>
    <t>Pale Rider of Trostad</t>
  </si>
  <si>
    <t>This is a solid addition to any beatdown deck, but that pales in comparison to how good it is in a dedicated madness deck. Being able to drop this + a madness card on turn 3 or 4 is awesome, and just running it out on turn 2 is not a bad fail case. Plus, if you can play this as your last card, you don't pay any cost at all.</t>
  </si>
  <si>
    <t>Pick the Brain</t>
  </si>
  <si>
    <t>The delirium aspect of this is negligible, so it’s really whether you want a Coercion or not. I usually say “not” and tend to leave cards like this in my sideboard for control matchups. Not an early pick, even if you will sometimes run it in the main.</t>
  </si>
  <si>
    <t>Rancid Rats</t>
  </si>
  <si>
    <t>“Rancid” is a term usually used to describe cards that are significantly worse than this one, and I swear I’ll never refer to this as such in order to cause confusion. A 1/1 deathtoucher is worth 2 mana, and adding skulk is a decent bit of upside, even if this is primarily a defensive card.Most importantly, has it been long enough that I can trot this one out again?</t>
  </si>
  <si>
    <t>Relentless Dead</t>
  </si>
  <si>
    <t>Relentless Dead is exactly what its name implies. It attacks with evasion, is very hard to kill, and can even bring back friends when it dies. It also is able to block, which is rare on cards like this (see: Bloodghast, Gravecrawler, Risen Executioner), which makes it quite the brick wall when necessary. Without the blocking ability, I’d give this a 3.5 as it does attack well and can get you card advantage when it dies. Being able to block means that it can defeat ground-based decks very easily, especially if you have other Zombies to bring back.Relentless Dead is cheap, powerful, very resilient to removal, and can provide card advantage in a variety of different ways. That’s good enough for me.</t>
  </si>
  <si>
    <t>Rottenheart Ghoul</t>
  </si>
  <si>
    <t>Welcome to the worst madness enabler in the world. The actual use of the card will be to punish your opponent for killing it, but it is funny that you can target yourself in a pinch. If you need a 2/4 with a minor upside, this isn’t the worst, but there are better options to be had.</t>
  </si>
  <si>
    <t>Sanitarium Skeleton</t>
  </si>
  <si>
    <t>As a recursive blocker, this leaves much to be desired. I don’t want to pay 4 mana for a 1/2 every turn―operating under that kind of mana restriction puts a straightjacket on your options. What this gives you is a graveyard synergy if you are milling yourself, a card you don’t mind discarding for a benefit, and a repeatable piece of sacrifice fodder. Some decks will care about enough of those qualities to play this, but those decks will be few and far between.</t>
  </si>
  <si>
    <t>Shamble Back</t>
  </si>
  <si>
    <t>I like cards like this. This isn’t incredibly powerful or anything, but it does a couple of neat things. It makes delirium a little harder for your opponent to achieve, it can shut off their creatures that exile from the graveyard, and gains you a bit of life in the process. It’s clearly worse than a 2/2 for B, given that you can’t cast it until later, but you can’t have it all.</t>
  </si>
  <si>
    <t>Sinister Concoction</t>
  </si>
  <si>
    <t>There are a lot of costs here, with the most relevant being the discard + sacrifice. A 2-mana removal spell that operates as a madness outlet is a good deal in this set, and the self-mill part is an advantage more often than a drawback. This also gets you very close to delirium, given that it’s a hard card type to put in the graveyard, and does so at low cost. Even decks that don’t care about delirium or madness will play this as a Lightning Axe (cheap drawback removal), and the decks that can get value from those aspects will rarely ever pass it.</t>
  </si>
  <si>
    <t>Stallion of Ashmouth</t>
  </si>
  <si>
    <t>A Hill Giant that gets a boost in horsepower in the late game is not a bad deal. If you aren’t working hard toward delirium, this can easily not make your mane deck, but I expect to always play it in a dedicated delirium deck. It does feel like there are a fair amount of cards in this category―medium without delirium, good with. That makes me want to prioritize them lower, since?they seem replaceable.</t>
  </si>
  <si>
    <t>Stromkirk Mentor</t>
  </si>
  <si>
    <t>If you can reliably get the +1/+1 counter to work, this is a fine card. A card that's?decent when it works and quite bad when it doesn’t is not what I’m looking for, and you’ll have access to plenty of Mentors if you want them.</t>
  </si>
  <si>
    <t>Throttle</t>
  </si>
  <si>
    <t>Throttle was fine in Khans of Tarkir and will be fine here. Not good, not great, just fine. It kills what you need to kill at a price you are (grudgingly) willing to pay.</t>
  </si>
  <si>
    <t>To the Slaughter</t>
  </si>
  <si>
    <t>Despite all the text (and ominous picture), this is basically a 3-mana Diabolic Edict in Limited. That’s not spectacular, as there is usually something bad to toss in the way, and I’d avoid playing this. If your opponent somehow has a planeswalker and you have this in your sideboard then sure, bring it in.</t>
  </si>
  <si>
    <t>Tooth Collector</t>
  </si>
  <si>
    <t>I’m happy to run this without the delirium ability, as a 3/2 that can snipe X/1s is a fine deal. Once you get it going, you can constantly threaten your opponent’s small creatures, and thanks to the timing (triggers on opponent’s upkeep) you can also prevent them from having good attacks with a larger creature.</t>
  </si>
  <si>
    <t>Triskaidekaphobia</t>
  </si>
  <si>
    <t>1.0//3.6055</t>
  </si>
  <si>
    <t>This card is both bizarre and flavorful while also having relevant game text. It may look like a joke (because it is, a very funny one), but it does gain or lose both players 1 life per turn. In the right control deck, that could be a legitimate finisher, and the dance of trying to stay away from 13 seems like a very funny one. Gaining a life per turn makes it harder for your opponent to kill you, and you don’t need to deal the full 20 to kill them once you start attacking. That seems a little thin, but I’m certainly interested in trying it.I also have to admit that when I first saw the name I thought “yeah, I’d be afraid of Triskelion too.”</t>
  </si>
  <si>
    <t>Twins of Maurer Estate</t>
  </si>
  <si>
    <t>In a deck without madness, these twins are Thraben Purebloods (and I’m no story expert, but they could also literally be Thraben and pure of blood as it currently stands). If you can madness them out, they deliver a beating at a cheap cost, and are one of the commons that really helps the theme. I’d generally avoid these unless you can cast them for 3 mana about half the time, though it’s not a disaster if you end up just playing them for 5.</t>
  </si>
  <si>
    <t>Vampire Noble</t>
  </si>
  <si>
    <t>This set seems like it has a high enough power level that you won’t be playing this often. There aren’t enough Vampire synergies and there are enough 2/2s and 2/1s that this is a lost cause, albeit a noble one.</t>
  </si>
  <si>
    <t>Vessel of Malignity</t>
  </si>
  <si>
    <t>I like that this exiles―it would be awkward to trigger the opponent’s madness spells. I wouldn’t malign you for playing it in a deck without synergies, as 2+2 is less than 4 (effective) mana. Being able to break up the activation and cost over multiple turns is crucial, and this fueling delirium is a very real thing. I’m not saying this just because I love Mind Rots (a reverse Divination is still a Divination), but because it looks like a card that fits well into the format.</t>
  </si>
  <si>
    <t>Avacyn's Judgment</t>
  </si>
  <si>
    <t>Forked Bolt is a fine card even at 2 mana, and instant-speed Rolling Thunder is the finest of cards. This is a fantastic early pick, and in a proper madness deck is easily one of the best cards in the set. Even if your deck doesn't end up with?tons of ways to enable it, the fail case of Forked Bolt is still great.</t>
  </si>
  <si>
    <t>Bloodmad Vampire</t>
  </si>
  <si>
    <t>4/1s aren't known for their ability to hit the opponent unchecked, so this isn't the greatest card if you are just casting it. If your deck supports madness, it becomes much more interesting. There is also some merit to playing this in a deck that can remove blockers, at which point it does end the game quickly.</t>
  </si>
  <si>
    <t>Breakneck Rider</t>
  </si>
  <si>
    <t>This is a cheap 3/3 (albeit with a slightly tricky colored requirement) that flips into a 5/3 trample which?buffs your other attackers. If that sounds good to you, then you have evaluated it correctly.Passing to flip your Werewolves will work out less well than you think, in general. It’s definitely a play that is correct to make sometimes, but skipping turn 4 or 5 to flip some of your creatures is a disaster if your opponent has a cheap cantrip at the end of your turn (or 2 spells on their next turn). Werewolves are great, and their Wolf side always looks awesome, but you should lean toward not going all-in on flipping them. They naturally flip some amount of the time, and late game they will easily flip, but don’t try and force it early―it rarely works out better than just playing your spells.</t>
  </si>
  <si>
    <t>Burn from Within</t>
  </si>
  <si>
    <t>Blaze with a minor upside is a great card. Having the ability to deal a couple damage early, kill a 5/5 midgame, and kill the opponent in the late game is the kind of flexibility you should prize. The rider that gets around indestructibility and exiles the creature is a bonus, but not much of one.</t>
  </si>
  <si>
    <t>Convicted Killer</t>
  </si>
  <si>
    <t>Convicted Killer is about as middle-of-the-road as Werewolves get. It’s medium on the front side and above average when flipped, which ends up as a thoroughly medium card overall. If you have Wolf synergies, this will make the cut, but it’s not a card you have to play otherwise.</t>
  </si>
  <si>
    <t>Dance with Devils</t>
  </si>
  <si>
    <t>I'm really digging the Devil-making theme here (that may sound strange out of context). Two 1/1s that die into 1 damage is a lot of action, as they can take out bigger creatures and threaten to ping flyers, all while providing good sacrifice fodder. This is also an instant, so it can set up some really brutal ambushes (block two 2/1s, shoot your 2/2?). I'd Dance with Devils any day.</t>
  </si>
  <si>
    <t>Devil's Playground</t>
  </si>
  <si>
    <t>2?more mana for two more Devils, without costing another card? Sounds like a good deal to me, even if it's at sorcery speed. Devil's Playground is a great 6-drop, and should go a really long way to locking up the board.I do have to mention an interaction that is likely to come up with all these Devils―make sure your multi-blocking actually works. Imagine that your opponent attacks with a 6/6 and you block with 3 Devils, planning on pinging it 3 times to finish it off. Not so fast―your opponent can choose to only kill 2 of the Devils, leaving them with a 6/6 that has 3 damage on it, and?you able to deal only 2 extra damage.</t>
  </si>
  <si>
    <t>Dissension in the Ranks</t>
  </si>
  <si>
    <t>I suspect there will be a lot of dissenters, but I don’t think this card is great. It’s certainly powerful if you can ever cast it, but it’s reasonably hard to make it work. Not only do they need to have 2 blocking creatures, if the stats aren’t right, this doesn’t even do all that much. I will admit that it’s not that suspicious to keep the mana up because it’s natural to have all your lands untapped when you attack.This seems like the ultimate in best-case scenario cards. It’s a disgusting blowout when it works (kill your two 5/5s), but so often it’s going to be uncastable or be a deal-2 that hits a 2/2 and a 4/4. Plus, your creatures are already blocked, so you don’t even get damage through! If you have an aggressive deck that’s really short on spells, I can see running this, or sideboarding it in against a defensive deck, but you won’t want to main deck this very often.</t>
  </si>
  <si>
    <t>Dual Shot</t>
  </si>
  <si>
    <t>This is like Sparkmage's Gambit―a fine card to fill out your deck, but not one you always run. It's worth taking a shot at getting a 2-for-1 if you have the time, but I'd lean toward using this on the first 2/1 you see. It's nice that it takes out two 1/1 flying Spirits, so I'd prioritize having one as a sideboard card at least.</t>
  </si>
  <si>
    <t>Ember-Eye Wolf</t>
  </si>
  <si>
    <t>I'm not a big fan of 1/2s that need mana in order to trade up, but adding haste makes this a card worth keeping an eye on. It can Fireball your opponent out if they don't leave a blocker back, and the pump ability is not prohibitively expensive. Cards that look like previously bad cards (Feral Ridgewolf being the obvious comparison here) sometimes get docked points unfairly, and I'd keep an open mind when looking at this one.</t>
  </si>
  <si>
    <t>Falkenrath Gorger</t>
  </si>
  <si>
    <t>The ability here is undeniably powerful, and a 1-cost 2/1 is a solid rate. If you take this first pick, you can try and gorge yourself on Vampires and discard outlets, which fits well into a supported draft archetype. It's a little unfortunate that many of the Vampires already have madness, but you can still get value from this. Later in the draft, this gets a bit worse if you know madness is unlikely to be a possibility.A cheap beater that can give you card advantage and the ability to ambush is a good pickup, and I can imagine attacking being a headache if your opponent has this in play and a bunch of mana up.</t>
  </si>
  <si>
    <t>Fiery Temper</t>
  </si>
  <si>
    <t>The standard red removal spell of 3 mana for 3 damage is a good one, especially at instant speed. That is tempered a bit by requiring double-red, but that’s more than made up for by the ability to turn it into Lightning Bolt via madness. Lightning Axe discarding Fiery Temper is going to be one of the bigger blowouts, and the presence of Fiery Temper means that an untapped Mountain has new meaning if you have a discard outlet in play. This is one of the premier removal spells of the format, and if you have a lot of good madness enablers, it can move up to a 4.0 (which goes to show how absurd Lightning Bolt is).</t>
  </si>
  <si>
    <t>Flameblade Angel</t>
  </si>
  <si>
    <t>6 mana is a little more than I’d like to pay for a 4/4 flyer, but making the opponent pay whenever they have the temerity to mess with you or your creatures is a really good ability. This is nigh-impossible to race, as your chump blockers punish the opponent, and even when they hit you, they get hit back. Flameblade Angel seems like one of the most frustrating cards to play against―damned if you do, damned if you don’t. You should pick cards like that and add them to your deck.</t>
  </si>
  <si>
    <t>Gatstaf Arsonists</t>
  </si>
  <si>
    <t>I’m not all fired up about this card, but I do think it’s solid. 5 mana for a 5/4 is decent to begin with, and expensive Werewolves can lean more on the flip side than cheap ones (it’s easier to flip them later, meaning they spend less of their life unflipped). Arsonists looks quite good to me, and I would look to pick up at least 1 for most red decks. It does compete with Reduce to Ashes, so keep that in mind.</t>
  </si>
  <si>
    <t>Geier Reach Bandit</t>
  </si>
  <si>
    <t>This is going to play as a 3/2 with haste for 3 most of the time, and that’s a fine card. It’s a bit of a reach to imagine drafting a full Werewolf deck and going off, but at least this turns into a 4/3 when it flips!</t>
  </si>
  <si>
    <t>Geistblast</t>
  </si>
  <si>
    <t>As a mono-red card, this is around a 2.5 (potentially 3.0 if the format has a lot of appealing x/2s). In a blue/red deck, it’s a great card for any spell-heavy deck. You don’t even need that many spells for it to be awesome, as you aren’t paying much of a cost to include it. It works off self-mill, and is a good card?to discard if need be. I’m going to have a blast drafting around this, and it’ll give me a flashback to drafting Burning Vengeance from original Innistrad.</t>
  </si>
  <si>
    <t>Gibbering Fiend</t>
  </si>
  <si>
    <t>While I’m still skeptical of delirium in aggressive decks, given that they are trying to end the game, this is still a fine inclusion. A 2/1 that pings the opponent for 1 is a good early drop, and in the late game you can hang out and whittle the opponent’s life total down. I’m in.</t>
  </si>
  <si>
    <t>Harness the Storm</t>
  </si>
  <si>
    <t>No.</t>
  </si>
  <si>
    <t>Howlpack Wolf</t>
  </si>
  <si>
    <t>In a Wolf deck, this is a great undercosted threat, and can even block if need be. An an aggressive deck, it’s exactly what you want. In a control deck without many other Wolves, it’s unplayable. That adds up to a solid card, even if not every deck will be howling for its inclusion.</t>
  </si>
  <si>
    <t>Hulking Devil</t>
  </si>
  <si>
    <t>A 4-drop that trades down for 2-drops is not what I’m looking for. I’m gonna need a little more Hulk and a little less Daredevil next time.</t>
  </si>
  <si>
    <t>Incorrigible Youths</t>
  </si>
  <si>
    <t>I don’t hate Thundering Giant, and this is playable even without madness if you are aggressive enough. Once you have a bunch of good outlets in your deck, this gets more appealing, and can even be a premium early pick. Curving a 2-drop discard outlet into this on turn 3 is just absurd, and that being within this card’s range does make this a card with very high upside.</t>
  </si>
  <si>
    <t>Inner Struggle</t>
  </si>
  <si>
    <t>This will kill most of the things you want to kill, so there’s no inner struggle when it comes to taking it. It works extra well against deathtouch, and has a slight downside against lifelink (your opponent will gain that much life). You may run into creatures that are resilient to this effect, which is annoying, but it’s still a good enough removal spell to take early and always run. Worse comes to worst, you'll have to combine this with a blocker to finish things off.</t>
  </si>
  <si>
    <t>Insolent Neonate</t>
  </si>
  <si>
    <t>As much as I hate 1mana 1/1s, this does a couple things well enough that I’m not totally against playing it. It’s a 0-mana madness outlet, it can get in for a couple points of damage, and it lets you cash in a land for a new card later in the game (even at net -1 card). I almost want to give this a lower rating to prevent legions of people from playing this when they shouldn’t, but it is a card that madness/delirium decks can justify, especially if they are aggressive.</t>
  </si>
  <si>
    <t>Kessig Forgemaster</t>
  </si>
  <si>
    <t>This is a 2/1 with an annoying ability that flips into a 3/2 with a really annoying ability. Given that annoying the opponent is a worthy goal, I’ll always be happy to play this. It serves as a good defender and a solid attacker initially, is well worth the 2 mana, and later in the game it becomes very difficult to fight in combat.</t>
  </si>
  <si>
    <t>Lightning Axe</t>
  </si>
  <si>
    <t>I’ve played this card in a set with madness before and it delivers. It’s a 1-mana removal spell when you need it, at a cost you will pay gladly, and just absurd when combined with madness. Worse comes to worst, you pay 6 mana, and that’s still fine. You shouldn’t pass Lightning Axe very often, madness deck or not, and if you compare it to Murderous Cut, you are closer than you might think.</t>
  </si>
  <si>
    <t>Mad Prophet</t>
  </si>
  <si>
    <t>Like Reckless Scholar, I'm going to start out with looters very high on my pick list. You could even call me a mad prophet, but at the end of the day, hopefully I end up as a?civilized scholar (regardless of how reckless these claims may seem now). I just see the combination of looters + madness + delirium as a really powerful one in this format, and I expect these cards to outperform their earlier selves.</t>
  </si>
  <si>
    <t>Magmatic Chasm</t>
  </si>
  <si>
    <t>Do you want to know the best way to properly rate Magmatic Chasm? Keep track of how many times it wins the game when cast.Wait, that's not the right way at all, because this will win you the game when it's good to cast it, while rotting in your hand the vast majority of the time. This is a card some aggressive decks will play, but the most common use will be to sideboard it in to fight ground stalls. You should be able to pick up a copy pretty easily.</t>
  </si>
  <si>
    <t>Malevolent Whispers</t>
  </si>
  <si>
    <t>This too is a situational card, but the upside is incredibly high. First of all, some hyper-aggressive decks will take it in order to steal a 4/4 and hit for 6 plus all their now-unblocked creatures. That's fine, but that's not the most threatening way to use this card.The real value comes from being able to madness it, and this is one of the cards that best takes advantage of the madness design space. If you can discard and play this at instant speed, a whole new world of possibilities open up. Taking one of their creatures during their attack and blocking with it is absurd, as it kills multiple creatures (especially with a +2/+0 bonus). In order for this card to achieve the maximum rating, you want to be drafting a red-based aggressive madness deck. There, both sides" are great</t>
  </si>
  <si>
    <t xml:space="preserve"> and you end up with a card that ranges from solid to insane.Malevolent Whispers is a swingy card</t>
  </si>
  <si>
    <t xml:space="preserve"> and you will leave it out of plenty of red decks</t>
  </si>
  <si>
    <t xml:space="preserve"> but it will be one of the best cards in those?decks it best fits in."</t>
  </si>
  <si>
    <t>Pyre Hound</t>
  </si>
  <si>
    <t>It only takes one?spell to make this a respectable card, and in a deck full of spells, it fires on all cylinders. At 3-4 spells, I'd call this marginally playable, and it just goes up from there. Once you are at 8+ spells, it's a card I'm actively seeking out and ready to slam.I really like this being a common. I like build-arounds, and while this is certainly rewarding if you get there, it isn't too absurd. I'm looking forward to being an underdog in every draft I pick this early, but who knows, maybe it'll actually be good.</t>
  </si>
  <si>
    <t>Ravenous Bloodseeker</t>
  </si>
  <si>
    <t>3.0//3.5</t>
  </si>
  <si>
    <t>In a non-madness deck, this is a flexible 2-drop that can fill different roles. It blocks well, can trade for most things (even at the cost of a card), and just basically doesn't suck. Once you are leaning hard into madness or delirium, it's a premium card and makes all the rest of your cards better. Madness outlets that don't cost mana are the best kind, and this curves nicely into any Vampire madness nonsense you are looking to do.</t>
  </si>
  <si>
    <t>Rush of Adrenaline</t>
  </si>
  <si>
    <t>I prefer my rush to come in the form of knowledge, not adrenaline, but I can't fault you for playing this in an aggressive deck. If this provided a little more toughness I'd be more interested, as this mainly serves as a way to get damage through because it won't win that many combats. It's a minor note, but cheap combat tricks do lose a little value in the Werewolf colors, as flipping your Wolves back is a drawback.</t>
  </si>
  <si>
    <t>Sanguinary Mage</t>
  </si>
  <si>
    <t>It doesn't take much for me to put a 1/3 for 2 mana into my deck. I'm sanguine about that fact, and even factoring in my natural tendencies, you should give this the credit it deserves. Your opponents have to respect the ability to become a 2/4 at little cost, and in a madness deck it might become a 3/5 out of nowhere. Jeskai Student ended up overperforming, and Sanguinary Mage could do the same.</t>
  </si>
  <si>
    <t>Scourge Wolf</t>
  </si>
  <si>
    <t>A 2/2 first strike is well worth 2 mana, and now that we aren't in colorless land, double-color isn't that hard. If you can get delirium, this becomes a substantial threat, and I'd prioritize cards like Rush of Adrenaline if I had a Scourge Wolf in my deck.</t>
  </si>
  <si>
    <t>Senseless Rage</t>
  </si>
  <si>
    <t>1.0//2.5</t>
  </si>
  <si>
    <t>Despite also describing Marshall Sutcliffe's reaction when he finds out that people are putting Auras into their decks, this card does make sense at times. In a random aggressive deck, it's mediocre, but once you get madness going, it can do some work. If you have a good shot of casting it via madness and you are drafting beatdown, playing 1 or 2 of these is better than playing most pump spells.</t>
  </si>
  <si>
    <t>Sin Prodder</t>
  </si>
  <si>
    <t>This is the opposite of Dark Confidant―wildly unplayable in Constructed, and very solid in Limited (trust me, I've tried Dark Confidant in Limited, and have taken a ton of damage as a result). Sin Prodder gives you a 3/2 for 3 that puts your opponent in a tough spot. Sure, they can deny you lands, but eventually they run out of life and have to start letting you draw cards. I myself would choose to go to 0 to stop a card, just out of principle, but either way, Sin Prodder is providing value. You can optimize this by drafting an aggressive deck, but I'd play it in control or aggro alike.</t>
  </si>
  <si>
    <t>Skin Invasion</t>
  </si>
  <si>
    <t>If you have a lot of good blockers, this goes way up in value. In an aggressive deck, it does at least force them to attack, but I’d look to use this in a deck that leans defensive. Killing a small creature and getting a 3/4 is a very good deal, and you may be able to pull this off early enough that the 3/4 dominates. Where this falls short is when you draw it and don’t have the resources to deal with their creatures, at which point it’s just a do-nothing.</t>
  </si>
  <si>
    <t>Spiteful Motives</t>
  </si>
  <si>
    <t>What's up with all the instant-speed Auras in this set? Despite not knowing the motives behind the flood of insta-Auras, I'll still take and play this in any aggressive red decks. Thinking through how this will play out, I wouldn't be surprised if this were just a great card. If you can successfully land this, you win a combat, and now have a creature that's nigh-unbeatable. Imagine a 2/2 defeating a 3/3 or 4/4 thanks to this. You are up a card and now have a 5/2 first strike, which crushes almost anything. The upside is high enough that I'm giving this a high rating, even if creature-light decks won't want it.This is an early contender for the easiest turn 4 or 5 game-ender, as what you thought was a trade all of a sudden ends up with you facing down a 6/3 first-striking beast.</t>
  </si>
  <si>
    <t>Stensia Masquerade</t>
  </si>
  <si>
    <t>Wait, another enchantment that you can play at instant speed that grants first strike? What in the world is going on besides combat blowouts?Stensia Masquerade is a very on-or-off card, and you need to separate the games where it bins 2 of their creatures from the ones where it’s just a straight-up dead card. In the aggressive Vampire madness deck, it looks like a very strong build-around, and elsewhere it does very little. Madnessing this off a Ravenous Bloodsucker likely means you win at least one?fight, and then it puts your opponent in a very tough spot. If you are likely to end up with a lot of Vampires (10+) and a good number?of madness outlets, this is worthy of taking and optimizing. If not, I’d avoid it.</t>
  </si>
  <si>
    <t>Structural Distortion</t>
  </si>
  <si>
    <t>There are worse ways to blow up artifacts, but this should never touch your main deck (and likely should stay in your sideboard unless you are facing a very impressive artifact).</t>
  </si>
  <si>
    <t>Tormenting Voice</t>
  </si>
  <si>
    <t>I played this card whenever I was short in Khans of Tarkir/Dragons of Tarkir, and it was fine. Here, it gains a ton of additional relevance, and looks like a card that is never going to end up in a sideboard. Fueling madness and delirium is great, and I love when reprints work out this nicely.</t>
  </si>
  <si>
    <t>Ulrich’s Kindred</t>
  </si>
  <si>
    <t>This is a reasonable card without green mana, and a very threatening one once you have access to the second ability. Red/green decks will skew aggressive and end up with a decent amount of Wolves in them, even if you aren’t trying, which makes this an annoying card for your opponent to deal with.Bear in mind that you won’t always want to use this ability, even if it looks appealing. If you attack a Wolf into your opponent’s blocker, and they choose to block, it could be a trap. Spending 4 mana and getting hit by an instant can be disastrous, so if they walk into an on-the-board trick, you should be careful. This is one of those threat-of-activation abilities, and when the opponent disregards it, you do have the option to just accept a trade.</t>
  </si>
  <si>
    <t>Uncaged Fury</t>
  </si>
  <si>
    <t>This is another trick that gives first strike (and double strike, for additional value). In the land of the 20 first strike tricks, the 5/1 is king. This is expensive enough that I’m not looking to pick up a ton of these, but I do like how much damage it can deal. On a 4/4, it adds 6 damage to the total, and that makes this a decent way to finish games.</t>
  </si>
  <si>
    <t>Vessel of Volatility</t>
  </si>
  <si>
    <t>Please don’t play this. It’s literally volatile, so there will be some games where it turbos out a heavy-hitter, but that pales in comparison to how often it won’t give you a card’s worth of value.</t>
  </si>
  <si>
    <t>Village Messenger</t>
  </si>
  <si>
    <t>I didn’t like Reckless Waif and I don’t particularly like Village Messenger. The fail case of being a 1/1 is just so bad, and the upside of getting a creature that’s worth slightly more than 1 mana is not worth it. I’d avoid this in all but the most aggressive Werewolf decks, and even then I’d be suspicious.</t>
  </si>
  <si>
    <t>Voldaren Duelist</t>
  </si>
  <si>
    <t>You won’t play this in control decks, so the rating reflects how good it is in aggressive ones. It’s a very powerful and swingy card, and can easily add 6+ damage to the board out of nowhere. The presence of this card should make you play more defensively than normal, and I can imagine leaving back multiple blockers even against an empty board.</t>
  </si>
  <si>
    <t>Wolf of Devil’s Breach</t>
  </si>
  <si>
    <t>HAUMPH!This is huge and cheap, and when it attacks, it lets you throw one of your cards at an opposing creature. You don’t even need madness to make this appealing, but hey, why not? Wolf of Devil’s Breach is a legit bomb.</t>
  </si>
  <si>
    <t>Aim High</t>
  </si>
  <si>
    <t>You can (and should) aim higher than this. It’s a fine combat trick if you are lacking one, but it’s replaceable and unexciting.</t>
  </si>
  <si>
    <t>Autumnal Gloom</t>
  </si>
  <si>
    <t>In dedicated delirium decks, this serves as both enabler and payoff, which is great. I wouldn't call this unplayable outside of BG, but you need to be sure you are reliably deliriumizing (it's a word, I checked) before running it. In a BG deck that isn't focused on delirum this is marginally playable, and it's clearly awful in a random green deck that doesn't delirium.</t>
  </si>
  <si>
    <t>Briarbridge Patrol</t>
  </si>
  <si>
    <t>I’m happy picking up an easy 2-for-1 off this, and the high end is much higher than that. It’s also neat that if you spend 6 mana cracking Clues that you get a rebate in the form of a free creature, and you can cash it in on your opponent’s turn. Be sure to crack the Clues on their second main phase so you successfully get the end-of-turn trigger.</t>
  </si>
  <si>
    <t>Byway Courier</t>
  </si>
  <si>
    <t>This is a rock-solid playable, and has even a little more synergy in a Clue deck, by the way. It’s hard to turn down a creature that provides this much value, so I won’t.</t>
  </si>
  <si>
    <t>Clip Wings</t>
  </si>
  <si>
    <t>A sideboard card, and a bad one at that. This can even miss when you bring it in, as Spirit tokens prevent?it from killing whatever it is you actually wanted to kill.</t>
  </si>
  <si>
    <t>Confront the Unknown</t>
  </si>
  <si>
    <t>By itself, this is +1/+1 and a card for G + 2 mana. That’s passable, but not something I’d plan on playing most of the time. In a deck with more Clues it gets better, but those decks aren’t in the market for Giant Growths. That leaves this in an odd space, a space otherwise known as “the sideboard.”</t>
  </si>
  <si>
    <t>Crawling Sensation</t>
  </si>
  <si>
    <t>How encouraging. A largely unplayable card that can sometimes be a marginal build-around. Don’t get me wrong, I’ll try Crawling Sensation in a graveyard-based deck, but I don’t have high hopes. It needs to generate at least one token a turn to be worth it, and by itself makes less than one. It does get you to delirium, but I think you can do better in terms of enablers.</t>
  </si>
  <si>
    <t>Cryptolith Rite</t>
  </si>
  <si>
    <t>I may not be rite about this, but putting yourself down a card to make all your creatures into Birds of Paradise doesn’t seem like a good plan. You have to use 2 mana to cast this, and the number?of games where it’s better than Springleaf Drum seem low (and Drum was already bad). It’s possible there’s some kind of big-mana deck that wants this, but that seems thin.</t>
  </si>
  <si>
    <t>Cult of the Waxing Moon</t>
  </si>
  <si>
    <t>A 5-cost 5/4 with minor upside is a solid addition to any deck with a couple transform creatures. Don’t go nuts building around this, and just be happy if you end up picking up a free Wolf or two.</t>
  </si>
  <si>
    <t>Deathcap Cultivator</t>
  </si>
  <si>
    <t>Leaf Gilder was already great, so letting it tap for a second color and giving it more relevance in the late game is a nice way to cap it off. You don’t even have to work toward delirium for this to be good, though it does get a little better.</t>
  </si>
  <si>
    <t>Duskwatch Recruiter</t>
  </si>
  <si>
    <t>Sign me up for the Duskwatch! This is great on turn 2 and greater on turn 10, and has an ability that synergizes perfectly with Werewolves. You get to pass and flip all your Werewolves, while still getting value from your mana by using the ability. Plus, the flip side even lets you play all the creatures you recruited. This is a fantastic card.</t>
  </si>
  <si>
    <t>Equestrian Skill</t>
  </si>
  <si>
    <t>As with other Auras, I prefer to start them in the sideboard, and then not side them in. You can actually look to bring this in against a deck lacking in removal, as +3/+3 is enough horsepower to make this worth a card.</t>
  </si>
  <si>
    <t>Fork in the Road</t>
  </si>
  <si>
    <t>Unless you are enabling delirium or playing 3 colors, this should be the road less traveled. If you are doing one or both of those things, playing 1 Fork in the Road is acceptable, though not a high priority.</t>
  </si>
  <si>
    <t>Gloomwidow</t>
  </si>
  <si>
    <t>In an aggressive deck, you’ll gladly play this, and even get to block every now and then. In a control deck, the rate is still good enough, but you should give serious thought to siding it out against a beatdown deck without flyers.</t>
  </si>
  <si>
    <t>Graf Mole</t>
  </si>
  <si>
    <t>In a dedicated Clue deck, this can edge toward 3.5, as it gives you the ability and a good set of stats for only 3 mana. Cracking Clues puts you behind on board, and gaining 3 per Clue mitigates that very nicely.</t>
  </si>
  <si>
    <t>Groundskeeper</t>
  </si>
  <si>
    <t>Yes, this turns your basic lands into perfect discard fodder. No, that’s not enough to make this a shining example of a build-around.</t>
  </si>
  <si>
    <t>Hermit of the Natterknolls</t>
  </si>
  <si>
    <t>While you aren't super likely to actually draw cards off the ability, just having it makes the opponent play in a way they normally wouldn't. There's value there, even if it isn't always apparent. This also is solid on either side, and I'd be happy to play it in any green deck. Is this the best Hermit ever printed?</t>
  </si>
  <si>
    <t>Hinterland Logger</t>
  </si>
  <si>
    <t>If you claw down a tree in the forest and there are no humans around to hear it, does it make a sound? As a 2-drop, this does everything I'm looking for, even if it's not super exciting in either mode. Cards like this are the backbone of Limited, and green decks of all kinds?will be playing Hinterland Logger.</t>
  </si>
  <si>
    <t>Howlpack Resurgence</t>
  </si>
  <si>
    <t>In a dedicated Wolf deck, this is an instant-speed Glorious Anthem. That may sound awesome, and that’s because it is. You do have to be RG and really heavy on Wolves, but if you are, you are likely the only one. Howlpack Resurgence is even an instant, so you can pass and flip your Werewolves while still getting to play a card on the opponent’s turn. #synergy</t>
  </si>
  <si>
    <t>Inexorable Blob</t>
  </si>
  <si>
    <t>I’m mostly giving this a rating based on it being a Nessian Courser, as you aren’t getting to the delirium all that quickly in most decks. If you do hit delirium while 3/3s are still relevant, this becomes a huge threat, and that makes it a good card in my book.</t>
  </si>
  <si>
    <t>Intrepid Provisioner</t>
  </si>
  <si>
    <t>Green is well-stocked with really solid bodies that come with minor upsides, and this is another example. If you have enough Humans, this is an above average 4-drop, and even in a deck where the trigger doesn’t always work, it’s playable.</t>
  </si>
  <si>
    <t>Kessig Dire Swine</t>
  </si>
  <si>
    <t>If you are in need of a little beef (or a lot of pork), this can fill out the top of your curve. You aren't?in dire straits if you don’t have a 6-drop so don’t take this early, but try and pick up one if possible. The delirium ability is nice, but also not worth working toward if you didn’t want delirium otherwise.</t>
  </si>
  <si>
    <t>Lambholt Pacifist</t>
  </si>
  <si>
    <t>As is only flavorful, this does much more in a defensive deck. It's a good enough blocker that I'd always include it in my control decks, though it's not a must-play in aggro. It's nice that even if you can't make it attack by playing a bigger creature, it eventually gets there itself.</t>
  </si>
  <si>
    <t>Loam Dryad</t>
  </si>
  <si>
    <t>Like Cryptolith Rite, this just isn’t worth a card.</t>
  </si>
  <si>
    <t>Might Beyond Reason</t>
  </si>
  <si>
    <t>An expensive combat trick that leaves you with permanent value is reasonable, but not something I’ll actively pursue. If you anticipate having delirium most games and have an extra spell slot, you could do worse.</t>
  </si>
  <si>
    <t>Moldgraf Scavenger</t>
  </si>
  <si>
    <t>If you are aggressively going after delirium, this is a great 2-drop. It’s wildly unplayable otherwise, and that makes it a low-priority pick until you’re sure about your direction. You are unlikely to be competing with anyone else for these, so feel free to try and wheel them. If you can delirium by turn 5 or 6, Moldgraf Scavenger delivers.</t>
  </si>
  <si>
    <t>Moonlight Hunt</t>
  </si>
  <si>
    <t>Unplayable without 7+ Wolves and great at 10+, Moonlight Hunt is another strong Wolf build-around. Note that the prey doesn’t fight back, so this is very close to the green Doom Blade in a deck full of predators.</t>
  </si>
  <si>
    <t>Obsessive Skinner</t>
  </si>
  <si>
    <t>A solid Grizzly Bear (this guy looks extremely grizzled) with upside in the late game is something I’m always interested in. In fact, I mention the “good on turn 2 and good on turn 10” theory often enough that I wouldn’t blame you for thinking I’m obsessed with it. There is a reason: by making your deck consistent in the early game and powerful in the late game, you will win more matches of Magic.This is a reason to pursue delirium, as the repeated +1/+1 trigger is very strong, and even without it you can play this on turn 5 or 6 to get a better attack with your newly-buffed creature.</t>
  </si>
  <si>
    <t>Pack Guardian</t>
  </si>
  <si>
    <t>6 power for 4 mana is no joke, and even as just a 4/3 for 4 you are getting plenty of value from Pack Guardian. It plays well with Werewolves, works with all the Wolf-matters cards, and can even be a madness enabler.*There’s not much I’d take over Pack Guardian―just remember not to play excess lands if you have one of these in your deck.*This is a joke. I understand that you can only discard lands.</t>
  </si>
  <si>
    <t>Quilled Wolf</t>
  </si>
  <si>
    <t>I’m always in for a 2-drop that’s good late. This one even has extra synergy based on its creature type. Hooray!</t>
  </si>
  <si>
    <t>Rabid Bite</t>
  </si>
  <si>
    <t>The green Doom Blade. I would lament about the current state of removal, but green never used to get any removal back when Doom Blade was around, so this is an upgrade. As long as you keep watch on your creature count, Rabid Bite is going to be one of your best and most efficient cards. Note that the opposing creature doesn’t fight (or bite) back.</t>
  </si>
  <si>
    <t>Root Out</t>
  </si>
  <si>
    <t>Strictly sideboard, but good sideboard when you find targets.</t>
  </si>
  <si>
    <t>Sage of Ancient Lore</t>
  </si>
  <si>
    <t>It's not hard to imagine this being a 5/5, and it will often be even larger than that. Coming with a free card makes this awesome, and in a shocking twist, even synergizes with the fact that it grows based on cards in hand. This would be great even if it didn't flip, and when it does flip, it becomes even more monstrous.</t>
  </si>
  <si>
    <t>Seasons Past</t>
  </si>
  <si>
    <t>If you can build a deck that’s in the market for a draw 4, this is the kind of card you want. It rewards you for filling your graveyard and being defensive, and even makes sure you never get decked. It’s possible this is a flat 4.0, but I’d like to verify that controlling self-mill decks are supported before I go that far.</t>
  </si>
  <si>
    <t>Second Harvest</t>
  </si>
  <si>
    <t>I find it very implausible that you’d get enough token-making to support this. If by some stroke of luck you have 10+ token-makers, you are guaranteed to be the only person at the table looking for it.</t>
  </si>
  <si>
    <t>Silverfur Partisan</t>
  </si>
  <si>
    <t>Silverfur Partisan requires you play a bunch of combat tricks, but that’s not that unreasonable in an aggressive RG deck. It even has trample, so you get extra value from making it large, and playing a deck full of Wolves and pump spells probably works out pretty well. In the optimal deck, this can be much greater than just a 3.0.</t>
  </si>
  <si>
    <t>Solitary Hunter</t>
  </si>
  <si>
    <t>Green got some great Werewolves this set, and this one is even a common. It's quite the beater and if you play this early, your opponent won't be able to stop it from going for the face. Later in the game it flips into an even more threatening monster, and I'd gladly cast it for just the Human side.</t>
  </si>
  <si>
    <t>Soul Swallower</t>
  </si>
  <si>
    <t>Besides not sounding like a green card (since when does green devour souls?), this also pushes you toward the defensive end of the spectrum. It’s not spectacular without delirium, making it more of a finisher in a delirium control deck than an aggro mainstay. It does get quite large if you can enable it, and that’s enough of a reward to make such a plan worthwhile.</t>
  </si>
  <si>
    <t>Stoic Builder</t>
  </si>
  <si>
    <t>If you need a 2/3 for 3, you need a 2/3 for 3. The ability is marginal and will rarely matter, so only play this if your curve would be atrocious without it.</t>
  </si>
  <si>
    <t>Thornhide Wolves</t>
  </si>
  <si>
    <t>There are plenty of good 5-drops, so don’t be too concerned about picking these up. They also look pretty sharp, so if you do pick one up, use gloves.</t>
  </si>
  <si>
    <t>Tireless Tracker</t>
  </si>
  <si>
    <t>Not only does Tireless Tracker supply you with a near-endless stream of Clues, it also grows bigger and bigger the more you discover from them. That’s a great combination, and this card alone gives you long-game superiority and short-game board presence.</t>
  </si>
  <si>
    <t>Traverse the Ulvenwald</t>
  </si>
  <si>
    <t>Even though this will be a land most of the times you draw it, it commands a high rating because of the absurdly low opportunity cost. In a green-based deck, you can play this as a land and consider it a bonus when it turns into Eladamri’s Call instead. That’s a great value proposition, and I would be happy playing this in any green deck. You don’t need to go all-in on delirium to make this better, though it clearly does get stronger if you do.</t>
  </si>
  <si>
    <t>Ulvenwald Hydra</t>
  </si>
  <si>
    <t>You aren’t searching out many fancy lands with this, but it’s still a 6-mana 7/7 reach with the potential to keep growing. That’s on the high end for 6-drops, even if it’s still a big dumb monster.</t>
  </si>
  <si>
    <t>Ulvenwald Mysteries</t>
  </si>
  <si>
    <t>This isn’t a full build-around because you don’t need that focused of a deck to make it work. All it really asks is that you play a lot of creatures and have a desire to make it to the late game. That rules out aggressive decks and spell-based control decks, leaving behind a wide swath of midrange/control strategies.Getting a bunch of Soldier tokens and Clues is a pretty appealing combination, as the tokens give you time to use more Clues, which draw you more creatures, and the cycle continues.</t>
  </si>
  <si>
    <t>Vessel of Nascency</t>
  </si>
  <si>
    <t>Delirium is but a step away once you crack this open, which makes it one of the better enablers. Outside of that, I wouldn’t look to play the Vessel, as it’s a bit slow for a normal deck. Compare it to Seek the Wilds, a card you’d rarely play in BFZ.</t>
  </si>
  <si>
    <t>Veteran Cathar</t>
  </si>
  <si>
    <t>In green-white, this is a high pick, as it has great impact at any point in the game. Elsewhere, it’s just a vanilla 2-drop, which is still playable if your curve demands it. This being able to target itself means that I wouldn’t go out of my way to draft Humans―the creature type is a tiebreaker at best.</t>
  </si>
  <si>
    <t>Watcher in the Web</t>
  </si>
  <si>
    <t>Watcher brickwalls the opponent most of the game, and can even sacrifice itself as a Fog if need be. You don’t want to get Spider-flooded (that sounds like the stuff of nightmares), so keep an eye or eight on how many 5-drops you end up with. This beats the other common and uncommon 5s if you are very controlling, but they are still fairly interchangeable.</t>
  </si>
  <si>
    <t>Weirding Wood</t>
  </si>
  <si>
    <t>Unless you are splashing or desperately need Clues, there’s no good reason to play this.</t>
  </si>
  <si>
    <t>Altered Ego</t>
  </si>
  <si>
    <t>A 4-mana copy effect is already great, as you are guaranteed to at least be tied for best creature (barring things like Auras or +1/+1 counters). As it so happens, +1/+1 counters are likely to come up, and the ability to grow Altered Ego is a huge upside. This will take as much mana as you have to spare, and deliver you a giant copy of the best creature on the board as a result. This also can’t be countered, for whenever that’s relevant.</t>
  </si>
  <si>
    <t>Anguished Unmaking</t>
  </si>
  <si>
    <t>3 life is a real cost, but 3 mana is a low cost. I’ll pay these costs for such a cheap unconditional removal spell any day.</t>
  </si>
  <si>
    <t>Arlinn Kord</t>
  </si>
  <si>
    <t>Fevered Visions</t>
  </si>
  <si>
    <t>???(1.0)</t>
  </si>
  <si>
    <t>What? Seriously, what is this?I think this is very bad, but a super aggressive deck could try to?put it to good use. Combining Fevered Visions with bounce spells helps trigger the 2-damage clause and gives you a mana advantage (which is really what matters when both players are drawing 2 a turn). Adding this to a normal deck seems like a recipe for disaster as you paid mana for a symmetrical effect.</t>
  </si>
  <si>
    <t>The Gitrog Monster</t>
  </si>
  <si>
    <t>Chubbiest Toad is gigantic, powerful, strange, and disgusting. Those may not all seem like good things, but let’s focus on the “powerful” part. First of all, it’s a 5-mana 6/6 deathtouch, which is obviously great. It does ask you to sacrifice a land each turn, but combined with the ability to draw each time one or more lands goes to your graveyard, that isn’t even clearly a drawback. Overall, this card is upside + upside, and at a very affordable cost. You don’t have to try and combo with it, you don’t need to take advantage of getting to play multiple lands per turn―you just have to cast it and it’ll be great.</t>
  </si>
  <si>
    <t>Invocation of Saint Traft</t>
  </si>
  <si>
    <t>If you can land this on a Spirit token, it can pressure your opponent severely. That doesn’t really make up for the fact that it provides 0 evasion or stats, and still opens you up for a 2-for-1. I’m not a fan―Geist of Saint Traft this is not.</t>
  </si>
  <si>
    <t>Nahiri, the Harbinger</t>
  </si>
  <si>
    <t>Nahiri seems great, though not unbeatable. She can reliably assassinate one creature, and the challenge will be to defend her well enough that she hits a second. Her +2 ability ticks her loyalty back up quickly so you don’t have to defend her for all that long, and the extra cards she lets you see help.There are some games where you have to hold her and wait until the opponent has a tapped creature, but if that’s the price I have to pay for my creature-killing looter of a planeswalker, I think I’ll manage.</t>
  </si>
  <si>
    <t>Olivia, Mobilized for War</t>
  </si>
  <si>
    <t>I can’t think of many scarier cards to see on turn 3. Olivia comes down, threatens to swing for 3 in the air, and implies that you will be facing a large angry 4-drop the following turn. She has good synergy with madness, which coincidentally lines up with her colors, and I expect her to be the centerpiece of any deck she’s in. Keep in mind that you don’t need to draft madness if you take Olivia―she’s great no matter what.</t>
  </si>
  <si>
    <t>Prized Amalgam</t>
  </si>
  <si>
    <t>Prized Amalgam is cheap enough and big enough that I’d be happy to play it in any blue/black deck, even without ways to trigger it. If you do have some of the uncommons that return themselves (or even Geralf’s Masterpiece), then this gets a nice boost in value. It’s not a build-around or a bomb rare, but a 3/3 for 3 with upside is still solid.</t>
  </si>
  <si>
    <t>Sigarda, Heron’s Grace</t>
  </si>
  <si>
    <t>Sigarda is gigantic and makes her own army of hexproof Humans. I’m sold. She is going to be great in any deck that can cast her, as cards go to your graveyard naturally enough that the second ability is just fantastic―no deck building work required.</t>
  </si>
  <si>
    <t>Sorin, Grim Nemesis</t>
  </si>
  <si>
    <t>Sorin is amazing, which seems to be a theme of multicolor cards this set. I guess when they are all rare or mythic there’s a lot more power to be had.Using Sorin is pretty simple as all of his abilities are great. First, -X to kill whatever your opponent is most likely to threaten Sorin with. That usually means picking off their flyer or skulk creature, or something too big for your creatures to block. If that creature happens to be too large for Sorin to handle, instead, switch to chump block mode. Start using Sorin’s +1, and take those extra cards and throw them in front of your opponent’s attackers. Eventually, you’ll draw removal or Sorin will get loyal enough to take a bigger creature out, and your opponent is losing life in the process.If you don’t have a board presence, Sorin still takes out a creature and gains you a bunch of life. If you do have one, Sorin will win you the game with ease. His high starting loyalty and excellent abilities see to that.</t>
  </si>
  <si>
    <t>Brain in a Jar</t>
  </si>
  <si>
    <t>I love cards like this, but even I have a hard time imagining the deck you’d need to draft before Brain in a Jar becomes playable. It’s only worth the mana if you are playing a spell almost every time you activate it, and paying 2+3+1 per scry is horribly inefficient as a scry mechanism. I’ll try this and report back, but I don’t have high hopes.</t>
  </si>
  <si>
    <t>Corrupted Grafstone</t>
  </si>
  <si>
    <t>Look at this, then look at Signets. Look back at this, and imagine how good artifact acceleration used to be. I’m not arguing that we should go back to that world―it’s just staggering how much worse this is than commons in Ravnica block. Acceleration that doesn’t actually accelerate you isn’t good, and the only way I’m playing this is if I have a deck with a ton of cheap spells that will make their way to the graveyard. Remember that this does stone nothing until you get a colored card into your graveyard.</t>
  </si>
  <si>
    <t>Epitaph Golem</t>
  </si>
  <si>
    <t>Imagine a 5-mana 3/5 with no abilities. If you can, you’ve successfully come up with Epitaph Golem, as there’s no reason to want to use this ability unless you are about to get decked (which will not happen very frequently at all). Only play this if you really need a 3/5, or if you are curious as to what will be written on your tombstone.</t>
  </si>
  <si>
    <t>Explosive Apparatus</t>
  </si>
  <si>
    <t>This is all smoke and no fire―I don’t want to pay 4 mana to deal 2 damage.</t>
  </si>
  <si>
    <t>Harvest Hand</t>
  </si>
  <si>
    <t>This isn’t really a flip card. It’s actually 2 cards in 1, and you generally will get to play with both if you pick Harvest Hand. A 3-mana 2/2 is not quite good enough, but once you add the ability to die into a +1/+1 equipment, it usually gets there. If you are scrounging for playables, this definitely makes the cut, and in any creature-heavy deck I’d lean toward running this.</t>
  </si>
  <si>
    <t>Haunted Cloak</t>
  </si>
  <si>
    <t>Equipment like this has very rarely been good, and Haunted Cloak doesn’t look like an exception. It’s only relevant on big creatures, and playing a card that marginally improves your big creatures is not a winning strategy.</t>
  </si>
  <si>
    <t>Magnifying Glass</t>
  </si>
  <si>
    <t>If you really need to ramp, this does provide a decent way to do it. I can’t endorse the investigate ability as a realistic card advantage machine, given how glacially slow it is, but if this is in your deck, you may get a chance to activate it once or twice. I don’t hate the idea of siding this in against control decks if you want to bolster your late game.</t>
  </si>
  <si>
    <t>Murderer’s Axe</t>
  </si>
  <si>
    <t>In an aggressive madness deck, this looks like a beating. The cost is a bit too high for me to want to just play this without synergies, but once you start getting value from the equip cost, axe away.</t>
  </si>
  <si>
    <t>Neglected Heirloom</t>
  </si>
  <si>
    <t>The baseline card here is not one I’d play. Veteran’s Sidearm was bad in Origins, and the same card is even worse in the much more powerful land of Innistrad. In order for this to make the cut, it needs to go into a deck with a lot of transform creatures (6+, ideally). Even then, I’m skeptical that this is better than a removal spell or another creature. It is neat that if this ever transforms, it’s forever going to be the more powerful Ashmouth Blade.</t>
  </si>
  <si>
    <t>Runaway Carriage</t>
  </si>
  <si>
    <t>It’s exceedingly difficult to ever trade this for something that costs as much or more mana. Your opponent won’t attack into it with a 4-drop, and will send in their 2/2s until you bite the bullet and block. It only attacks well if your opponent is at a very low life total and it doesn’t help get them there. This is another potential sideboard option, as it can answer a 5/5 if you can deal with the smaller attackers with other cards.</t>
  </si>
  <si>
    <t>Shard of Broken Glass</t>
  </si>
  <si>
    <t>Delirium decks don’t look aggressive to me, and they don’t necessarily have a ton of creatures either. This is such a marginal stat bonus that I’m not interested in fueling delirium this way, and as such, I am going to call this broken, and not in the good kind of way.</t>
  </si>
  <si>
    <t>Skeleton Key</t>
  </si>
  <si>
    <t>I don’t anticipate playing this very often, though it could be a key part of a deck full of evasion creatures. If it just drew a card, I’d be singing a different tune (still poorly though―I’m not a great singer), but having to discard means that this is some awkward evasion/madness hybrid enabler. I think I’d rather pass.</t>
  </si>
  <si>
    <t>Slayer’s Plate</t>
  </si>
  <si>
    <t>Slayer’s Plate is playable in non-Human decks if you have enough creatures, but I would be wary of getting out-tempo'd by having equipped creatures bounced or killed too often. When you pay this much mana and your opponent deals with the creature, you lose a?lot?of time. That drawback is mitigated if most of the creatures you are putting this on are Humans, especially cheap ones. The power level of this is high enough that I like the idea of it, but beware expensive equip costs.</t>
  </si>
  <si>
    <t>Tamiyo’s Journal</t>
  </si>
  <si>
    <t>How good is making a Clue each turn, with a 5-mana investment to start? It seems decent, as it will win you a long game, though it is mana-intensive. If that's all Tamiyo's Journal did, I'd be ready to close the book and move on. Luckily, Tamiyo moonlights as a Demonic Tutor (I think that's accurate, story-wise), and you can sacrifice 3 Clues to search for any card. That costs 0 mana to use, and is a huge upgrade over having to pay mana for each Clue. If you ever take a turn or two off to cast spells instead of using the Clues, you are all of a sudden given the opportunity to get any card for free. It also combines well with other Clue-makers, which makes this a card I'm very interested in playing.I still wouldn't play this in a beatdown deck, but it's a powerful addition to any midrange or control deck (and if you know are in those archetypes, the rating is a bit higher).</t>
  </si>
  <si>
    <t>Thraben Gargoyle</t>
  </si>
  <si>
    <t>As another purely defensive card, Thraben Gargoyle serves the role of early defender and late attacker admirably. Don’t play this if you are beatdown, but be glad to have it otherwise.</t>
  </si>
  <si>
    <t>True-Faith Censer</t>
  </si>
  <si>
    <t>I wouldn't play this without a bunch of Humans in my deck. At +1/+1 and vigilance, this card is just *censored*. Once you do have a sizable army of Humans, my faith in this increases greatly, as the additional point of power is a real upgrade. I'd be happy to include this in any deck with 8+ Humans as long as you have 14+ creatures total and are interested in attacking (though that includes both aggro and midrange).</t>
  </si>
  <si>
    <t>Wicker Witch</t>
  </si>
  <si>
    <t>I know that I mentioned the delirium interaction earlier, but given that it's the only reason you want this card in your deck, I'm doing so again. If you really need a 3-drop, this technically works, but I'd be scared of doing that on a regular basis.</t>
  </si>
  <si>
    <t>Wild-Field Scarecrow</t>
  </si>
  <si>
    <t>It seems obvious enough that beatdown decks don't want 1/4 defenders, but hey, better safe than sorry. This is a great card in any other deck, as it blocks well early and makes sure you don't miss land drops late. Plus, it specifically sacrifices itself, making the delirium interaction very easy to enable.</t>
  </si>
  <si>
    <t>Dual-Land Cycles (Both)</t>
  </si>
  <si>
    <t>3.0(2.99)</t>
  </si>
  <si>
    <t>But wait, isn't one of these cycles strictly better than the other? Yes, but both of them should be taken around the same time: below good playables and above replaceable ones (i.e., above most 2.5s and at or below most 3s). If you are short on playables, don't take lands, and if you are long on them, make your mana a little bit better. You deserve it. If you are splashing a third color, I'd bump these up a notch as well.</t>
  </si>
  <si>
    <t>Drownyard Temple</t>
  </si>
  <si>
    <t>In a deck with a self-mill or discard component, I'd play this as long as my mana could afford it. It's not a high priority, but it is a nice little value add.</t>
  </si>
  <si>
    <t>Westvale Abbey</t>
  </si>
  <si>
    <t>The combination of low opportunity cost and through-the-roof power (I'm pretty sure that's how Ormendahl emerges) makes me a huge fan of this card. It's fantastic in any deck, and gives you an incredibly good late-game threat without even costing a spell slot.Shadows over Innistrad looks like an awesome set. I'm interested in figuring out how many of these build-arounds are real, how fast the format is, and what the best flavor interactions are (in that order).Thanks for reading, and I encourage you to investigate it yourself!LSV				LSV is the current record holder for most wins in the Swiss portion of a Pro Tour after his perfect 16-0 run at Pro Tour San Diego 2010, although Conley Woods came close to matching that during Worlds 2011. Luis' other accomplishments include a win at Pro Tour Berlin 2008, 2nd place finish at Pro Tour Kyoto 2009, Top 8s at Pro Tour Nagoya and Worlds 2011, 8 Grand Prix Top 8s (with 4 wins), and 1st and 3rd place finishes at US Nationals. He can often be found playing Vintage in between competitions and loves any format where Force of Will is legal.				_x000D_</t>
  </si>
  <si>
    <t>Shadows over Innistrad 0 W0U0B0R0G0C0A0</t>
  </si>
  <si>
    <t>Nontoken creatures you control get +1/+1 and have vigilance.</t>
  </si>
  <si>
    <t>6WW6WW</t>
  </si>
  <si>
    <t>Flying
Delirium --- Whenever Angel of Deliverance deals damage, if there are four or more card types among cards in your graveyard, exile target creature an opponent controls.</t>
  </si>
  <si>
    <t>As an additional cost to cast Angelic Purge, sacrifice a permanent.
Exile target artifact, creature, or enchantment.</t>
  </si>
  <si>
    <t>Flying
When Apothecary Geist enters the battlefield, if you control another Spirit, you gain 3 life.</t>
  </si>
  <si>
    <t>Archangel Avacyn</t>
  </si>
  <si>
    <t>Flash
Flying, vigilance
When Archangel Avacyn enters the battlefield, creatures you control gain indestructible until end of turn.
When a non-Angel creature you control dies, transform Archangel Avacyn at the beginning of the next upkeep.</t>
  </si>
  <si>
    <t>Avacynian Missionaries</t>
  </si>
  <si>
    <t>At the beginning of your end step, if Avacynian Missionaries is equipped, transform it.</t>
  </si>
  <si>
    <t>Enchant creature
Enchanted creature can't attack, block, or transform.
Sacrifice another permanent: Attach Bound by Moonsilver to target creature. Activate this ability only any time you could cast a sorcery and only once each turn.</t>
  </si>
  <si>
    <t>Flying
Whenever you cast a creature spell with converted mana cost 3 or less, investigate. （Put a colorless Clue artifact token onto the battlefield with \"{2}, Sacrifice this artifact: Draw a card.\"）</t>
  </si>
  <si>
    <t>Cathar's Companion</t>
  </si>
  <si>
    <t>Whenever you cast a noncreature spell, Cathar's Companion gains indestructible until end of turn. （Damage and effects that say \"destroy\" don't destroy it.）</t>
  </si>
  <si>
    <t>Chaplain's Blessing</t>
  </si>
  <si>
    <t>You gain 5 life.</t>
  </si>
  <si>
    <t>{1}{W}, Exile Dauntless Cathar from your graveyard: Put a 1/1 white Spirit creature token with flying onto the battlefield. Activate this ability only any time you could cast a sorcery.</t>
  </si>
  <si>
    <t>Exile target creature and all other creatures its controller controls with the same name as that creature. That player investigates for each nontoken creature exiled this way.</t>
  </si>
  <si>
    <t>Exile all creatures.
Delirium --- Put a 4/4 white Angel creature token with flying onto the battlefield if there are four or more card types among cards in your graveyard.</t>
  </si>
  <si>
    <t>Flying
Whenever another Spirit enters the battlefield under your control, you gain 2 life.
{3}{W}: Put a 1/1 white Spirit creature token with flying onto the battlefield.</t>
  </si>
  <si>
    <t>Exile any number of target creatures you control. Return those cards to the battlefield under their owner's control at the beginning of the next end step.</t>
  </si>
  <si>
    <t>Flying
When Emissary of the Sleepless enters the battlefield, if a creature died this turn, put a 1/1 white Spirit creature token with flying onto the battlefield.</t>
  </si>
  <si>
    <t>Creatures you control get +2/+1 until end of turn.</t>
  </si>
  <si>
    <t>Tap up to two target creatures.
Investigate. （Put a colorless Clue artifact token onto the battlefield with \"{2}, Sacrifice this artifact: Draw a card.\"）</t>
  </si>
  <si>
    <t>Gryff's Boon</t>
  </si>
  <si>
    <t>Enchant creature
Enchanted creature gets +1/+0 and has flying.
{3}{W}: Return Gryff's Boon from your graveyard to the battlefield attached to target creature. Activate this ability only any time you could cast a sorcery.</t>
  </si>
  <si>
    <t>Hanweir Militia Captain</t>
  </si>
  <si>
    <t>At the beginning of your upkeep, if you control four or more creatures, transform Hanweir Militia Captain.</t>
  </si>
  <si>
    <t>Enchant creature
Enchanted creature gets +1/+1 for each creature you control.
As long as enchanted creature is a Human, it has first strike.</t>
  </si>
  <si>
    <t>Destroy target creature with power 4 or greater.
Investigate. （Put a colorless Clue artifact token onto the battlefield with \"{2}, Sacrifice this artifact: Draw a card.\"）</t>
  </si>
  <si>
    <t>Inquisitor's Ox</t>
  </si>
  <si>
    <t>Delirium --- Inquisitor's Ox gets +1/+0 and has vigilance as long as there are four or more card types among cards in your graveyard.</t>
  </si>
  <si>
    <t>When Inspiring Captain enters the battlefield, creatures you control get +1/+1 until end of turn.</t>
  </si>
  <si>
    <t>Militant Inquisitor gets +1/+0 for each Equipment you control.</t>
  </si>
  <si>
    <t>Delirium --- Moorland Drifter has flying as long as there are four or more card types among cards in your graveyard.</t>
  </si>
  <si>
    <t>Nahiri's Machinations</t>
  </si>
  <si>
    <t>At the beginning of combat on your turn, target creature you control gains indestructible until end of turn.
{1}{R}: Nahiri's Machinations deals 1 damage to target blocking creature.</t>
  </si>
  <si>
    <t>Lifelink
{2}{W}, Exile Nearheath Chaplain from your graveyard: Put two 1/1 white Spirit creature tokens with flying onto the battlefield. Activate this ability only any time you could cast a sorcery.</t>
  </si>
  <si>
    <t>Put target card from a graveyard on the top or bottom of its owner's library. Put a 1/1 white Spirit creature token with flying onto the battlefield.</t>
  </si>
  <si>
    <t>Odric</t>
  </si>
  <si>
    <t xml:space="preserve"> Lunarch Marshal</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</si>
  <si>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</si>
  <si>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Search your library for an Aura or Equipment card, reveal it, and put it into your hand. Then shuffle your library.</t>
  </si>
  <si>
    <t>Delirium --- Paranoid Parish-Blade gets +1/+0 and has first strike as long as there are four or more card types among cards in your graveyard.</t>
  </si>
  <si>
    <t>Pious Evangel</t>
  </si>
  <si>
    <t>Whenever Pious Evangel or another creature enters the battlefield under your control, you gain 1 life.
{2}, {T}, Sacrifice another permanent: Transform Pious Evangel.</t>
  </si>
  <si>
    <t>Destroy target attacking or blocking creature with power 3 or less.</t>
  </si>
  <si>
    <t>Flying
Delirium --- Sacrifice another creature: Reaper of Flight Moonsilver gets +2/+1 until end of turn. Activate this ability only if there are four or more card types among cards in your graveyard.</t>
  </si>
  <si>
    <t>Destroy target attacking creature. You gain 3 life.</t>
  </si>
  <si>
    <t>Flying
{1}{U}: Return target Spirit you control to its owner's hand.</t>
  </si>
  <si>
    <t>{T}, Discard a card: Tap target creature.</t>
  </si>
  <si>
    <t>Target creature gets +2/+2 until end of turn. If you control an Equipment, put a 1/1 white Human Soldier creature token onto the battlefield.</t>
  </si>
  <si>
    <t>Target creature gets +1/+0 and gains indestructible until end of turn. （Damage and effects that say \"destroy\" don't destroy it.）
Investigate. （Put a colorless Clue artifact token onto the battlefield with \"{2}, Sacrifice this artifact: Draw a card.\"）</t>
  </si>
  <si>
    <t>Creatures you control get +1/+1 and gain lifelink until end of turn. Untap those creatures.</t>
  </si>
  <si>
    <t>Thalia's Lieutenant</t>
  </si>
  <si>
    <t>When Thalia's Lieutenant enters the battlefield, put a +1/+1 counter on each other Human you control.
Whenever another Human enters the battlefield under your control, put a +1/+1 counter on Thalia's Lieutenant.</t>
  </si>
  <si>
    <t>When Thraben Inspector enters the battlefield, investigate. （Put a colorless Clue artifact token onto the battlefield with \"{2}, Sacrifice this artifact: Draw a card.\"）</t>
  </si>
  <si>
    <t>Flying
When Topplegeist enters the battlefield, tap target creature an opponent controls.
Delirium --- At the beginning of each opponent's upkeep, if there are four or more card types among cards in your graveyard, tap target creature that player controls.</t>
  </si>
  <si>
    <t>{T}, Tap an untapped creature you control: Transform Town Gossipmonger.</t>
  </si>
  <si>
    <t>Whenever another creature you control dies, put a +1/+1 counter on Unruly Mob.</t>
  </si>
  <si>
    <t>{2}{W}, Sacrifice Vessel of Ephemera: Put two 1/1 white Spirit creature tokens with flying onto the battlefield.</t>
  </si>
  <si>
    <t>Flying
At the beginning of your upkeep, put the top card of your library into your graveyard. If it's an instant or sorcery card, transform Aberrant Researcher.</t>
  </si>
  <si>
    <t>1UU1UU</t>
  </si>
  <si>
    <t>Counter target spell.
Madness {3}{U} （If you discard this card, discard it into exile. When you do, cast it for its madness cost or put it into your graveyard.）</t>
  </si>
  <si>
    <t>Draw two cards, then discard a card.</t>
  </si>
  <si>
    <t>Return target nonland permanent to its owner's hand. Then that player discards a card if you control a Zombie.</t>
  </si>
  <si>
    <t>Counter target spell.
Investigate three times. （To investigate, put a colorless Clue artifact token onto the battlefield with \"{2}, Sacrifice this artifact: Draw a card.\"）</t>
  </si>
  <si>
    <t>When you sacrifice a Clue, transform Daring Sleuth.</t>
  </si>
  <si>
    <t>Counter target creature spell. If that spell is countered this way, exile it instead of putting it into its owner's graveyard.</t>
  </si>
  <si>
    <t>When Drownyard Explorers enters the battlefield, investigate. （Put a colorless Clue artifact token onto the battlefield with \"{2}, Sacrifice this artifact: Draw a card.\"）</t>
  </si>
  <si>
    <t>When Drunau Corpse Trawler enters the battlefield, put a 2/2 black Zombie creature token onto the battlefield.
{2}{B}: Target Zombie gains deathtouch until end of turn.</t>
  </si>
  <si>
    <t>Return to their owners' hands all creatures with toughness less than or equal to the number of Islands you control.</t>
  </si>
  <si>
    <t>ＸUＸU</t>
  </si>
  <si>
    <t>Reveal the top X plus one cards of your library and separate them into two piles. An opponent chooses one of those piles. Put that pile into your hand and the other into your graveyard.</t>
  </si>
  <si>
    <t>Flying
Whenever you investigate for the first time each turn, investigate an additional time.</t>
  </si>
  <si>
    <t>Exile target creature you control, then return that card to the battlefield under its owner's control. If it's a Spirit, put a +1/+1 counter on it.</t>
  </si>
  <si>
    <t>When Fleeting Memories enters the battlefield, investigate. （Put a colorless Clue artifact token onto the battlefield with \"{2}, Sacrifice this artifact: Draw a card.\"）
Whenever you sacrifice a Clue, target player puts the top three cards of his or her library into his or her graveyard.</t>
  </si>
  <si>
    <t>Skulk （This creature can't be blocked by creatures with greater power.）
At the beginning of your upkeep, you may discard all the cards in your hand. If you do, draw that many cards.</t>
  </si>
  <si>
    <t>Skulk （This creature can't be blocked by creatures with greater power.）</t>
  </si>
  <si>
    <t>Geralf's Masterpiece</t>
  </si>
  <si>
    <t>Flying
Geralf's Masterpiece gets -1/-1 for each card in your hand.
{3}{U}, Discard three cards: Return Geralf's Masterpiece from your graveyard to the battlefield tapped.</t>
  </si>
  <si>
    <t>Enchant creature
Enchanted creature gets +1/+1 and has flying.
Discard a card: Return enchanted creature to its owner's hand.</t>
  </si>
  <si>
    <t>4U4U</t>
  </si>
  <si>
    <t>Put target permanent on top of its owner's library.
Investigate. （Put a colorless Clue artifact token onto the battlefield with \"{2}, Sacrifice this artifact: Draw a card.\"）</t>
  </si>
  <si>
    <t>Counter target sorcery spell.
Delirium --- If there are four or more card types among cards in your graveyard, search the graveyard, hand, and library of that spell's controller for any number of cards with the same name as that spell, exile those cards, then that player shuffles his or her library.</t>
  </si>
  <si>
    <t>Jace</t>
  </si>
  <si>
    <t xml:space="preserve"> Unraveler of Secrets</t>
  </si>
  <si>
    <t>+1: Scry 1, then draw a card.
-2: Return target creature to its owner's hand.
-8: You get an emblem with \"Whenever an opponent casts his or her first spell each turn, counter that spell.\"</t>
  </si>
  <si>
    <t>Jace's Scrutiny</t>
  </si>
  <si>
    <t>Target creature gets -4/-0 until end of turn.
Investigate. （Put a colorless Clue artifact token onto the battlefield with \"{2}, Sacrifice this artifact: Draw a card.\"）</t>
  </si>
  <si>
    <t>Return target creature to its owner's hand.
Madness {U} （If you discard this card, discard it into exile. When you do, cast it for its madness cost or put it into your graveyard.）</t>
  </si>
  <si>
    <t>When Lamplighter of Selhoff enters the battlefield, if you control another Zombie, you may draw a card. If you do, discard a card.</t>
  </si>
  <si>
    <t>When Manic Scribe enters the battlefield, each opponent puts the top three cards of his or her library into his or her graveyard.
Delirium --- At the beginning of each opponent's upkeep, if there are four or more card types among cards in your graveyard, that player puts the top three cards of his or her library into his or her graveyard.</t>
  </si>
  <si>
    <t>Look at the top two cards of your library. Put one of them into your hand and the other into your graveyard.
Madness {1}{U} （If you discard this card, discard it into exile. When you do, cast it for its madness cost or put it into your graveyard.）</t>
  </si>
  <si>
    <t>Flying
When Nephalia Moondrakes enters the battlefield, target creature gains flying until end of turn.
{4}{U}{U}, Exile Nephalia Moondrakes from your graveyard: Creatures you control gain flying until end of turn.</t>
  </si>
  <si>
    <t>Flying
Prowess （Whenever you cast a noncreature spell, this creature gets +1/+1 until end of turn.）</t>
  </si>
  <si>
    <t>Whenever one or more creatures you control deal combat damage to a player, investigate. （Put a colorless Clue artifact token onto the battlefield with \"{2}, Sacrifice this artifact: Draw a card.\"）
{1}{G}, Exile a creature card from your graveyard: Investigate. You gain 2 life.</t>
  </si>
  <si>
    <t>Reveal the top five cards of your library. Put up to two instant and/or sorcery cards from among them into your hand and the rest into your graveyard.</t>
  </si>
  <si>
    <t>Draw three cards, untap up to two lands, then discard a card.</t>
  </si>
  <si>
    <t>Tap target creature. It doesn't untap during its controller's next untap step.
Investigate. （Put a colorless Clue artifact token onto the battlefield with \"{2}, Sacrifice this artifact: Draw a card.\"）</t>
  </si>
  <si>
    <t>Flash
Flying
When Rattlechains enters the battlefield, target Spirit gains hexproof until end of turn.
You may cast Spirit spells as though they had flash.</t>
  </si>
  <si>
    <t>{T}: Target player draws a card, then discards a card.</t>
  </si>
  <si>
    <t>5U5U</t>
  </si>
  <si>
    <t>Put a 2/2 black Zombie creature token onto the battlefield tapped for each instant and sorcery card in your graveyard.</t>
  </si>
  <si>
    <t>Silburlind Snapper can't attack unless you've cast a noncreature spell this turn.</t>
  </si>
  <si>
    <t>Enchant creature
When Sleep Paralysis enters the battlefield, tap enchanted creature.
Enchanted creature doesn't untap during its controller's untap step.</t>
  </si>
  <si>
    <t>Target opponent puts the top thirteen cards of his or her library into his or her graveyard.
{3}{U}{U}: Put Startled Awake from your graveyard onto the battlefield transformed. Activate this ability only any time you could cast a sorcery.</t>
  </si>
  <si>
    <t>Stitched Mangler enters the battlefield tapped.
When Stitched Mangler enters the battlefield, tap target creature an opponent controls. That creature doesn't untap during its controller's next untap step.</t>
  </si>
  <si>
    <t>Flying
{1}{U}, Discard two cards: Return Stitchwing Skaab from your graveyard to the battlefield tapped.</t>
  </si>
  <si>
    <t>Flash （You may cast this spell any time you could cast an instant.）
Flying</t>
  </si>
  <si>
    <t>Defender
Thing in the Ice enters the battlefield with four ice counters on it.
Whenever you cast an instant or sorcery spell, remove an ice counter from Thing in the Ice. Then if it has no ice counters on it, transform it.</t>
  </si>
  <si>
    <t>Whenever you cast an instant or sorcery spell, investigate. （Put a colorless Clue artifact token onto the battlefield with \"{2}, Sacrifice this artifact: Draw a card.\"）</t>
  </si>
  <si>
    <t>Skulk （This creature can't be blocked by creatures with greater power.）
When Uninvited Geist deals combat damage to a player, transform it.</t>
  </si>
  <si>
    <t>{U}, Sacrifice Vessel of Paramnesia: Target player puts the top three cards of his or her library into his or her graveyard. Draw a card.</t>
  </si>
  <si>
    <t>Madness {X}{U}{U} （If you discard this card, discard it into exile. When you do, cast it for its madness cost or put it into your graveyard.）
Gain control of target creature if its toughness is 2 or less. If Welcome to the Fold's madness cost was paid, instead gain control of that creature if its toughness is X or less.</t>
  </si>
  <si>
    <t>Spells your opponents cast that target Accursed Witch cost {1} less to cast.
When Accursed Witch dies, return it to the battlefield transformed under your control attached to target opponent.</t>
  </si>
  <si>
    <t>Target opponent loses 3 life and you gain 3 life.
Madness {B} （If you discard this card, discard it into exile. When you do, cast it for its madness cost or put it into your graveyard.）</t>
  </si>
  <si>
    <t>At the beginning of each player's upkeep, if that player has no cards in hand, you draw a card and you lose 1 life.
Madness {1}{B} （If you discard this card, discard it into exile. When you do, cast it for its madness cost or put it into your graveyard.）</t>
  </si>
  <si>
    <t>Creatures you control have skulk. （They can't be blocked by creatures with greater power.）
{4}{W}: Creatures you control get +1/+1 until end of turn.</t>
  </si>
  <si>
    <t>Discard your hand. Search your library for three cards and put those cards into your hand. Then shuffle your library.</t>
  </si>
  <si>
    <t>2BB2BB</t>
  </si>
  <si>
    <t>All creatures get -2/-2 until end of turn.
Madness {2}{B} （If you discard this card, discard it into exile. When you do, cast it for its madness cost or put it into your graveyard.）</t>
  </si>
  <si>
    <t>{1}, Discard a card: Put a 1/1 black Vampire Knight creature token with lifelink onto the battlefield. Activate this ability only once each turn.</t>
  </si>
  <si>
    <t>At the beginning of your upkeep, each player discards a card. Each opponent who discarded a card that shares a card type with the card you discarded loses 3 life. （Players reveal the discarded cards simultaneously.）</t>
  </si>
  <si>
    <t>Flying
When Crow of Dark Tidings enters the battlefield or dies, put the top two cards of your library into your graveyard.</t>
  </si>
  <si>
    <t>Enchant creature
Enchanted creature gets -2/-2.</t>
  </si>
  <si>
    <t>Diregraf Colossus enters the battlefield with a +1/+1 counter on it for each Zombie card in your graveyard.
Whenever you cast a Zombie spell, put a 2/2 black Zombie creature token onto the battlefield tapped.</t>
  </si>
  <si>
    <t>{1}, Discard a card: Transform Elusive Tormentor.</t>
  </si>
  <si>
    <t>Return up to two target creature cards from your graveyard to the battlefield. Each of those creatures is a black Zombie in addition to its other colors and types. Put Ever After on the bottom of its owner's library.</t>
  </si>
  <si>
    <t>Madness {X}{B}{B} （If you discard this card, discard it into exile. When you do, cast it for its madness cost or put it into your graveyard.）
Put three 2/2 black Zombie creature tokens onto the battlefield tapped and you gain 3 life. If From Under the Floorboards's madness cost was paid, instead put X of those tokens onto the battlefield tapped and you gain X life.</t>
  </si>
  <si>
    <t>Ghoulcaller's Accomplice</t>
  </si>
  <si>
    <t>{3}{B}, Exile Ghoulcaller's Accomplice from your graveyard: Put a 2/2 black Zombie creature token onto the battlefield. Activate this ability only any time you could cast a sorcery.</t>
  </si>
  <si>
    <t>{2}{B}, Discard two cards: Return Ghoulsteed from your graveyard to the battlefield tapped.</t>
  </si>
  <si>
    <t>Gisa's Bidding</t>
  </si>
  <si>
    <t>Put two 2/2 black Zombie creature tokens onto the battlefield.
Madness {2}{B} （If you discard this card, discard it into exile. When you do, cast it for its madness cost or put it into your graveyard.）</t>
  </si>
  <si>
    <t>Target creature gets +3/+1 and gains lifelink until end of turn. （Damage dealt by the creature also causes its controller to gain that much life.）</t>
  </si>
  <si>
    <t>Discard a card: Transform Heir of Falkenrath. Activate this ability only once each turn.</t>
  </si>
  <si>
    <t>Delirium --- Hound of the Farbogs has menace as long as there are four or more card types among cards in your graveyard. （A creature with menace can't be blocked except by two or more creatures.）</t>
  </si>
  <si>
    <t>Lifelink
{2}, Sacrifice a creature: Put a +1/+1 counter on each Vampire you control.</t>
  </si>
  <si>
    <t>Delirium --- {2}{B}: Transform Kindly Stranger. Activate this ability only if there are four or more card types among cards in your graveyard.</t>
  </si>
  <si>
    <t>Liliana's Indignation</t>
  </si>
  <si>
    <t>ＸBＸB</t>
  </si>
  <si>
    <t>Put the top X cards of your library into your graveyard. Target player loses 2 life for each creature card put into your graveyard this way.</t>
  </si>
  <si>
    <t>Return up to two target creature cards from your graveyard to your hand, then discard a card.</t>
  </si>
  <si>
    <t>Flying
{2}{B}, Discard a card: Put two +1/+1 counters on Markov Dreadknight.</t>
  </si>
  <si>
    <t>As an additional cost to cast Merciless Resolve, sacrifice a creature or land.
Draw two cards.</t>
  </si>
  <si>
    <t>Flying, trample
When Mindwrack Demon enters the battlefield, put the top four cards of your library into your graveyard.
Delirium --- At the beginning of your upkeep, you lose 4 life unless there are four or more card types among cards in your graveyard.</t>
  </si>
  <si>
    <t>Menace （This creature can't be blocked except by two or more creatures.）
Whenever Morkrut Necropod attacks or blocks, sacrifice another creature or land.</t>
  </si>
  <si>
    <t>Destroy target tapped creature.
Madness {1}{B} （If you discard this card, discard it into exile. When you do, cast it for its madness cost or put it into your graveyard.）</t>
  </si>
  <si>
    <t>Olivia's Bloodsworn</t>
  </si>
  <si>
    <t>Flying
Olivia's Bloodsworn can't block.
{R}: Target Vampire gains haste until end of turn.</t>
  </si>
  <si>
    <t>Skulk （This creature can't be blocked by creatures with greater power.）
When Pale Rider of Trostad enters the battlefield, discard a card.</t>
  </si>
  <si>
    <t>Target opponent reveals his or her hand. You choose a nonland card from it and exile that card.
Delirium --- If there are four or more card types among cards in your graveyard, search that player's graveyard, hand, and library for any number of cards with the same name as the exiled card, exile those cards, then that player shuffles his or her library.</t>
  </si>
  <si>
    <t>Skulk （This creature can't be blocked by creatures with greater power.）
Deathtouch （Any amount of damage this deals to a creature is enough to destroy it.）</t>
  </si>
  <si>
    <t>Menace （This creature can't be blocked except by two or more creatures.）
When Relentless Dead dies, you may pay {B}. If you do, return it to its owner's hand.
When Relentless Dead dies, you may pay {X}. If you do, return another target Zombie creature card with converted mana cost X from your graveyard to the battlefield.</t>
  </si>
  <si>
    <t>When Rottenheart Ghoul dies, target player discards a card.</t>
  </si>
  <si>
    <t>{2}{B}: Return Sanitarium Skeleton from your graveyard to your hand.</t>
  </si>
  <si>
    <t>Exile target creature card from a graveyard. Put a 2/2 black Zombie creature token onto the battlefield. You gain 2 life.</t>
  </si>
  <si>
    <t>{B}, Pay 1 life, Put the top card of your library into your graveyard, Discard a card, Sacrifice Sinister Concoction: Destroy target creature.</t>
  </si>
  <si>
    <t>Delirium --- {1}{B}: Stallion of Ashmouth gets +1/+1 until end of turn. Activate this ability only if there are four or more card types among cards in your graveyard.</t>
  </si>
  <si>
    <t>When Stromkirk Mentor enters the battlefield, put a +1/+1 counter on another target Vampire you control.</t>
  </si>
  <si>
    <t>Target creature gets -4/-4 until end of turn.</t>
  </si>
  <si>
    <t>Target player sacrifices a creature or planeswalker.
Delirium --- If there are four or more card types among cards in your graveyard, instead that player sacrifices a creature and a planeswalker.</t>
  </si>
  <si>
    <t>When Tooth Collector enters the battlefield, target creature an opponent controls gets -1/-1 until end of turn.
Delirium --- At the beginning of each opponent's upkeep, if there are four or more card types among cards in your graveyard, target creature that player controls gets -1/-1 until end of turn.</t>
  </si>
  <si>
    <t>At the beginning of your upkeep, choose one ---
? Each player with exactly 13 life loses the game, then each player gains 1 life.
? Each player with exactly 13 life loses the game, then each player loses 1 life.</t>
  </si>
  <si>
    <t>{1}{B}, Sacrifice Vessel of Malignity: Target opponent exiles two cards from his or her hand. Activate this ability only any time you could cast a sorcery.</t>
  </si>
  <si>
    <t>Madness {X}{R} （If you discard this card, discard it into exile. When you do, cast it for its madness cost or put it into your graveyard.）
Avacyn's Judgment deals 2 damage divided as you choose among any number of target creatures and/or players. If Avacyn's Judgment's madness cost was paid, it deals X damage divided as you choose among those creatures and/or players instead.</t>
  </si>
  <si>
    <t>Whenever Bloodmad Vampire deals combat damage to a player, put a +1/+1 counter on it.
Madness {1}{R} （If you discard this card, discard it into exile. When you do, cast it for its madness cost or put it into your graveyard.）</t>
  </si>
  <si>
    <t>At the beginning of each upkeep, if no spells were cast last turn, transform Breakneck Rider.</t>
  </si>
  <si>
    <t>ＸRＸR</t>
  </si>
  <si>
    <t>Burn from Within deals X damage to target creature or player. If a creature is dealt damage this way, it loses indestructible until end of turn. If that creature would die this turn, exile it instead.</t>
  </si>
  <si>
    <t>At the beginning of each upkeep, if no spells were cast last turn, transform Convicted Killer.</t>
  </si>
  <si>
    <t>Put two 1/1 red Devil creature tokens onto the battlefield. They have \"When this creature dies, it deals 1 damage to target creature or player.\"</t>
  </si>
  <si>
    <t>Devils' Playground</t>
  </si>
  <si>
    <t>4RR4RR</t>
  </si>
  <si>
    <t>Put four 1/1 red Devil creature tokens onto the battlefield. They have \"When this creature dies, it deals 1 damage to target creature or player.\"</t>
  </si>
  <si>
    <t>Target blocking creature fights another target blocking creature.</t>
  </si>
  <si>
    <t>Dual Shot deals 1 damage to each of up to two target creatures.</t>
  </si>
  <si>
    <t>Haste
{1}{R}: Ember-Eye Wolf gets +2/+0 until end of turn.</t>
  </si>
  <si>
    <t>Each Vampire creature card you own that isn't on the battlefield has madness. The madness cost is equal to its mana cost. （If you discard a card with madness, discard it into exile. When you do, cast it for its madness cost or put it into your graveyard.）</t>
  </si>
  <si>
    <t>Fiery Temper deals 3 damage to target creature or player.
Madness {R} （If you discard this card, discard it into exile. When you do, cast it for its madness cost or put it into your graveyard.）</t>
  </si>
  <si>
    <t>Flying
Whenever a source an opponent controls deals damage to you or a permanent you control, you may have Flameblade Angel deal 1 damage to that source's controller.</t>
  </si>
  <si>
    <t>At the beginning of each upkeep, if no spells were cast last turn, transform Gatstaf Arsonists.</t>
  </si>
  <si>
    <t>Haste
At the beginning of each upkeep, if no spells were cast last turn, transform Geier Reach Bandit.</t>
  </si>
  <si>
    <t>Geistblast deals 2 damage to target creature or player.
{2}{U}, Exile Geistblast from your graveyard: Copy target instant or sorcery spell you control. You may choose new targets for the copy.</t>
  </si>
  <si>
    <t>When Gibbering Fiend enters the battlefield, it deals 1 damage to each opponent.
Delirium --- At the beginning of each opponent's upkeep, if there are four or more card types among cards in your graveyard, Gibbering Fiend deals 1 damage to that player.</t>
  </si>
  <si>
    <t>Goldnight Castigator</t>
  </si>
  <si>
    <t>Flying, haste
If a source would deal damage to you, it deals double that damage to you instead.
If a source would deal damage to Goldnight Castigator, it deals double that damage to Goldnight Castigator instead.</t>
  </si>
  <si>
    <t>Whenever you cast an instant or sorcery spell from your hand, you may cast target card with the same name as that spell from your graveyard. （You still pay its costs.）</t>
  </si>
  <si>
    <t>Howlpack Wolf can't block unless you control another Wolf or Werewolf.</t>
  </si>
  <si>
    <t>Haste
Madness {2}{R} （If you discard this card, discard it into exile. When you do, cast it for its madness cost or put it into your graveyard.）</t>
  </si>
  <si>
    <t>Target creature deals damage to itself equal to its power.</t>
  </si>
  <si>
    <t>Menace （This creature can't be blocked except by two or more creatures.）
Discard a card, Sacrifice Insolent Neonate: Draw a card.</t>
  </si>
  <si>
    <t>Whenever Kessig Forgemaster blocks or becomes blocked by a creature, Kessig Forgemaster deals 1 damage to that creature.
At the beginning of each upkeep, if no spells were cast last turn, transform Kessig Forgemaster.</t>
  </si>
  <si>
    <t>As an additional cost to cast Lightning Axe, discard a card or pay {5}.
Lightning Axe deals 5 damage to target creature.</t>
  </si>
  <si>
    <t>Haste
{T}, Discard a card: Draw a card.</t>
  </si>
  <si>
    <t>Creatures without flying can't block this turn.</t>
  </si>
  <si>
    <t>Gain control of target creature until end of turn. Untap that creature. It gets +2/+0 and gains haste until end of turn.
Madness {3}{R} （If you discard this card, discard it into exile. When you do, cast it for its madness cost or put it into your graveyard.）</t>
  </si>
  <si>
    <t>Trample
Whenever you cast an instant or sorcery spell, put a +1/+1 counter on Pyre Hound.</t>
  </si>
  <si>
    <t>Discard a card: Ravenous Bloodseeker gets +2/-2 until end of turn.</t>
  </si>
  <si>
    <t>Reduce to Ashes</t>
  </si>
  <si>
    <t>Reduce to Ashes deals 5 damage to target creature. If that creature would die this turn, exile it instead.</t>
  </si>
  <si>
    <t>Target creature gets +2/+1 and gains trample until end of turn.</t>
  </si>
  <si>
    <t>Prowess （Whenever you cast a noncreature spell, this creature gets +1/+1 until end of turn.）</t>
  </si>
  <si>
    <t>RRRR</t>
  </si>
  <si>
    <t>First strike
Delirium --- Scourge Wolf has double strike as long as there are four or more card types among cards in your graveyard.</t>
  </si>
  <si>
    <t>Enchant creature
Enchanted creature gets +2/+2.
Madness {1}{R} （If you discard this card, discard it into exile. When you do, cast it for its madness cost or put it into your graveyard.）</t>
  </si>
  <si>
    <t>Menace
At the beginning of your upkeep, reveal the top card of your library. Any opponent may have you put that card into your graveyard. If a player does, Sin Prodder deals damage to that player equal to that card's converted mana cost. Otherwise, put that card into your hand.</t>
  </si>
  <si>
    <t>Enchant creature
Enchanted creature attacks each combat if able.
When enchanted creature dies, return Skin Invasion to the battlefield transformed under your control.</t>
  </si>
  <si>
    <t>Flash （You may cast this spell any time you could cast an instant.）
Enchant creature
Enchanted creature gets +3/+0 and has first strike.</t>
  </si>
  <si>
    <t>Attacking creatures you control have first strike.
Whenever a Vampire you control deals combat damage to a player, put a +1/+1 counter on it.
Madness {2}{R} （If you discard this card, discard it into exile. When you do, cast it for its madness cost or put it into your graveyard.）</t>
  </si>
  <si>
    <t>Exile target artifact or land. Structural Distortion deals 2 damage to that permanent's controller.</t>
  </si>
  <si>
    <t>As an additional cost to cast Tormenting Voice, discard a card.
Draw two cards.</t>
  </si>
  <si>
    <t>Ulrich's Kindred</t>
  </si>
  <si>
    <t>Trample
{3}{G}: Target attacking Wolf or Werewolf gains indestructible until end of turn.</t>
  </si>
  <si>
    <t>Target creature gets +1/+1 and gains double strike until end of turn. （It deals both first-strike and regular combat damage.）</t>
  </si>
  <si>
    <t>{1}{R}, Sacrifice Vessel of Volatility: Add {R}{R}{R}{R} to your mana pool.</t>
  </si>
  <si>
    <t>Haste
At the beginning of each upkeep, if no spells were cast last turn, transform Village Messenger.</t>
  </si>
  <si>
    <t>Haste
When Voldaren Duelist enters the battlefield, target creature can't block this turn.</t>
  </si>
  <si>
    <t>Wolf of Devil's Breach</t>
  </si>
  <si>
    <t>Whenever Wolf of Devil's Breach attacks, you may pay {1}{R} and discard a card. If you do, Wolf of Devil's Breach deals damage to target creature or planeswalker equal to the discarded card's converted mana cost.</t>
  </si>
  <si>
    <t>Untap target creature. It gets +2/+2 and gains reach until end of turn. （It can block creatures with flying.）</t>
  </si>
  <si>
    <t>{B}: Put the top card of your library into your graveyard.
Delirium --- At the beginning of your end step, if there are four or more card types among cards in your graveyard, transform Autumnal Gloom.</t>
  </si>
  <si>
    <t>Whenever Briarbridge Patrol deals damage to one or more creatures, investigate. （Put a colorless Clue artifact token onto the battlefield with \"{2}, Sacrifice this artifact: Draw a card.\"）
At the beginning of each end step, if you sacrificed three or more Clues this turn, you may put a creature card from your hand onto the battlefield.</t>
  </si>
  <si>
    <t>When Byway Courier dies, investigate. （Put a colorless Clue artifact token onto the battlefield with \"{2}, Sacrifice this artifact: Draw a card.\"）</t>
  </si>
  <si>
    <t>Each opponent sacrifices a creature with flying.</t>
  </si>
  <si>
    <t>Investigate, then target creature gets +1/+1 until end of turn for each Clue you control. （To investigate, put a colorless Clue artifact token onto the battlefield with \"{2}, Sacrifice this artifact: Draw a card.\"）</t>
  </si>
  <si>
    <t>At the beginning of your upkeep, you may put the top two cards of your library into your graveyard.
Whenever one or more land cards are put into your graveyard from anywhere for the first time each turn, put a 1/1 green Insect creature token onto the battlefield.</t>
  </si>
  <si>
    <t>Creatures you control have \"{T}: Add one mana of any color to your mana pool.\"</t>
  </si>
  <si>
    <t>Whenever a permanent you control transforms into a non-Human creature, put a 2/2 green Wolf creature token onto the battlefield.</t>
  </si>
  <si>
    <t>{T}: Add {B} or {G} to your mana pool.
Delirium --- Deathcap Cultivator has deathtouch as long as there are four or more card types among cards in your graveyard.</t>
  </si>
  <si>
    <t>{2}{G}: Look at the top three cards of your library. You may reveal a creature card from among them and put it into your hand. Put the rest on the bottom of your library in any order.
At the beginning of each upkeep, if no spells were cast last turn, transform Duskwatch Recruiter.</t>
  </si>
  <si>
    <t>Enchant creature
Enchanted creature gets +3/+3.
As long as enchanted creature is a Human, it has trample.</t>
  </si>
  <si>
    <t>Search your library for up to two basic land cards and reveal them. Put one into your hand and the other into your graveyard. Then shuffle your library.</t>
  </si>
  <si>
    <t>2G</t>
  </si>
  <si>
    <t>Reach
Gloomwidow can block only creatures with flying.</t>
  </si>
  <si>
    <t>Whenever you sacrifice a Clue, you gain 3 life.</t>
  </si>
  <si>
    <t>{1}{G}: Return target basic land card from your graveyard to your hand.</t>
  </si>
  <si>
    <t>Whenever an opponent casts a spell during your turn, draw a card.
At the beginning of each upkeep, if no spells were cast last turn, transform Hermit of the Natterknolls.</t>
  </si>
  <si>
    <t>At the beginning of each upkeep, if no spells were cast last turn, transform Hinterland Logger.</t>
  </si>
  <si>
    <t>Flash （You may cast this spell any time you could cast an instant.）
Each creature you control that's a Wolf or a Werewolf gets +1/+1 and has trample.</t>
  </si>
  <si>
    <t>Delirium --- Whenever Inexorable Blob attacks, if there are four or more card types among cards in your graveyard, put a 3/3 green Ooze creature token onto the battlefield tapped and attacking.</t>
  </si>
  <si>
    <t>Trample
When Intrepid Provisioner enters the battlefield, another target Human you control gets +2/+2 until end of turn.</t>
  </si>
  <si>
    <t>Delirium --- Kessig Dire Swine has trample as long as there are four or more card types among cards in your graveyard.</t>
  </si>
  <si>
    <t>Lambholt Pacifist can't attack unless you control a creature with power 4 or greater.
At the beginning of each upkeep, if no spells were cast last turn, transform Lambholt Pacifist.</t>
  </si>
  <si>
    <t>{T}, Tap an untapped creature you control: Add one mana of any color to your mana pool.</t>
  </si>
  <si>
    <t>Put two +1/+1 counters on target creature.
Delirium --- Put three +1/+1 counters on that creature instead if there are four or more card types among cards in your graveyard.</t>
  </si>
  <si>
    <t>Delirium --- Moldgraf Scavenger gets +3/+0 as long as there are four or more card types among cards in your graveyard.</t>
  </si>
  <si>
    <t>Choose target creature you don't control. Each creature you control that's a Wolf or a Werewolf deals damage equal to its power to that creature.</t>
  </si>
  <si>
    <t>When Obsessive Skinner enters the battlefield, put a +1/+1 counter on target creature.
Delirium --- At the beginning of each opponent's upkeep, if there are four or more card types among cards in your graveyard, put a +1/+1 counter on target creature.</t>
  </si>
  <si>
    <t>Flash （You may cast this spell any time you could cast an instant.）
When Pack Guardian enters the battlefield, you may discard a land card. If you do, put a 2/2 green Wolf creature token onto the battlefield.</t>
  </si>
  <si>
    <t>{5}{G}: Quilled Wolf gets +4/+4 until end of turn.</t>
  </si>
  <si>
    <t>Target creature you control deals damage equal to its power to target creature you don't control.</t>
  </si>
  <si>
    <t>Destroy target artifact or enchantment.
Investigate. （Put a colorless Clue artifact token onto the battlefield with \"{2}, Sacrifice this artifact: Draw a card.\"）</t>
  </si>
  <si>
    <t>Sage of Ancient Lore's power and toughness are each equal to the number of cards in your hand.
When Sage of Ancient Lore enters the battlefield, draw a card.
At the beginning of each upkeep, if no spells were cast last turn, transform Sage of Ancient Lore.</t>
  </si>
  <si>
    <t>Return any number of cards with different converted mana costs from your graveyard to your hand. Put Seasons Past on the bottom of its owner's library.</t>
  </si>
  <si>
    <t>For each token you control, put a token onto the battlefield that's a copy of that permanent.</t>
  </si>
  <si>
    <t>Trample
Whenever a Wolf or Werewolf you control becomes the target of an instant or sorcery spell, put a 2/2 green Wolf creature token onto the battlefield.</t>
  </si>
  <si>
    <t>At the beginning of each upkeep, if no spells were cast last turn, transform Solitary Hunter.</t>
  </si>
  <si>
    <t>Trample
Delirium --- At the beginning of your upkeep, if there are four or more card types among cards in your graveyard, put three +1/+1 counters on Soul Swallower.</t>
  </si>
  <si>
    <t>When Stoic Builder enters the battlefield, you may return target land card from your graveyard to your hand.</t>
  </si>
  <si>
    <t>Whenever a land enters the battlefield under your control, investigate. （Put a colorless Clue artifact token onto the battlefield with \"{2}, Sacrifice this artifact: Draw a card.\"）
Whenever you sacrifice a Clue, put a +1/+1 counter on Tireless Tracker.</t>
  </si>
  <si>
    <t>Search your library for a basic land card, reveal it, put it into your hand, then shuffle your library.
Delirium --- If there are four or more card types among cards in your graveyard, instead search your library for a creature or land card, reveal it, put it into your hand, then shuffle your library.</t>
  </si>
  <si>
    <t>Reach
Ulvenwald Hydra's power and toughness are each equal to the number of lands you control.
When Ulvenwald Hydra enters the battlefield, you may search your library for a land card, put it onto the battlefield tapped, then shuffle your library.</t>
  </si>
  <si>
    <t>Whenever a nontoken creature you control dies, investigate. （Put a colorless Clue artifact token onto the battlefield with \"{2}, Sacrifice this artifact: Draw a card.\"）
Whenever you sacrifice a Clue, put a 1/1 white Human Soldier creature token onto the battlefield.</t>
  </si>
  <si>
    <t>{1}{G}, Sacrifice Vessel of Nascency: Reveal the top four cards of your library. You may put an artifact, creature, enchantment, land, or planeswalker card from among them into your hand. Put the rest into your graveyard.</t>
  </si>
  <si>
    <t>{3}{W}: Target Human gains double strike until end of turn.</t>
  </si>
  <si>
    <t>Reach （This creature can block creatures with flying.）
Watcher in the Web can block an additional seven creatures each combat.</t>
  </si>
  <si>
    <t>Enchant land
When Weirding Wood enters the battlefield, investigate. （Put a colorless Clue artifact token onto the battlefield with \"{2}, Sacrifice this artifact: Draw a card.\"）
Enchanted land has \"{T}: Add two mana of any one color to your mana pool.\"</t>
  </si>
  <si>
    <t>Ｘ2GUＸ2GU</t>
  </si>
  <si>
    <t>Altered Ego can't be countered.
You may have Altered Ego enter the battlefield as a copy of any creature on the battlefield, except it enters with X additional +1/+1 counters on it.</t>
  </si>
  <si>
    <t>1WB1WB</t>
  </si>
  <si>
    <t>Exile target nonland permanent. You lose 3 life.</t>
  </si>
  <si>
    <t>2RG2RG</t>
  </si>
  <si>
    <t>+1: Until end of turn, up to one target creature gets +2/+2 and gains vigilance and haste.
0: Put a 2/2 green Wolf creature token onto the battlefield. Transform Arlinn Kord.</t>
  </si>
  <si>
    <t>1UR1UR</t>
  </si>
  <si>
    <t>At the beginning of each player's end step, that player draws a card. If the player is your opponent and has four or more cards in hand, Fevered Visions deals 2 damage to him or her.</t>
  </si>
  <si>
    <t>3BG3BG</t>
  </si>
  <si>
    <t>Deathtouch
At the beginning of your upkeep, sacrifice The Gitrog Monster unless you sacrifice a land.
You may play an additional land on each of your turns.
Whenever one or more land cards are put into your graveyard from anywhere, draw a card.</t>
  </si>
  <si>
    <t>Enchant creature
Enchanted creature has \"Whenever this creature attacks, put a 4/4 white Angel creature token with flying onto the battlefield tapped and attacking. Exile that token at end of combat.\"</t>
  </si>
  <si>
    <t>Nahiri</t>
  </si>
  <si>
    <t xml:space="preserve"> the Harbinger</t>
  </si>
  <si>
    <t>2RW2RW</t>
  </si>
  <si>
    <t>+2: You may discard a card. If you do, draw a card.
-2: Exile target enchantment, tapped artifact, or tapped creature.
-8: Search your library for an artifact or creature card, put it onto the battlefield, then shuffle your library. It gains haste. Return</t>
  </si>
  <si>
    <t>Olivia</t>
  </si>
  <si>
    <t xml:space="preserve"> Mobilized for War</t>
  </si>
  <si>
    <t>1BR1BR</t>
  </si>
  <si>
    <t>Flying
Whenever another creature enters the battlefield under your control, you may discard a card. If you do, put a +1/+1 counter on that creature, it gains haste until end of turn, and it becomes a Vampire in addition to its other types.</t>
  </si>
  <si>
    <t>1UB1UB</t>
  </si>
  <si>
    <t>Whenever a creature enters the battlefield, if it entered from your graveyard or you cast it from your graveyard, return Prized Amalgam from your graveyard to the battlefield tapped at the beginning of the next end step.</t>
  </si>
  <si>
    <t>Sigarda</t>
  </si>
  <si>
    <t xml:space="preserve"> Heron's Grace</t>
  </si>
  <si>
    <t>3GW3GW</t>
  </si>
  <si>
    <t>Flying
You and Humans you control have hexproof.
{2}, Exile a card from your graveyard: Put a 1/1 white Human Soldier creature token onto the battlefield.</t>
  </si>
  <si>
    <t>Sorin</t>
  </si>
  <si>
    <t xml:space="preserve"> Grim Nemesis</t>
  </si>
  <si>
    <t>4WB4WB</t>
  </si>
  <si>
    <t>+1: Reveal the top card of your library and put that card into your hand. Each opponent loses life equal to its converted mana cost.
-X: Sorin, Grim Nemesis deals X damage to target creature or planeswalker and you gain X life.
-9: Put a number of 1/1 bla</t>
  </si>
  <si>
    <t>{1}, {T}: Put a charge counter on Brain in a Jar, then you may cast an instant or sorcery card with converted mana cost equal to the number of charge counters on Brain in a Jar from your hand without paying its mana cost.
{3}, {T}, Remove X charge counters from Brain in a Jar: Scry X.</t>
  </si>
  <si>
    <t>Corrupted Grafstone enters the battlefield tapped.
{T}: Choose a color of a card in your graveyard. Add one mana of that color to your mana pool.</t>
  </si>
  <si>
    <t>{2}: Put target card from your graveyard on the bottom of your library.</t>
  </si>
  <si>
    <t>{3}, {T}, Sacrifice Explosive Apparatus: Explosive Apparatus deals 2 damage to target creature or player.</t>
  </si>
  <si>
    <t>When Harvest Hand dies, return it to the battlefield transformed under your control.</t>
  </si>
  <si>
    <t>Equipped creature has vigilance, trample, and haste.
Equip {1}</t>
  </si>
  <si>
    <t>{T}: Add {C} to your mana pool.
{4}, {T}: Investigate. （Put a colorless Clue artifact token onto the battlefield with \"{2}, Sacrifice this artifact: Draw a card.\"）</t>
  </si>
  <si>
    <t>Murderer's Axe</t>
  </si>
  <si>
    <t>Equipped creature gets +2/+2.
Equip --- Discard a card.</t>
  </si>
  <si>
    <t>Equipped creature gets +1/+1.
When equipped creature transforms, transform Neglected Heirloom.
Equip {1}</t>
  </si>
  <si>
    <t>Trample
When Runaway Carriage attacks or blocks, sacrifice it at end of combat.</t>
  </si>
  <si>
    <t>Equipped creature gets +1/+0.
Whenever equipped creature attacks, you may put the top two cards of your library into your graveyard.
Equip {1} （{1}: Attach to target creature you control. Equip only as a sorcery.）</t>
  </si>
  <si>
    <t>Equipped creature has skulk. （It can't be blocked by creatures with greater power.）
Whenever equipped creature deals combat damage to a player, you may draw a card. If you do, discard a card.
Equip {2}</t>
  </si>
  <si>
    <t>Slayer's Plate</t>
  </si>
  <si>
    <t>Equipped creature gets +4/+2.
Whenever equipped creature dies, if it was a Human, put a 1/1 white Spirit creature token with flying onto the battlefield.
Equip {3}</t>
  </si>
  <si>
    <t>Tamiyo's Journal</t>
  </si>
  <si>
    <t>At the beginning of your upkeep, investigate. （Put a colorless Clue artifact token onto the battlefield with \"{2}, Sacrifice this artifact: Draw a card.\"）
{T}, Sacrifice three Clues: Search your library for a card and put that card into your hand. Then shuffle your library.</t>
  </si>
  <si>
    <t>Defender
{6}: Transform Thraben Gargoyle.</t>
  </si>
  <si>
    <t>Equipped creature gets +1/+1 and has vigilance.
As long as equipped creature is a Human, it gets an additional +1/+0.
Equip {2} （{2}: Attach to target creature you control. Equip only as a sorcery.）</t>
  </si>
  <si>
    <t>Defender
{2}, Sacrifice Wild-Field Scarecrow: Search your library for up to two basic land cards, reveal them, and put them into your hand. Then shuffle your library.</t>
  </si>
  <si>
    <t>Choked Estuary</t>
  </si>
  <si>
    <t>As Choked Estuary enters the battlefield, you may reveal an Island or Swamp card from your hand. If you don't, Choked Estuary enters the battlefield tapped.
{T}: Add {U} or {B} to your mana pool.</t>
  </si>
  <si>
    <t>../../decks/cardlistlist_of_SOI.csv</t>
  </si>
</sst>
</file>

<file path=xl/styles.xml><?xml version="1.0" encoding="utf-8"?>
<styleSheet xmlns="http://schemas.openxmlformats.org/spreadsheetml/2006/main">
  <fonts count="11">
    <font>
      <sz val="11"/>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9"/>
      <color theme="1"/>
      <name val="ＭＳ Ｐゴシック"/>
      <family val="2"/>
      <charset val="128"/>
      <scheme val="minor"/>
    </font>
    <font>
      <sz val="6"/>
      <name val="ＭＳ Ｐゴシック"/>
      <family val="2"/>
      <charset val="128"/>
      <scheme val="minor"/>
    </font>
    <font>
      <sz val="11"/>
      <color rgb="FF000000"/>
      <name val="ＭＳ Ｐゴシック"/>
      <family val="3"/>
      <charset val="128"/>
      <scheme val="minor"/>
    </font>
    <font>
      <u/>
      <sz val="11"/>
      <color theme="10"/>
      <name val="ＭＳ Ｐゴシック"/>
      <family val="3"/>
      <charset val="128"/>
    </font>
    <font>
      <sz val="9"/>
      <color theme="1"/>
      <name val="ＭＳ Ｐゴシック"/>
      <family val="3"/>
      <charset val="128"/>
      <scheme val="minor"/>
    </font>
    <font>
      <u/>
      <sz val="9"/>
      <color theme="10"/>
      <name val="ＭＳ Ｐゴシック"/>
      <family val="2"/>
      <charset val="128"/>
    </font>
    <font>
      <u/>
      <sz val="9"/>
      <color theme="10"/>
      <name val="ＭＳ Ｐゴシック"/>
      <family val="3"/>
      <charset val="128"/>
    </font>
  </fonts>
  <fills count="3">
    <fill>
      <patternFill patternType="none"/>
    </fill>
    <fill>
      <patternFill patternType="gray125"/>
    </fill>
    <fill>
      <patternFill patternType="solid">
        <fgColor theme="1" tint="4.9989318521683403E-2"/>
        <bgColor indexed="64"/>
      </patternFill>
    </fill>
  </fills>
  <borders count="1">
    <border>
      <left/>
      <right/>
      <top/>
      <bottom/>
      <diagonal/>
    </border>
  </borders>
  <cellStyleXfs count="2">
    <xf numFmtId="0" fontId="0" fillId="0" borderId="0">
      <alignment vertical="center"/>
    </xf>
    <xf numFmtId="0" fontId="7" fillId="0" borderId="0" applyNumberFormat="0" applyFill="0" applyBorder="0" applyAlignment="0" applyProtection="0">
      <alignment vertical="top"/>
      <protection locked="0"/>
    </xf>
  </cellStyleXfs>
  <cellXfs count="16">
    <xf numFmtId="0" fontId="0" fillId="0" borderId="0" xfId="0">
      <alignment vertical="center"/>
    </xf>
    <xf numFmtId="0" fontId="4" fillId="0" borderId="0" xfId="0" applyFont="1">
      <alignment vertical="center"/>
    </xf>
    <xf numFmtId="0" fontId="3" fillId="0" borderId="0" xfId="0" applyFont="1">
      <alignment vertical="center"/>
    </xf>
    <xf numFmtId="0" fontId="8" fillId="0" borderId="0" xfId="0" applyFont="1" applyAlignment="1">
      <alignment vertical="center" wrapText="1"/>
    </xf>
    <xf numFmtId="0" fontId="8" fillId="0" borderId="0" xfId="0" applyNumberFormat="1" applyFont="1" applyAlignment="1">
      <alignment vertical="center" wrapText="1"/>
    </xf>
    <xf numFmtId="0" fontId="8" fillId="0" borderId="0" xfId="0" applyNumberFormat="1" applyFont="1">
      <alignment vertical="center"/>
    </xf>
    <xf numFmtId="0" fontId="2" fillId="0" borderId="0" xfId="0" applyFont="1">
      <alignment vertical="center"/>
    </xf>
    <xf numFmtId="0" fontId="8" fillId="0" borderId="0" xfId="0" applyFont="1">
      <alignment vertical="center"/>
    </xf>
    <xf numFmtId="0" fontId="8" fillId="0" borderId="0" xfId="0" applyFont="1" applyAlignment="1">
      <alignment vertical="top"/>
    </xf>
    <xf numFmtId="0" fontId="8" fillId="0" borderId="0" xfId="0" applyFont="1" applyAlignment="1">
      <alignmen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0" borderId="0" xfId="1" applyFont="1" applyAlignment="1" applyProtection="1">
      <alignment horizontal="left" vertical="top"/>
    </xf>
    <xf numFmtId="0" fontId="9" fillId="2" borderId="0" xfId="1" applyFont="1" applyFill="1" applyAlignment="1" applyProtection="1">
      <alignment horizontal="center" vertical="center"/>
    </xf>
    <xf numFmtId="0" fontId="8" fillId="2" borderId="0" xfId="0" applyFont="1" applyFill="1" applyAlignment="1">
      <alignment horizontal="center" vertical="center"/>
    </xf>
    <xf numFmtId="0" fontId="1" fillId="0" borderId="0" xfId="0" applyFont="1">
      <alignment vertical="center"/>
    </xf>
  </cellXfs>
  <cellStyles count="2">
    <cellStyle name="ハイパーリンク" xfId="1" builtinId="8"/>
    <cellStyle name="標準" xfId="0" builtinId="0"/>
  </cellStyles>
  <dxfs count="8">
    <dxf>
      <fill>
        <patternFill>
          <bgColor theme="2" tint="-0.499984740745262"/>
        </patternFill>
      </fill>
    </dxf>
    <dxf>
      <fill>
        <patternFill>
          <bgColor theme="9" tint="-0.499984740745262"/>
        </patternFill>
      </fill>
    </dxf>
    <dxf>
      <fill>
        <patternFill>
          <bgColor theme="1" tint="0.499984740745262"/>
        </patternFill>
      </fill>
    </dxf>
    <dxf>
      <fill>
        <patternFill>
          <bgColor rgb="FF00B050"/>
        </patternFill>
      </fill>
    </dxf>
    <dxf>
      <fill>
        <patternFill>
          <bgColor rgb="FFFF0000"/>
        </patternFill>
      </fill>
    </dxf>
    <dxf>
      <fill>
        <patternFill>
          <bgColor theme="1"/>
        </patternFill>
      </fill>
    </dxf>
    <dxf>
      <fill>
        <patternFill>
          <bgColor rgb="FF0070C0"/>
        </patternFill>
      </fill>
    </dxf>
    <dxf>
      <fill>
        <patternFill>
          <bgColor theme="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B2:I1786"/>
  <sheetViews>
    <sheetView zoomScaleNormal="100" workbookViewId="0">
      <selection activeCell="D3" sqref="D3:D6"/>
    </sheetView>
  </sheetViews>
  <sheetFormatPr defaultRowHeight="11.25"/>
  <cols>
    <col min="1" max="1" width="9" style="7" customWidth="1"/>
    <col min="2" max="2" width="16" style="7" customWidth="1"/>
    <col min="3" max="3" width="22.25" style="7" bestFit="1" customWidth="1"/>
    <col min="4" max="4" width="32.625" style="7" customWidth="1"/>
    <col min="5" max="5" width="35.75" style="7" customWidth="1"/>
    <col min="6" max="6" width="9" style="7"/>
    <col min="7" max="7" width="17.375" style="7" customWidth="1"/>
    <col min="8" max="8" width="16" style="7" customWidth="1"/>
    <col min="9" max="9" width="16.375" style="7" customWidth="1"/>
    <col min="10" max="16384" width="9" style="7"/>
  </cols>
  <sheetData>
    <row r="2" spans="2:9">
      <c r="B2" s="13" t="str">
        <f>HYPERLINK("F:\program\mtg\cards\img\EMN_t\Abandon+Reason.jpg")</f>
        <v>F:\program\mtg\cards\img\EMN_t\Abandon+Reason.jpg</v>
      </c>
      <c r="C2" s="6" t="s">
        <v>196</v>
      </c>
      <c r="D2" s="7" t="s">
        <v>474</v>
      </c>
      <c r="E2" s="7" t="s">
        <v>475</v>
      </c>
      <c r="F2" s="7" t="s">
        <v>476</v>
      </c>
      <c r="G2" s="6"/>
    </row>
    <row r="3" spans="2:9" ht="13.5" customHeight="1">
      <c r="B3" s="14"/>
      <c r="C3" s="7" t="s">
        <v>477</v>
      </c>
      <c r="D3" s="11" t="s">
        <v>346</v>
      </c>
      <c r="E3" s="11" t="s">
        <v>544</v>
      </c>
      <c r="F3" s="7" t="s">
        <v>713</v>
      </c>
      <c r="I3" s="3"/>
    </row>
    <row r="4" spans="2:9">
      <c r="B4" s="14"/>
      <c r="C4" s="7" t="s">
        <v>482</v>
      </c>
      <c r="D4" s="11"/>
      <c r="E4" s="10"/>
      <c r="F4" s="7" t="s">
        <v>478</v>
      </c>
    </row>
    <row r="5" spans="2:9">
      <c r="B5" s="14"/>
      <c r="C5" s="7" t="s">
        <v>479</v>
      </c>
      <c r="D5" s="11"/>
      <c r="E5" s="10"/>
      <c r="F5" s="7" t="s">
        <v>375</v>
      </c>
    </row>
    <row r="6" spans="2:9">
      <c r="B6" s="14"/>
      <c r="C6" s="7" t="s">
        <v>493</v>
      </c>
      <c r="D6" s="11"/>
      <c r="E6" s="10"/>
    </row>
    <row r="7" spans="2:9">
      <c r="B7" s="12"/>
      <c r="C7" s="7" t="s">
        <v>174</v>
      </c>
      <c r="D7" s="7" t="s">
        <v>474</v>
      </c>
      <c r="E7" s="7" t="s">
        <v>475</v>
      </c>
      <c r="F7" s="7" t="s">
        <v>476</v>
      </c>
      <c r="G7" s="6"/>
    </row>
    <row r="8" spans="2:9" ht="13.5" customHeight="1">
      <c r="B8" s="10"/>
      <c r="C8" s="7" t="s">
        <v>477</v>
      </c>
      <c r="D8" s="11" t="s">
        <v>324</v>
      </c>
      <c r="E8" s="11" t="s">
        <v>545</v>
      </c>
      <c r="F8" s="7" t="s">
        <v>714</v>
      </c>
      <c r="I8" s="3"/>
    </row>
    <row r="9" spans="2:9">
      <c r="B9" s="10"/>
      <c r="C9" s="7" t="s">
        <v>483</v>
      </c>
      <c r="D9" s="11"/>
      <c r="E9" s="10"/>
      <c r="F9" s="7" t="s">
        <v>478</v>
      </c>
    </row>
    <row r="10" spans="2:9">
      <c r="B10" s="10"/>
      <c r="C10" s="7" t="s">
        <v>479</v>
      </c>
      <c r="D10" s="11"/>
      <c r="E10" s="10"/>
      <c r="F10" s="7" t="s">
        <v>375</v>
      </c>
    </row>
    <row r="11" spans="2:9">
      <c r="B11" s="10"/>
      <c r="C11" s="7" t="s">
        <v>494</v>
      </c>
      <c r="D11" s="11"/>
      <c r="E11" s="10"/>
    </row>
    <row r="12" spans="2:9">
      <c r="B12" s="12"/>
      <c r="C12" s="7" t="s">
        <v>197</v>
      </c>
      <c r="D12" s="7" t="s">
        <v>474</v>
      </c>
      <c r="E12" s="7" t="s">
        <v>475</v>
      </c>
      <c r="F12" s="7" t="s">
        <v>476</v>
      </c>
      <c r="G12" s="6"/>
    </row>
    <row r="13" spans="2:9" ht="13.5" customHeight="1">
      <c r="B13" s="10"/>
      <c r="C13" s="7" t="s">
        <v>477</v>
      </c>
      <c r="D13" s="11" t="s">
        <v>347</v>
      </c>
      <c r="E13" s="11" t="s">
        <v>546</v>
      </c>
      <c r="F13" s="7" t="s">
        <v>713</v>
      </c>
      <c r="I13" s="3"/>
    </row>
    <row r="14" spans="2:9">
      <c r="B14" s="10"/>
      <c r="C14" s="7" t="s">
        <v>484</v>
      </c>
      <c r="D14" s="11"/>
      <c r="E14" s="10"/>
      <c r="F14" s="7" t="s">
        <v>478</v>
      </c>
    </row>
    <row r="15" spans="2:9">
      <c r="B15" s="10"/>
      <c r="C15" s="7" t="s">
        <v>479</v>
      </c>
      <c r="D15" s="11"/>
      <c r="E15" s="10"/>
      <c r="F15" s="7" t="s">
        <v>375</v>
      </c>
    </row>
    <row r="16" spans="2:9">
      <c r="B16" s="10"/>
      <c r="C16" s="7" t="s">
        <v>495</v>
      </c>
      <c r="D16" s="11"/>
      <c r="E16" s="10"/>
    </row>
    <row r="17" spans="2:9">
      <c r="B17" s="10"/>
      <c r="C17" s="7" t="s">
        <v>198</v>
      </c>
      <c r="D17" s="7" t="s">
        <v>474</v>
      </c>
      <c r="E17" s="7" t="s">
        <v>475</v>
      </c>
      <c r="F17" s="7" t="s">
        <v>476</v>
      </c>
      <c r="G17" s="6"/>
    </row>
    <row r="18" spans="2:9">
      <c r="B18" s="10"/>
      <c r="C18" s="7" t="s">
        <v>477</v>
      </c>
      <c r="D18" s="11" t="s">
        <v>348</v>
      </c>
      <c r="E18" s="11" t="s">
        <v>547</v>
      </c>
      <c r="F18" s="7" t="s">
        <v>715</v>
      </c>
      <c r="I18" s="3"/>
    </row>
    <row r="19" spans="2:9">
      <c r="B19" s="10"/>
      <c r="C19" s="7" t="s">
        <v>482</v>
      </c>
      <c r="D19" s="11"/>
      <c r="E19" s="10"/>
      <c r="F19" s="7" t="s">
        <v>478</v>
      </c>
    </row>
    <row r="20" spans="2:9">
      <c r="B20" s="10"/>
      <c r="C20" s="7" t="s">
        <v>479</v>
      </c>
      <c r="D20" s="11"/>
      <c r="E20" s="10"/>
      <c r="F20" s="7" t="s">
        <v>375</v>
      </c>
    </row>
    <row r="21" spans="2:9">
      <c r="B21" s="10"/>
      <c r="C21" s="7" t="s">
        <v>497</v>
      </c>
      <c r="D21" s="11"/>
      <c r="E21" s="10"/>
    </row>
    <row r="22" spans="2:9">
      <c r="B22" s="10"/>
      <c r="C22" s="7" t="s">
        <v>199</v>
      </c>
      <c r="D22" s="7" t="s">
        <v>474</v>
      </c>
      <c r="E22" s="8" t="s">
        <v>475</v>
      </c>
      <c r="F22" s="7" t="s">
        <v>476</v>
      </c>
      <c r="G22" s="6"/>
    </row>
    <row r="23" spans="2:9" ht="67.5">
      <c r="B23" s="10"/>
      <c r="C23" s="7" t="s">
        <v>477</v>
      </c>
      <c r="D23" s="11" t="s">
        <v>349</v>
      </c>
      <c r="E23" s="9" t="s">
        <v>548</v>
      </c>
      <c r="F23" s="7" t="s">
        <v>713</v>
      </c>
      <c r="I23" s="3"/>
    </row>
    <row r="24" spans="2:9">
      <c r="B24" s="10"/>
      <c r="C24" s="7" t="s">
        <v>485</v>
      </c>
      <c r="D24" s="11"/>
      <c r="E24" s="8"/>
      <c r="F24" s="7" t="s">
        <v>478</v>
      </c>
    </row>
    <row r="25" spans="2:9">
      <c r="B25" s="10"/>
      <c r="C25" s="7" t="s">
        <v>479</v>
      </c>
      <c r="D25" s="11"/>
      <c r="E25" s="8"/>
      <c r="F25" s="7" t="s">
        <v>375</v>
      </c>
    </row>
    <row r="26" spans="2:9">
      <c r="B26" s="10"/>
      <c r="C26" s="7" t="s">
        <v>498</v>
      </c>
      <c r="D26" s="11"/>
      <c r="E26" s="8"/>
    </row>
    <row r="27" spans="2:9">
      <c r="B27" s="10"/>
      <c r="C27" s="7" t="s">
        <v>200</v>
      </c>
      <c r="D27" s="7" t="s">
        <v>474</v>
      </c>
      <c r="E27" s="8" t="s">
        <v>475</v>
      </c>
      <c r="F27" s="7" t="s">
        <v>476</v>
      </c>
      <c r="G27" s="6"/>
    </row>
    <row r="28" spans="2:9">
      <c r="B28" s="10"/>
      <c r="C28" s="7" t="s">
        <v>477</v>
      </c>
      <c r="D28" s="11" t="s">
        <v>350</v>
      </c>
      <c r="E28" s="9" t="s">
        <v>481</v>
      </c>
      <c r="F28" s="7" t="s">
        <v>481</v>
      </c>
      <c r="I28" s="3"/>
    </row>
    <row r="29" spans="2:9">
      <c r="B29" s="10"/>
      <c r="C29" s="7" t="s">
        <v>484</v>
      </c>
      <c r="D29" s="11"/>
      <c r="E29" s="8"/>
      <c r="F29" s="7" t="s">
        <v>478</v>
      </c>
    </row>
    <row r="30" spans="2:9">
      <c r="B30" s="10"/>
      <c r="C30" s="7" t="s">
        <v>479</v>
      </c>
      <c r="D30" s="11"/>
      <c r="E30" s="8"/>
      <c r="F30" s="7" t="s">
        <v>481</v>
      </c>
    </row>
    <row r="31" spans="2:9">
      <c r="B31" s="10"/>
      <c r="C31" s="7" t="s">
        <v>494</v>
      </c>
      <c r="D31" s="11"/>
      <c r="E31" s="8"/>
    </row>
    <row r="32" spans="2:9">
      <c r="B32" s="10"/>
      <c r="C32" s="7" t="s">
        <v>201</v>
      </c>
      <c r="D32" s="7" t="s">
        <v>474</v>
      </c>
      <c r="E32" s="8" t="s">
        <v>475</v>
      </c>
      <c r="F32" s="7" t="s">
        <v>476</v>
      </c>
      <c r="G32" s="6"/>
    </row>
    <row r="33" spans="2:9" ht="33.75">
      <c r="B33" s="10"/>
      <c r="C33" s="7" t="s">
        <v>477</v>
      </c>
      <c r="D33" s="11" t="s">
        <v>351</v>
      </c>
      <c r="E33" s="9" t="s">
        <v>549</v>
      </c>
      <c r="F33" s="7" t="s">
        <v>716</v>
      </c>
      <c r="I33" s="3"/>
    </row>
    <row r="34" spans="2:9">
      <c r="B34" s="10"/>
      <c r="C34" s="7" t="s">
        <v>486</v>
      </c>
      <c r="D34" s="11"/>
      <c r="E34" s="8"/>
      <c r="F34" s="7" t="s">
        <v>478</v>
      </c>
    </row>
    <row r="35" spans="2:9">
      <c r="B35" s="10"/>
      <c r="C35" s="7" t="s">
        <v>479</v>
      </c>
      <c r="D35" s="11"/>
      <c r="E35" s="8"/>
      <c r="F35" s="7" t="s">
        <v>375</v>
      </c>
    </row>
    <row r="36" spans="2:9">
      <c r="B36" s="10"/>
      <c r="C36" s="7" t="s">
        <v>499</v>
      </c>
      <c r="D36" s="11"/>
      <c r="E36" s="8"/>
    </row>
    <row r="37" spans="2:9">
      <c r="B37" s="10"/>
      <c r="C37" s="7" t="s">
        <v>181</v>
      </c>
      <c r="D37" s="7" t="s">
        <v>474</v>
      </c>
      <c r="E37" s="8" t="s">
        <v>475</v>
      </c>
      <c r="F37" s="7" t="s">
        <v>476</v>
      </c>
      <c r="G37" s="6"/>
    </row>
    <row r="38" spans="2:9" ht="56.25">
      <c r="B38" s="10"/>
      <c r="C38" s="7" t="s">
        <v>477</v>
      </c>
      <c r="D38" s="11" t="s">
        <v>331</v>
      </c>
      <c r="E38" s="9" t="s">
        <v>550</v>
      </c>
      <c r="F38" s="7" t="s">
        <v>713</v>
      </c>
      <c r="I38" s="3"/>
    </row>
    <row r="39" spans="2:9">
      <c r="B39" s="10"/>
      <c r="C39" s="7" t="s">
        <v>482</v>
      </c>
      <c r="D39" s="11"/>
      <c r="E39" s="8"/>
      <c r="F39" s="7" t="s">
        <v>478</v>
      </c>
    </row>
    <row r="40" spans="2:9">
      <c r="B40" s="10"/>
      <c r="C40" s="7" t="s">
        <v>479</v>
      </c>
      <c r="D40" s="11"/>
      <c r="E40" s="8"/>
      <c r="F40" s="7" t="s">
        <v>375</v>
      </c>
    </row>
    <row r="41" spans="2:9">
      <c r="B41" s="10"/>
      <c r="C41" s="7" t="s">
        <v>480</v>
      </c>
      <c r="D41" s="11"/>
      <c r="E41" s="8"/>
    </row>
    <row r="42" spans="2:9">
      <c r="B42" s="10"/>
      <c r="C42" s="7" t="s">
        <v>202</v>
      </c>
      <c r="D42" s="7" t="s">
        <v>474</v>
      </c>
      <c r="E42" s="8" t="s">
        <v>475</v>
      </c>
      <c r="F42" s="7" t="s">
        <v>476</v>
      </c>
      <c r="G42" s="6"/>
    </row>
    <row r="43" spans="2:9" ht="56.25">
      <c r="B43" s="10"/>
      <c r="C43" s="7" t="s">
        <v>477</v>
      </c>
      <c r="D43" s="11" t="s">
        <v>352</v>
      </c>
      <c r="E43" s="9" t="s">
        <v>551</v>
      </c>
      <c r="F43" s="7" t="s">
        <v>713</v>
      </c>
      <c r="I43" s="3"/>
    </row>
    <row r="44" spans="2:9">
      <c r="B44" s="10"/>
      <c r="C44" s="7" t="s">
        <v>484</v>
      </c>
      <c r="D44" s="11"/>
      <c r="E44" s="8"/>
      <c r="F44" s="7" t="s">
        <v>478</v>
      </c>
    </row>
    <row r="45" spans="2:9">
      <c r="B45" s="10"/>
      <c r="C45" s="7" t="s">
        <v>479</v>
      </c>
      <c r="D45" s="11"/>
      <c r="E45" s="8"/>
      <c r="F45" s="7" t="s">
        <v>375</v>
      </c>
    </row>
    <row r="46" spans="2:9">
      <c r="B46" s="10"/>
      <c r="C46" s="7" t="s">
        <v>500</v>
      </c>
      <c r="D46" s="11"/>
      <c r="E46" s="8"/>
    </row>
    <row r="47" spans="2:9">
      <c r="B47" s="10"/>
      <c r="C47" s="7" t="s">
        <v>182</v>
      </c>
      <c r="D47" s="7" t="s">
        <v>474</v>
      </c>
      <c r="E47" s="8" t="s">
        <v>475</v>
      </c>
      <c r="F47" s="7" t="s">
        <v>476</v>
      </c>
      <c r="G47" s="6"/>
    </row>
    <row r="48" spans="2:9" ht="56.25">
      <c r="B48" s="10"/>
      <c r="C48" s="7" t="s">
        <v>477</v>
      </c>
      <c r="D48" s="11" t="s">
        <v>332</v>
      </c>
      <c r="E48" s="9" t="s">
        <v>552</v>
      </c>
      <c r="F48" s="7" t="s">
        <v>715</v>
      </c>
      <c r="I48" s="3"/>
    </row>
    <row r="49" spans="2:9">
      <c r="B49" s="10"/>
      <c r="C49" s="7" t="s">
        <v>482</v>
      </c>
      <c r="D49" s="11"/>
      <c r="E49" s="8"/>
      <c r="F49" s="7" t="s">
        <v>478</v>
      </c>
    </row>
    <row r="50" spans="2:9">
      <c r="B50" s="10"/>
      <c r="C50" s="7" t="s">
        <v>479</v>
      </c>
      <c r="D50" s="11"/>
      <c r="E50" s="8"/>
      <c r="F50" s="7" t="s">
        <v>375</v>
      </c>
    </row>
    <row r="51" spans="2:9">
      <c r="B51" s="10"/>
      <c r="C51" s="7" t="s">
        <v>501</v>
      </c>
      <c r="D51" s="11"/>
      <c r="E51" s="8"/>
    </row>
    <row r="52" spans="2:9">
      <c r="B52" s="10"/>
      <c r="C52" s="7" t="s">
        <v>203</v>
      </c>
      <c r="D52" s="7" t="s">
        <v>474</v>
      </c>
      <c r="E52" s="8" t="s">
        <v>475</v>
      </c>
      <c r="F52" s="7" t="s">
        <v>476</v>
      </c>
      <c r="G52" s="6"/>
    </row>
    <row r="53" spans="2:9" ht="67.5">
      <c r="B53" s="10"/>
      <c r="C53" s="7" t="s">
        <v>477</v>
      </c>
      <c r="D53" s="11" t="s">
        <v>353</v>
      </c>
      <c r="E53" s="9" t="s">
        <v>553</v>
      </c>
      <c r="F53" s="7" t="s">
        <v>713</v>
      </c>
      <c r="I53" s="3"/>
    </row>
    <row r="54" spans="2:9">
      <c r="B54" s="10"/>
      <c r="C54" s="7" t="s">
        <v>487</v>
      </c>
      <c r="D54" s="11"/>
      <c r="E54" s="8"/>
      <c r="F54" s="7" t="s">
        <v>478</v>
      </c>
    </row>
    <row r="55" spans="2:9">
      <c r="B55" s="10"/>
      <c r="C55" s="7" t="s">
        <v>479</v>
      </c>
      <c r="D55" s="11"/>
      <c r="E55" s="8"/>
      <c r="F55" s="7" t="s">
        <v>375</v>
      </c>
    </row>
    <row r="56" spans="2:9">
      <c r="B56" s="10"/>
      <c r="C56" s="7" t="s">
        <v>497</v>
      </c>
      <c r="D56" s="11"/>
      <c r="E56" s="8"/>
    </row>
    <row r="57" spans="2:9">
      <c r="B57" s="10"/>
      <c r="C57" s="7" t="s">
        <v>204</v>
      </c>
      <c r="D57" s="7" t="s">
        <v>474</v>
      </c>
      <c r="E57" s="8" t="s">
        <v>475</v>
      </c>
      <c r="F57" s="7" t="s">
        <v>476</v>
      </c>
      <c r="G57" s="6"/>
    </row>
    <row r="58" spans="2:9" ht="56.25">
      <c r="B58" s="10"/>
      <c r="C58" s="7" t="s">
        <v>477</v>
      </c>
      <c r="D58" s="11" t="s">
        <v>354</v>
      </c>
      <c r="E58" s="9" t="s">
        <v>554</v>
      </c>
      <c r="F58" s="7" t="s">
        <v>717</v>
      </c>
      <c r="I58" s="3"/>
    </row>
    <row r="59" spans="2:9">
      <c r="B59" s="10"/>
      <c r="C59" s="7" t="s">
        <v>484</v>
      </c>
      <c r="D59" s="11"/>
      <c r="E59" s="8"/>
      <c r="F59" s="7" t="s">
        <v>478</v>
      </c>
    </row>
    <row r="60" spans="2:9">
      <c r="B60" s="10"/>
      <c r="C60" s="7" t="s">
        <v>479</v>
      </c>
      <c r="D60" s="11"/>
      <c r="E60" s="8"/>
      <c r="F60" s="7" t="s">
        <v>375</v>
      </c>
    </row>
    <row r="61" spans="2:9">
      <c r="B61" s="10"/>
      <c r="C61" s="7" t="s">
        <v>503</v>
      </c>
      <c r="D61" s="11"/>
      <c r="E61" s="8"/>
    </row>
    <row r="62" spans="2:9">
      <c r="B62" s="10"/>
      <c r="C62" s="7" t="s">
        <v>1</v>
      </c>
      <c r="D62" s="7" t="s">
        <v>474</v>
      </c>
      <c r="E62" s="8" t="s">
        <v>475</v>
      </c>
      <c r="F62" s="7" t="s">
        <v>476</v>
      </c>
      <c r="G62" s="6"/>
    </row>
    <row r="63" spans="2:9" ht="67.5">
      <c r="B63" s="10"/>
      <c r="C63" s="7" t="s">
        <v>477</v>
      </c>
      <c r="D63" s="11" t="s">
        <v>2</v>
      </c>
      <c r="E63" s="3" t="s">
        <v>556</v>
      </c>
      <c r="F63" s="7" t="s">
        <v>555</v>
      </c>
      <c r="I63" s="3"/>
    </row>
    <row r="64" spans="2:9">
      <c r="B64" s="10"/>
      <c r="C64" s="7" t="s">
        <v>482</v>
      </c>
      <c r="D64" s="11"/>
      <c r="F64" s="7" t="s">
        <v>478</v>
      </c>
    </row>
    <row r="65" spans="2:9">
      <c r="B65" s="10"/>
      <c r="C65" s="7" t="s">
        <v>479</v>
      </c>
      <c r="D65" s="11"/>
      <c r="F65" s="7" t="s">
        <v>414</v>
      </c>
    </row>
    <row r="66" spans="2:9">
      <c r="B66" s="10"/>
      <c r="C66" s="7" t="s">
        <v>482</v>
      </c>
      <c r="D66" s="11"/>
    </row>
    <row r="67" spans="2:9">
      <c r="B67" s="10"/>
      <c r="C67" s="7" t="s">
        <v>3</v>
      </c>
      <c r="D67" s="7" t="s">
        <v>474</v>
      </c>
      <c r="E67" s="7" t="s">
        <v>475</v>
      </c>
      <c r="F67" s="7" t="s">
        <v>476</v>
      </c>
      <c r="G67" s="6"/>
    </row>
    <row r="68" spans="2:9" ht="56.25">
      <c r="B68" s="10"/>
      <c r="C68" s="7" t="s">
        <v>477</v>
      </c>
      <c r="D68" s="11" t="s">
        <v>4</v>
      </c>
      <c r="E68" s="3" t="s">
        <v>558</v>
      </c>
      <c r="F68" s="7" t="s">
        <v>557</v>
      </c>
      <c r="I68" s="3"/>
    </row>
    <row r="69" spans="2:9">
      <c r="B69" s="10"/>
      <c r="C69" s="7" t="s">
        <v>486</v>
      </c>
      <c r="D69" s="11"/>
      <c r="F69" s="7" t="s">
        <v>478</v>
      </c>
    </row>
    <row r="70" spans="2:9">
      <c r="B70" s="10"/>
      <c r="C70" s="7" t="s">
        <v>479</v>
      </c>
      <c r="D70" s="11"/>
      <c r="F70" s="7" t="s">
        <v>414</v>
      </c>
    </row>
    <row r="71" spans="2:9">
      <c r="B71" s="10"/>
      <c r="C71" s="7" t="s">
        <v>480</v>
      </c>
      <c r="D71" s="11"/>
    </row>
    <row r="72" spans="2:9">
      <c r="B72" s="10"/>
      <c r="C72" s="7" t="s">
        <v>228</v>
      </c>
      <c r="D72" s="7" t="s">
        <v>474</v>
      </c>
      <c r="E72" s="7" t="s">
        <v>475</v>
      </c>
      <c r="F72" s="7" t="s">
        <v>476</v>
      </c>
      <c r="G72" s="6"/>
    </row>
    <row r="73" spans="2:9">
      <c r="B73" s="10"/>
      <c r="C73" s="7" t="s">
        <v>477</v>
      </c>
      <c r="D73" s="11" t="s">
        <v>481</v>
      </c>
      <c r="E73" s="3" t="s">
        <v>481</v>
      </c>
      <c r="F73" s="7" t="s">
        <v>481</v>
      </c>
      <c r="I73" s="3"/>
    </row>
    <row r="74" spans="2:9">
      <c r="B74" s="10"/>
      <c r="C74" s="7" t="s">
        <v>481</v>
      </c>
      <c r="D74" s="11"/>
      <c r="F74" s="7" t="s">
        <v>478</v>
      </c>
    </row>
    <row r="75" spans="2:9">
      <c r="B75" s="10"/>
      <c r="C75" s="7" t="s">
        <v>479</v>
      </c>
      <c r="D75" s="11"/>
      <c r="F75" s="7" t="s">
        <v>481</v>
      </c>
    </row>
    <row r="76" spans="2:9">
      <c r="B76" s="10"/>
      <c r="C76" s="7" t="s">
        <v>504</v>
      </c>
      <c r="D76" s="11"/>
    </row>
    <row r="77" spans="2:9">
      <c r="B77" s="10"/>
      <c r="C77" s="7" t="s">
        <v>5</v>
      </c>
      <c r="D77" s="7" t="s">
        <v>474</v>
      </c>
      <c r="E77" s="7" t="s">
        <v>475</v>
      </c>
      <c r="F77" s="7" t="s">
        <v>476</v>
      </c>
      <c r="G77" s="6"/>
    </row>
    <row r="78" spans="2:9" ht="45">
      <c r="B78" s="10"/>
      <c r="C78" s="7" t="s">
        <v>477</v>
      </c>
      <c r="D78" s="11" t="s">
        <v>6</v>
      </c>
      <c r="E78" s="3" t="s">
        <v>560</v>
      </c>
      <c r="F78" s="7" t="s">
        <v>557</v>
      </c>
      <c r="I78" s="3"/>
    </row>
    <row r="79" spans="2:9">
      <c r="B79" s="10"/>
      <c r="C79" s="7" t="s">
        <v>487</v>
      </c>
      <c r="D79" s="11"/>
      <c r="F79" s="7" t="s">
        <v>478</v>
      </c>
    </row>
    <row r="80" spans="2:9">
      <c r="B80" s="10"/>
      <c r="C80" s="7" t="s">
        <v>479</v>
      </c>
      <c r="D80" s="11"/>
      <c r="F80" s="7" t="s">
        <v>414</v>
      </c>
    </row>
    <row r="81" spans="2:9">
      <c r="B81" s="10"/>
      <c r="C81" s="7" t="s">
        <v>493</v>
      </c>
      <c r="D81" s="11"/>
    </row>
    <row r="82" spans="2:9">
      <c r="B82" s="10"/>
      <c r="C82" s="7" t="s">
        <v>225</v>
      </c>
      <c r="D82" s="7" t="s">
        <v>474</v>
      </c>
      <c r="E82" s="7" t="s">
        <v>475</v>
      </c>
      <c r="F82" s="7" t="s">
        <v>476</v>
      </c>
      <c r="G82" s="6"/>
    </row>
    <row r="83" spans="2:9" ht="90">
      <c r="B83" s="10"/>
      <c r="C83" s="7" t="s">
        <v>477</v>
      </c>
      <c r="D83" s="11" t="s">
        <v>481</v>
      </c>
      <c r="E83" s="3" t="s">
        <v>562</v>
      </c>
      <c r="F83" s="7" t="s">
        <v>561</v>
      </c>
      <c r="I83" s="3"/>
    </row>
    <row r="84" spans="2:9">
      <c r="B84" s="10"/>
      <c r="C84" s="7" t="s">
        <v>481</v>
      </c>
      <c r="D84" s="11"/>
      <c r="F84" s="7" t="s">
        <v>478</v>
      </c>
    </row>
    <row r="85" spans="2:9">
      <c r="B85" s="10"/>
      <c r="C85" s="7" t="s">
        <v>479</v>
      </c>
      <c r="D85" s="11"/>
      <c r="F85" s="7" t="s">
        <v>414</v>
      </c>
    </row>
    <row r="86" spans="2:9">
      <c r="B86" s="10"/>
      <c r="C86" s="7" t="s">
        <v>498</v>
      </c>
      <c r="D86" s="11"/>
    </row>
    <row r="87" spans="2:9">
      <c r="B87" s="10"/>
      <c r="C87" s="7" t="s">
        <v>7</v>
      </c>
      <c r="D87" s="7" t="s">
        <v>474</v>
      </c>
      <c r="E87" s="7" t="s">
        <v>475</v>
      </c>
      <c r="F87" s="7" t="s">
        <v>476</v>
      </c>
      <c r="G87" s="6"/>
    </row>
    <row r="88" spans="2:9" ht="56.25">
      <c r="B88" s="10"/>
      <c r="C88" s="7" t="s">
        <v>477</v>
      </c>
      <c r="D88" s="11" t="s">
        <v>8</v>
      </c>
      <c r="E88" s="3" t="s">
        <v>377</v>
      </c>
      <c r="F88" s="7" t="s">
        <v>563</v>
      </c>
      <c r="I88" s="3"/>
    </row>
    <row r="89" spans="2:9">
      <c r="B89" s="10"/>
      <c r="C89" s="7" t="s">
        <v>482</v>
      </c>
      <c r="D89" s="11"/>
      <c r="F89" s="7" t="s">
        <v>478</v>
      </c>
    </row>
    <row r="90" spans="2:9">
      <c r="B90" s="10"/>
      <c r="C90" s="7" t="s">
        <v>479</v>
      </c>
      <c r="D90" s="11"/>
      <c r="F90" s="7" t="s">
        <v>414</v>
      </c>
    </row>
    <row r="91" spans="2:9">
      <c r="B91" s="10"/>
      <c r="C91" s="7" t="s">
        <v>505</v>
      </c>
      <c r="D91" s="11"/>
    </row>
    <row r="92" spans="2:9">
      <c r="B92" s="10"/>
      <c r="C92" s="7" t="s">
        <v>9</v>
      </c>
      <c r="D92" s="7" t="s">
        <v>474</v>
      </c>
      <c r="E92" s="7" t="s">
        <v>475</v>
      </c>
      <c r="F92" s="7" t="s">
        <v>476</v>
      </c>
      <c r="G92" s="6"/>
    </row>
    <row r="93" spans="2:9">
      <c r="B93" s="10"/>
      <c r="C93" s="7" t="s">
        <v>477</v>
      </c>
      <c r="D93" s="11" t="s">
        <v>10</v>
      </c>
      <c r="E93" s="3" t="s">
        <v>378</v>
      </c>
      <c r="F93" s="7" t="s">
        <v>557</v>
      </c>
    </row>
    <row r="94" spans="2:9">
      <c r="B94" s="10"/>
      <c r="C94" s="7" t="s">
        <v>486</v>
      </c>
      <c r="D94" s="11"/>
      <c r="F94" s="7" t="s">
        <v>478</v>
      </c>
    </row>
    <row r="95" spans="2:9">
      <c r="B95" s="10"/>
      <c r="C95" s="7" t="s">
        <v>479</v>
      </c>
      <c r="D95" s="11"/>
      <c r="F95" s="7" t="s">
        <v>414</v>
      </c>
    </row>
    <row r="96" spans="2:9">
      <c r="B96" s="10"/>
      <c r="C96" s="7" t="s">
        <v>501</v>
      </c>
      <c r="D96" s="11"/>
    </row>
    <row r="97" spans="2:9">
      <c r="B97" s="10"/>
      <c r="C97" s="7" t="s">
        <v>11</v>
      </c>
      <c r="D97" s="7" t="s">
        <v>474</v>
      </c>
      <c r="E97" s="7" t="s">
        <v>475</v>
      </c>
      <c r="F97" s="7" t="s">
        <v>476</v>
      </c>
      <c r="G97" s="6"/>
    </row>
    <row r="98" spans="2:9">
      <c r="B98" s="10"/>
      <c r="C98" s="7" t="s">
        <v>477</v>
      </c>
      <c r="D98" s="11" t="s">
        <v>12</v>
      </c>
      <c r="E98" s="7" t="s">
        <v>379</v>
      </c>
      <c r="F98" s="7" t="s">
        <v>564</v>
      </c>
    </row>
    <row r="99" spans="2:9">
      <c r="B99" s="10"/>
      <c r="C99" s="7" t="s">
        <v>488</v>
      </c>
      <c r="D99" s="11"/>
      <c r="F99" s="7" t="s">
        <v>478</v>
      </c>
    </row>
    <row r="100" spans="2:9">
      <c r="B100" s="10"/>
      <c r="C100" s="7" t="s">
        <v>479</v>
      </c>
      <c r="D100" s="11"/>
      <c r="F100" s="7" t="s">
        <v>414</v>
      </c>
    </row>
    <row r="101" spans="2:9">
      <c r="B101" s="10"/>
      <c r="C101" s="7" t="s">
        <v>506</v>
      </c>
      <c r="D101" s="11"/>
    </row>
    <row r="102" spans="2:9">
      <c r="B102" s="10"/>
      <c r="C102" s="7" t="s">
        <v>13</v>
      </c>
      <c r="D102" s="7" t="s">
        <v>474</v>
      </c>
      <c r="E102" s="7" t="s">
        <v>475</v>
      </c>
      <c r="F102" s="7" t="s">
        <v>476</v>
      </c>
      <c r="G102" s="6"/>
    </row>
    <row r="103" spans="2:9" ht="56.25">
      <c r="B103" s="10"/>
      <c r="C103" s="7" t="s">
        <v>477</v>
      </c>
      <c r="D103" s="11" t="s">
        <v>14</v>
      </c>
      <c r="E103" s="3" t="s">
        <v>565</v>
      </c>
      <c r="F103" s="7" t="s">
        <v>557</v>
      </c>
      <c r="I103" s="3"/>
    </row>
    <row r="104" spans="2:9">
      <c r="B104" s="10"/>
      <c r="C104" s="7" t="s">
        <v>486</v>
      </c>
      <c r="D104" s="11"/>
      <c r="F104" s="7" t="s">
        <v>478</v>
      </c>
    </row>
    <row r="105" spans="2:9">
      <c r="B105" s="10"/>
      <c r="C105" s="7" t="s">
        <v>479</v>
      </c>
      <c r="D105" s="11"/>
      <c r="F105" s="7" t="s">
        <v>414</v>
      </c>
    </row>
    <row r="106" spans="2:9">
      <c r="B106" s="10"/>
      <c r="C106" s="7" t="s">
        <v>503</v>
      </c>
      <c r="D106" s="11"/>
    </row>
    <row r="107" spans="2:9">
      <c r="B107" s="10"/>
      <c r="C107" s="7" t="s">
        <v>15</v>
      </c>
      <c r="D107" s="7" t="s">
        <v>474</v>
      </c>
      <c r="E107" s="7" t="s">
        <v>475</v>
      </c>
      <c r="F107" s="7" t="s">
        <v>476</v>
      </c>
      <c r="G107" s="6"/>
    </row>
    <row r="108" spans="2:9" ht="45">
      <c r="B108" s="10"/>
      <c r="C108" s="7" t="s">
        <v>477</v>
      </c>
      <c r="D108" s="11" t="s">
        <v>16</v>
      </c>
      <c r="E108" s="3" t="s">
        <v>566</v>
      </c>
      <c r="F108" s="7" t="s">
        <v>557</v>
      </c>
      <c r="I108" s="3"/>
    </row>
    <row r="109" spans="2:9">
      <c r="B109" s="10"/>
      <c r="C109" s="7" t="s">
        <v>486</v>
      </c>
      <c r="D109" s="11"/>
      <c r="F109" s="7" t="s">
        <v>478</v>
      </c>
    </row>
    <row r="110" spans="2:9">
      <c r="B110" s="10"/>
      <c r="C110" s="7" t="s">
        <v>479</v>
      </c>
      <c r="D110" s="11"/>
      <c r="F110" s="7" t="s">
        <v>414</v>
      </c>
    </row>
    <row r="111" spans="2:9">
      <c r="B111" s="10"/>
      <c r="C111" s="7" t="s">
        <v>507</v>
      </c>
      <c r="D111" s="11"/>
    </row>
    <row r="112" spans="2:9">
      <c r="B112" s="10"/>
      <c r="C112" s="7" t="s">
        <v>234</v>
      </c>
      <c r="D112" s="7" t="s">
        <v>474</v>
      </c>
      <c r="E112" s="7" t="s">
        <v>475</v>
      </c>
      <c r="F112" s="7" t="s">
        <v>476</v>
      </c>
      <c r="G112" s="6"/>
    </row>
    <row r="113" spans="2:9" ht="78.75">
      <c r="B113" s="10"/>
      <c r="C113" s="7" t="s">
        <v>477</v>
      </c>
      <c r="D113" s="11" t="s">
        <v>481</v>
      </c>
      <c r="E113" s="3" t="s">
        <v>567</v>
      </c>
      <c r="F113" s="7" t="s">
        <v>557</v>
      </c>
      <c r="I113" s="3"/>
    </row>
    <row r="114" spans="2:9">
      <c r="B114" s="10"/>
      <c r="C114" s="7" t="s">
        <v>481</v>
      </c>
      <c r="D114" s="11"/>
      <c r="F114" s="7" t="s">
        <v>478</v>
      </c>
    </row>
    <row r="115" spans="2:9">
      <c r="B115" s="10"/>
      <c r="C115" s="7" t="s">
        <v>479</v>
      </c>
      <c r="D115" s="11"/>
      <c r="F115" s="7" t="s">
        <v>414</v>
      </c>
    </row>
    <row r="116" spans="2:9">
      <c r="B116" s="10"/>
      <c r="C116" s="7" t="s">
        <v>508</v>
      </c>
      <c r="D116" s="11"/>
    </row>
    <row r="117" spans="2:9">
      <c r="B117" s="10"/>
      <c r="C117" s="7" t="s">
        <v>17</v>
      </c>
      <c r="D117" s="7" t="s">
        <v>474</v>
      </c>
      <c r="E117" s="7" t="s">
        <v>475</v>
      </c>
      <c r="F117" s="7" t="s">
        <v>476</v>
      </c>
      <c r="G117" s="6"/>
    </row>
    <row r="118" spans="2:9" ht="56.25">
      <c r="B118" s="10"/>
      <c r="C118" s="7" t="s">
        <v>477</v>
      </c>
      <c r="D118" s="11" t="s">
        <v>18</v>
      </c>
      <c r="E118" s="3" t="s">
        <v>568</v>
      </c>
      <c r="F118" s="7" t="s">
        <v>563</v>
      </c>
      <c r="I118" s="3"/>
    </row>
    <row r="119" spans="2:9">
      <c r="B119" s="10"/>
      <c r="C119" s="7" t="s">
        <v>482</v>
      </c>
      <c r="D119" s="11"/>
      <c r="F119" s="7" t="s">
        <v>478</v>
      </c>
    </row>
    <row r="120" spans="2:9">
      <c r="B120" s="10"/>
      <c r="C120" s="7" t="s">
        <v>479</v>
      </c>
      <c r="D120" s="11"/>
      <c r="F120" s="7" t="s">
        <v>414</v>
      </c>
    </row>
    <row r="121" spans="2:9">
      <c r="B121" s="10"/>
      <c r="C121" s="7" t="s">
        <v>509</v>
      </c>
      <c r="D121" s="11"/>
    </row>
    <row r="122" spans="2:9">
      <c r="B122" s="10"/>
      <c r="C122" s="7" t="s">
        <v>19</v>
      </c>
      <c r="D122" s="7" t="s">
        <v>474</v>
      </c>
      <c r="E122" s="7" t="s">
        <v>475</v>
      </c>
      <c r="F122" s="7" t="s">
        <v>476</v>
      </c>
      <c r="G122" s="6"/>
    </row>
    <row r="123" spans="2:9">
      <c r="B123" s="10"/>
      <c r="C123" s="7" t="s">
        <v>477</v>
      </c>
      <c r="D123" s="11" t="s">
        <v>20</v>
      </c>
      <c r="E123" s="7" t="s">
        <v>380</v>
      </c>
      <c r="F123" s="7" t="s">
        <v>569</v>
      </c>
      <c r="I123" s="3"/>
    </row>
    <row r="124" spans="2:9">
      <c r="B124" s="10"/>
      <c r="C124" s="7" t="s">
        <v>489</v>
      </c>
      <c r="D124" s="11"/>
      <c r="F124" s="7" t="s">
        <v>478</v>
      </c>
    </row>
    <row r="125" spans="2:9">
      <c r="B125" s="10"/>
      <c r="C125" s="7" t="s">
        <v>479</v>
      </c>
      <c r="D125" s="11"/>
      <c r="F125" s="7" t="s">
        <v>414</v>
      </c>
    </row>
    <row r="126" spans="2:9">
      <c r="B126" s="10"/>
      <c r="C126" s="7" t="s">
        <v>500</v>
      </c>
      <c r="D126" s="11"/>
    </row>
    <row r="127" spans="2:9">
      <c r="B127" s="10"/>
      <c r="C127" s="7" t="s">
        <v>21</v>
      </c>
      <c r="D127" s="7" t="s">
        <v>474</v>
      </c>
      <c r="E127" s="7" t="s">
        <v>475</v>
      </c>
      <c r="F127" s="7" t="s">
        <v>476</v>
      </c>
      <c r="G127" s="6"/>
    </row>
    <row r="128" spans="2:9">
      <c r="B128" s="10"/>
      <c r="C128" s="7" t="s">
        <v>477</v>
      </c>
      <c r="D128" s="11" t="s">
        <v>22</v>
      </c>
      <c r="E128" s="7" t="s">
        <v>381</v>
      </c>
      <c r="F128" s="7" t="s">
        <v>563</v>
      </c>
    </row>
    <row r="129" spans="2:9">
      <c r="B129" s="10"/>
      <c r="C129" s="7" t="s">
        <v>489</v>
      </c>
      <c r="D129" s="11"/>
      <c r="F129" s="7" t="s">
        <v>478</v>
      </c>
    </row>
    <row r="130" spans="2:9">
      <c r="B130" s="10"/>
      <c r="C130" s="7" t="s">
        <v>479</v>
      </c>
      <c r="D130" s="11"/>
      <c r="F130" s="7" t="s">
        <v>414</v>
      </c>
    </row>
    <row r="131" spans="2:9">
      <c r="B131" s="10"/>
      <c r="C131" s="7" t="s">
        <v>500</v>
      </c>
      <c r="D131" s="11"/>
    </row>
    <row r="132" spans="2:9">
      <c r="B132" s="10"/>
      <c r="C132" s="7" t="s">
        <v>23</v>
      </c>
      <c r="D132" s="7" t="s">
        <v>474</v>
      </c>
      <c r="E132" s="7" t="s">
        <v>475</v>
      </c>
      <c r="F132" s="7" t="s">
        <v>476</v>
      </c>
      <c r="G132" s="6"/>
    </row>
    <row r="133" spans="2:9" ht="56.25">
      <c r="B133" s="10"/>
      <c r="C133" s="7" t="s">
        <v>477</v>
      </c>
      <c r="D133" s="11" t="s">
        <v>24</v>
      </c>
      <c r="E133" s="3" t="s">
        <v>570</v>
      </c>
      <c r="F133" s="7" t="s">
        <v>555</v>
      </c>
      <c r="I133" s="3"/>
    </row>
    <row r="134" spans="2:9">
      <c r="B134" s="10"/>
      <c r="C134" s="7" t="s">
        <v>480</v>
      </c>
      <c r="D134" s="11"/>
      <c r="F134" s="7" t="s">
        <v>478</v>
      </c>
    </row>
    <row r="135" spans="2:9">
      <c r="B135" s="10"/>
      <c r="C135" s="7" t="s">
        <v>479</v>
      </c>
      <c r="D135" s="11"/>
      <c r="F135" s="7" t="s">
        <v>414</v>
      </c>
    </row>
    <row r="136" spans="2:9">
      <c r="B136" s="10"/>
      <c r="C136" s="7" t="s">
        <v>503</v>
      </c>
      <c r="D136" s="11"/>
    </row>
    <row r="137" spans="2:9">
      <c r="B137" s="10"/>
      <c r="C137" s="7" t="s">
        <v>223</v>
      </c>
      <c r="D137" s="7" t="s">
        <v>474</v>
      </c>
      <c r="E137" s="7" t="s">
        <v>475</v>
      </c>
      <c r="F137" s="7" t="s">
        <v>476</v>
      </c>
      <c r="G137" s="6"/>
    </row>
    <row r="138" spans="2:9">
      <c r="B138" s="10"/>
      <c r="C138" s="7" t="s">
        <v>477</v>
      </c>
      <c r="D138" s="11" t="s">
        <v>481</v>
      </c>
      <c r="E138" s="3" t="s">
        <v>481</v>
      </c>
      <c r="F138" s="7" t="s">
        <v>481</v>
      </c>
      <c r="I138" s="3"/>
    </row>
    <row r="139" spans="2:9">
      <c r="B139" s="10"/>
      <c r="C139" s="7" t="s">
        <v>481</v>
      </c>
      <c r="D139" s="11"/>
      <c r="F139" s="7" t="s">
        <v>478</v>
      </c>
    </row>
    <row r="140" spans="2:9">
      <c r="B140" s="10"/>
      <c r="C140" s="7" t="s">
        <v>479</v>
      </c>
      <c r="D140" s="11"/>
      <c r="F140" s="7" t="s">
        <v>481</v>
      </c>
    </row>
    <row r="141" spans="2:9">
      <c r="B141" s="10"/>
      <c r="C141" s="7" t="s">
        <v>494</v>
      </c>
      <c r="D141" s="11"/>
    </row>
    <row r="142" spans="2:9">
      <c r="B142" s="10"/>
      <c r="C142" s="7" t="s">
        <v>25</v>
      </c>
      <c r="D142" s="7" t="s">
        <v>474</v>
      </c>
      <c r="E142" s="7" t="s">
        <v>475</v>
      </c>
      <c r="F142" s="7" t="s">
        <v>476</v>
      </c>
      <c r="G142" s="6"/>
    </row>
    <row r="143" spans="2:9" ht="22.5">
      <c r="B143" s="10"/>
      <c r="C143" s="7" t="s">
        <v>477</v>
      </c>
      <c r="D143" s="11" t="s">
        <v>26</v>
      </c>
      <c r="E143" s="3" t="s">
        <v>382</v>
      </c>
      <c r="F143" s="7" t="s">
        <v>563</v>
      </c>
      <c r="I143" s="3"/>
    </row>
    <row r="144" spans="2:9">
      <c r="B144" s="10"/>
      <c r="C144" s="7" t="s">
        <v>480</v>
      </c>
      <c r="D144" s="11"/>
      <c r="F144" s="7" t="s">
        <v>478</v>
      </c>
    </row>
    <row r="145" spans="2:7">
      <c r="B145" s="10"/>
      <c r="C145" s="7" t="s">
        <v>479</v>
      </c>
      <c r="D145" s="11"/>
      <c r="F145" s="7" t="s">
        <v>414</v>
      </c>
    </row>
    <row r="146" spans="2:7">
      <c r="B146" s="10"/>
      <c r="C146" s="7" t="s">
        <v>480</v>
      </c>
      <c r="D146" s="11"/>
    </row>
    <row r="147" spans="2:7">
      <c r="B147" s="10"/>
      <c r="C147" s="7" t="s">
        <v>27</v>
      </c>
      <c r="D147" s="7" t="s">
        <v>474</v>
      </c>
      <c r="E147" s="7" t="s">
        <v>475</v>
      </c>
      <c r="F147" s="7" t="s">
        <v>476</v>
      </c>
      <c r="G147" s="6"/>
    </row>
    <row r="148" spans="2:7" ht="22.5">
      <c r="B148" s="10"/>
      <c r="C148" s="7" t="s">
        <v>477</v>
      </c>
      <c r="D148" s="11" t="s">
        <v>28</v>
      </c>
      <c r="E148" s="3" t="s">
        <v>383</v>
      </c>
      <c r="F148" s="7" t="s">
        <v>555</v>
      </c>
    </row>
    <row r="149" spans="2:7">
      <c r="B149" s="10"/>
      <c r="C149" s="7" t="s">
        <v>482</v>
      </c>
      <c r="D149" s="11"/>
      <c r="F149" s="7" t="s">
        <v>478</v>
      </c>
    </row>
    <row r="150" spans="2:7">
      <c r="B150" s="10"/>
      <c r="C150" s="7" t="s">
        <v>479</v>
      </c>
      <c r="D150" s="11"/>
      <c r="F150" s="7" t="s">
        <v>414</v>
      </c>
    </row>
    <row r="151" spans="2:7">
      <c r="B151" s="10"/>
      <c r="C151" s="7" t="s">
        <v>500</v>
      </c>
      <c r="D151" s="11"/>
    </row>
    <row r="152" spans="2:7">
      <c r="B152" s="10"/>
      <c r="C152" s="7" t="s">
        <v>29</v>
      </c>
      <c r="D152" s="7" t="s">
        <v>474</v>
      </c>
      <c r="E152" s="7" t="s">
        <v>475</v>
      </c>
      <c r="F152" s="7" t="s">
        <v>476</v>
      </c>
      <c r="G152" s="6"/>
    </row>
    <row r="153" spans="2:7">
      <c r="B153" s="10"/>
      <c r="C153" s="7" t="s">
        <v>477</v>
      </c>
      <c r="D153" s="11" t="s">
        <v>30</v>
      </c>
      <c r="E153" s="7" t="s">
        <v>384</v>
      </c>
      <c r="F153" s="7" t="s">
        <v>557</v>
      </c>
    </row>
    <row r="154" spans="2:7">
      <c r="B154" s="10"/>
      <c r="C154" s="7" t="s">
        <v>486</v>
      </c>
      <c r="D154" s="11"/>
      <c r="F154" s="7" t="s">
        <v>478</v>
      </c>
    </row>
    <row r="155" spans="2:7">
      <c r="B155" s="10"/>
      <c r="C155" s="7" t="s">
        <v>479</v>
      </c>
      <c r="D155" s="11"/>
      <c r="F155" s="7" t="s">
        <v>414</v>
      </c>
    </row>
    <row r="156" spans="2:7">
      <c r="B156" s="10"/>
      <c r="C156" s="7" t="s">
        <v>500</v>
      </c>
      <c r="D156" s="11"/>
    </row>
    <row r="157" spans="2:7">
      <c r="B157" s="10"/>
      <c r="C157" s="7" t="s">
        <v>31</v>
      </c>
      <c r="D157" s="7" t="s">
        <v>474</v>
      </c>
      <c r="E157" s="7" t="s">
        <v>475</v>
      </c>
      <c r="F157" s="7" t="s">
        <v>476</v>
      </c>
      <c r="G157" s="6"/>
    </row>
    <row r="158" spans="2:7">
      <c r="B158" s="10"/>
      <c r="C158" s="7" t="s">
        <v>477</v>
      </c>
      <c r="D158" s="11" t="s">
        <v>32</v>
      </c>
      <c r="E158" s="3" t="s">
        <v>385</v>
      </c>
      <c r="F158" s="7" t="s">
        <v>557</v>
      </c>
    </row>
    <row r="159" spans="2:7">
      <c r="B159" s="10"/>
      <c r="C159" s="7" t="s">
        <v>480</v>
      </c>
      <c r="D159" s="11"/>
      <c r="F159" s="7" t="s">
        <v>478</v>
      </c>
    </row>
    <row r="160" spans="2:7">
      <c r="B160" s="10"/>
      <c r="C160" s="7" t="s">
        <v>479</v>
      </c>
      <c r="D160" s="11"/>
      <c r="F160" s="7" t="s">
        <v>414</v>
      </c>
    </row>
    <row r="161" spans="2:9">
      <c r="B161" s="10"/>
      <c r="C161" s="7" t="s">
        <v>510</v>
      </c>
      <c r="D161" s="11"/>
    </row>
    <row r="162" spans="2:9">
      <c r="B162" s="10"/>
      <c r="C162" s="7" t="s">
        <v>233</v>
      </c>
      <c r="D162" s="7" t="s">
        <v>474</v>
      </c>
      <c r="E162" s="7" t="s">
        <v>475</v>
      </c>
      <c r="F162" s="7" t="s">
        <v>476</v>
      </c>
      <c r="G162" s="6"/>
    </row>
    <row r="163" spans="2:9" ht="33.75">
      <c r="B163" s="10"/>
      <c r="C163" s="7" t="s">
        <v>477</v>
      </c>
      <c r="D163" s="11" t="s">
        <v>481</v>
      </c>
      <c r="E163" s="3" t="s">
        <v>571</v>
      </c>
      <c r="F163" s="7" t="s">
        <v>555</v>
      </c>
      <c r="I163" s="3"/>
    </row>
    <row r="164" spans="2:9">
      <c r="B164" s="10"/>
      <c r="C164" s="7" t="s">
        <v>481</v>
      </c>
      <c r="D164" s="11"/>
      <c r="F164" s="7" t="s">
        <v>478</v>
      </c>
    </row>
    <row r="165" spans="2:9">
      <c r="B165" s="10"/>
      <c r="C165" s="7" t="s">
        <v>479</v>
      </c>
      <c r="D165" s="11"/>
      <c r="F165" s="7" t="s">
        <v>414</v>
      </c>
    </row>
    <row r="166" spans="2:9">
      <c r="B166" s="10"/>
      <c r="C166" s="7" t="s">
        <v>509</v>
      </c>
      <c r="D166" s="11"/>
    </row>
    <row r="167" spans="2:9">
      <c r="B167" s="10"/>
      <c r="C167" s="7" t="s">
        <v>33</v>
      </c>
      <c r="D167" s="7" t="s">
        <v>474</v>
      </c>
      <c r="E167" s="7" t="s">
        <v>475</v>
      </c>
      <c r="F167" s="7" t="s">
        <v>476</v>
      </c>
      <c r="G167" s="6"/>
    </row>
    <row r="168" spans="2:9" ht="33.75">
      <c r="B168" s="10"/>
      <c r="C168" s="7" t="s">
        <v>477</v>
      </c>
      <c r="D168" s="11" t="s">
        <v>34</v>
      </c>
      <c r="E168" s="3" t="s">
        <v>386</v>
      </c>
      <c r="F168" s="7" t="s">
        <v>555</v>
      </c>
      <c r="I168" s="3"/>
    </row>
    <row r="169" spans="2:9">
      <c r="B169" s="10"/>
      <c r="C169" s="7" t="s">
        <v>489</v>
      </c>
      <c r="D169" s="11"/>
      <c r="F169" s="7" t="s">
        <v>478</v>
      </c>
    </row>
    <row r="170" spans="2:9">
      <c r="B170" s="10"/>
      <c r="C170" s="7" t="s">
        <v>479</v>
      </c>
      <c r="D170" s="11"/>
      <c r="F170" s="7" t="s">
        <v>414</v>
      </c>
    </row>
    <row r="171" spans="2:9">
      <c r="B171" s="10"/>
      <c r="C171" s="7" t="s">
        <v>480</v>
      </c>
      <c r="D171" s="11"/>
    </row>
    <row r="172" spans="2:9">
      <c r="B172" s="10"/>
      <c r="C172" s="7" t="s">
        <v>35</v>
      </c>
      <c r="D172" s="7" t="s">
        <v>474</v>
      </c>
      <c r="E172" s="7" t="s">
        <v>475</v>
      </c>
      <c r="F172" s="7" t="s">
        <v>476</v>
      </c>
      <c r="G172" s="6"/>
    </row>
    <row r="173" spans="2:9" ht="45">
      <c r="B173" s="10"/>
      <c r="C173" s="7" t="s">
        <v>477</v>
      </c>
      <c r="D173" s="11" t="s">
        <v>36</v>
      </c>
      <c r="E173" s="3" t="s">
        <v>572</v>
      </c>
      <c r="F173" s="7" t="s">
        <v>555</v>
      </c>
      <c r="I173" s="3"/>
    </row>
    <row r="174" spans="2:9">
      <c r="B174" s="10"/>
      <c r="C174" s="7" t="s">
        <v>480</v>
      </c>
      <c r="D174" s="11"/>
      <c r="F174" s="7" t="s">
        <v>478</v>
      </c>
    </row>
    <row r="175" spans="2:9">
      <c r="B175" s="10"/>
      <c r="C175" s="7" t="s">
        <v>479</v>
      </c>
      <c r="D175" s="11"/>
      <c r="F175" s="7" t="s">
        <v>414</v>
      </c>
    </row>
    <row r="176" spans="2:9">
      <c r="B176" s="10"/>
      <c r="C176" s="7" t="s">
        <v>480</v>
      </c>
      <c r="D176" s="11"/>
    </row>
    <row r="177" spans="2:9">
      <c r="B177" s="10"/>
      <c r="C177" s="7" t="s">
        <v>37</v>
      </c>
      <c r="D177" s="7" t="s">
        <v>474</v>
      </c>
      <c r="E177" s="7" t="s">
        <v>475</v>
      </c>
      <c r="F177" s="7" t="s">
        <v>476</v>
      </c>
      <c r="G177" s="6"/>
    </row>
    <row r="178" spans="2:9">
      <c r="B178" s="10"/>
      <c r="C178" s="7" t="s">
        <v>477</v>
      </c>
      <c r="D178" s="11" t="s">
        <v>38</v>
      </c>
      <c r="E178" s="3" t="s">
        <v>387</v>
      </c>
      <c r="F178" s="7" t="s">
        <v>555</v>
      </c>
      <c r="I178" s="3"/>
    </row>
    <row r="179" spans="2:9">
      <c r="B179" s="10"/>
      <c r="C179" s="7" t="s">
        <v>480</v>
      </c>
      <c r="D179" s="11"/>
      <c r="F179" s="7" t="s">
        <v>478</v>
      </c>
    </row>
    <row r="180" spans="2:9">
      <c r="B180" s="10"/>
      <c r="C180" s="7" t="s">
        <v>479</v>
      </c>
      <c r="D180" s="11"/>
      <c r="F180" s="7" t="s">
        <v>414</v>
      </c>
    </row>
    <row r="181" spans="2:9">
      <c r="B181" s="10"/>
      <c r="C181" s="7" t="s">
        <v>511</v>
      </c>
      <c r="D181" s="11"/>
    </row>
    <row r="182" spans="2:9">
      <c r="B182" s="10"/>
      <c r="C182" s="7" t="s">
        <v>39</v>
      </c>
      <c r="D182" s="7" t="s">
        <v>474</v>
      </c>
      <c r="E182" s="7" t="s">
        <v>475</v>
      </c>
      <c r="F182" s="7" t="s">
        <v>476</v>
      </c>
      <c r="G182" s="6"/>
    </row>
    <row r="183" spans="2:9" ht="45">
      <c r="B183" s="10"/>
      <c r="C183" s="7" t="s">
        <v>477</v>
      </c>
      <c r="D183" s="11" t="s">
        <v>40</v>
      </c>
      <c r="E183" s="3" t="s">
        <v>573</v>
      </c>
      <c r="F183" s="7" t="s">
        <v>559</v>
      </c>
      <c r="I183" s="3"/>
    </row>
    <row r="184" spans="2:9">
      <c r="B184" s="10"/>
      <c r="C184" s="7" t="s">
        <v>480</v>
      </c>
      <c r="D184" s="11"/>
      <c r="F184" s="7" t="s">
        <v>478</v>
      </c>
    </row>
    <row r="185" spans="2:9">
      <c r="B185" s="10"/>
      <c r="C185" s="7" t="s">
        <v>479</v>
      </c>
      <c r="D185" s="11"/>
      <c r="F185" s="7" t="s">
        <v>414</v>
      </c>
    </row>
    <row r="186" spans="2:9">
      <c r="B186" s="10"/>
      <c r="C186" s="7" t="s">
        <v>512</v>
      </c>
      <c r="D186" s="11"/>
    </row>
    <row r="187" spans="2:9">
      <c r="B187" s="10"/>
      <c r="C187" s="7" t="s">
        <v>255</v>
      </c>
      <c r="D187" s="7" t="s">
        <v>474</v>
      </c>
      <c r="E187" s="7" t="s">
        <v>475</v>
      </c>
      <c r="F187" s="7" t="s">
        <v>476</v>
      </c>
      <c r="G187" s="6"/>
    </row>
    <row r="188" spans="2:9" ht="22.5">
      <c r="B188" s="10"/>
      <c r="C188" s="7" t="s">
        <v>477</v>
      </c>
      <c r="D188" s="11" t="s">
        <v>481</v>
      </c>
      <c r="E188" s="3" t="s">
        <v>388</v>
      </c>
      <c r="F188" s="7" t="s">
        <v>555</v>
      </c>
      <c r="I188" s="3"/>
    </row>
    <row r="189" spans="2:9">
      <c r="B189" s="10"/>
      <c r="C189" s="7" t="s">
        <v>481</v>
      </c>
      <c r="D189" s="11"/>
      <c r="F189" s="7" t="s">
        <v>478</v>
      </c>
    </row>
    <row r="190" spans="2:9">
      <c r="B190" s="10"/>
      <c r="C190" s="7" t="s">
        <v>479</v>
      </c>
      <c r="D190" s="11"/>
      <c r="F190" s="7" t="s">
        <v>414</v>
      </c>
    </row>
    <row r="191" spans="2:9">
      <c r="B191" s="10"/>
      <c r="C191" s="7" t="s">
        <v>480</v>
      </c>
      <c r="D191" s="11"/>
    </row>
    <row r="192" spans="2:9">
      <c r="B192" s="10"/>
      <c r="C192" s="7" t="s">
        <v>41</v>
      </c>
      <c r="D192" s="7" t="s">
        <v>474</v>
      </c>
      <c r="E192" s="7" t="s">
        <v>475</v>
      </c>
      <c r="F192" s="7" t="s">
        <v>476</v>
      </c>
      <c r="G192" s="6"/>
    </row>
    <row r="193" spans="2:9" ht="67.5">
      <c r="B193" s="10"/>
      <c r="C193" s="7" t="s">
        <v>477</v>
      </c>
      <c r="D193" s="11" t="s">
        <v>42</v>
      </c>
      <c r="E193" s="3" t="s">
        <v>574</v>
      </c>
      <c r="F193" s="7" t="s">
        <v>563</v>
      </c>
      <c r="I193" s="3"/>
    </row>
    <row r="194" spans="2:9">
      <c r="B194" s="10"/>
      <c r="C194" s="7" t="s">
        <v>484</v>
      </c>
      <c r="D194" s="11"/>
      <c r="F194" s="7" t="s">
        <v>478</v>
      </c>
    </row>
    <row r="195" spans="2:9">
      <c r="B195" s="10"/>
      <c r="C195" s="7" t="s">
        <v>479</v>
      </c>
      <c r="D195" s="11"/>
      <c r="F195" s="7" t="s">
        <v>414</v>
      </c>
    </row>
    <row r="196" spans="2:9">
      <c r="B196" s="10"/>
      <c r="C196" s="7" t="s">
        <v>513</v>
      </c>
      <c r="D196" s="11"/>
    </row>
    <row r="197" spans="2:9">
      <c r="B197" s="10"/>
      <c r="C197" s="7" t="s">
        <v>43</v>
      </c>
      <c r="D197" s="7" t="s">
        <v>474</v>
      </c>
      <c r="E197" s="7" t="s">
        <v>475</v>
      </c>
      <c r="F197" s="7" t="s">
        <v>476</v>
      </c>
      <c r="G197" s="6"/>
    </row>
    <row r="198" spans="2:9" ht="33.75">
      <c r="B198" s="10"/>
      <c r="C198" s="7" t="s">
        <v>477</v>
      </c>
      <c r="D198" s="11" t="s">
        <v>44</v>
      </c>
      <c r="E198" s="3" t="s">
        <v>575</v>
      </c>
      <c r="F198" s="7" t="s">
        <v>555</v>
      </c>
      <c r="I198" s="3"/>
    </row>
    <row r="199" spans="2:9">
      <c r="B199" s="10"/>
      <c r="C199" s="7" t="s">
        <v>484</v>
      </c>
      <c r="D199" s="11"/>
      <c r="F199" s="7" t="s">
        <v>478</v>
      </c>
    </row>
    <row r="200" spans="2:9">
      <c r="B200" s="10"/>
      <c r="C200" s="7" t="s">
        <v>479</v>
      </c>
      <c r="D200" s="11"/>
      <c r="F200" s="7" t="s">
        <v>414</v>
      </c>
    </row>
    <row r="201" spans="2:9">
      <c r="B201" s="10"/>
      <c r="C201" s="7" t="s">
        <v>514</v>
      </c>
      <c r="D201" s="11"/>
    </row>
    <row r="202" spans="2:9">
      <c r="B202" s="10"/>
      <c r="C202" s="7" t="s">
        <v>45</v>
      </c>
      <c r="D202" s="7" t="s">
        <v>474</v>
      </c>
      <c r="E202" s="7" t="s">
        <v>475</v>
      </c>
      <c r="F202" s="7" t="s">
        <v>476</v>
      </c>
      <c r="G202" s="6"/>
    </row>
    <row r="203" spans="2:9" ht="56.25">
      <c r="B203" s="10"/>
      <c r="C203" s="7" t="s">
        <v>477</v>
      </c>
      <c r="D203" s="11" t="s">
        <v>46</v>
      </c>
      <c r="E203" s="3" t="s">
        <v>577</v>
      </c>
      <c r="F203" s="7" t="s">
        <v>576</v>
      </c>
      <c r="I203" s="3"/>
    </row>
    <row r="204" spans="2:9">
      <c r="B204" s="10"/>
      <c r="C204" s="7" t="s">
        <v>488</v>
      </c>
      <c r="D204" s="11"/>
      <c r="F204" s="7" t="s">
        <v>478</v>
      </c>
    </row>
    <row r="205" spans="2:9">
      <c r="B205" s="10"/>
      <c r="C205" s="7" t="s">
        <v>479</v>
      </c>
      <c r="D205" s="11"/>
      <c r="F205" s="7" t="s">
        <v>376</v>
      </c>
    </row>
    <row r="206" spans="2:9">
      <c r="B206" s="10"/>
      <c r="C206" s="7" t="s">
        <v>512</v>
      </c>
      <c r="D206" s="11"/>
    </row>
    <row r="207" spans="2:9">
      <c r="B207" s="10"/>
      <c r="C207" s="7" t="s">
        <v>47</v>
      </c>
      <c r="D207" s="7" t="s">
        <v>474</v>
      </c>
      <c r="E207" s="7" t="s">
        <v>475</v>
      </c>
      <c r="F207" s="7" t="s">
        <v>476</v>
      </c>
      <c r="G207" s="6"/>
    </row>
    <row r="208" spans="2:9">
      <c r="B208" s="10"/>
      <c r="C208" s="7" t="s">
        <v>477</v>
      </c>
      <c r="D208" s="11" t="s">
        <v>48</v>
      </c>
      <c r="E208" s="3" t="s">
        <v>389</v>
      </c>
      <c r="F208" s="7" t="s">
        <v>555</v>
      </c>
      <c r="I208" s="3"/>
    </row>
    <row r="209" spans="2:9">
      <c r="B209" s="10"/>
      <c r="C209" s="7" t="s">
        <v>484</v>
      </c>
      <c r="D209" s="11"/>
      <c r="F209" s="7" t="s">
        <v>478</v>
      </c>
    </row>
    <row r="210" spans="2:9">
      <c r="B210" s="10"/>
      <c r="C210" s="7" t="s">
        <v>479</v>
      </c>
      <c r="D210" s="11"/>
      <c r="F210" s="7" t="s">
        <v>414</v>
      </c>
    </row>
    <row r="211" spans="2:9">
      <c r="B211" s="10"/>
      <c r="C211" s="7" t="s">
        <v>497</v>
      </c>
      <c r="D211" s="11"/>
    </row>
    <row r="212" spans="2:9">
      <c r="B212" s="10"/>
      <c r="C212" s="7" t="s">
        <v>49</v>
      </c>
      <c r="D212" s="7" t="s">
        <v>474</v>
      </c>
      <c r="E212" s="7" t="s">
        <v>475</v>
      </c>
      <c r="F212" s="7" t="s">
        <v>476</v>
      </c>
      <c r="G212" s="6"/>
    </row>
    <row r="213" spans="2:9" ht="22.5">
      <c r="B213" s="10"/>
      <c r="C213" s="7" t="s">
        <v>477</v>
      </c>
      <c r="D213" s="11" t="s">
        <v>50</v>
      </c>
      <c r="E213" s="3" t="s">
        <v>390</v>
      </c>
      <c r="F213" s="7" t="s">
        <v>563</v>
      </c>
    </row>
    <row r="214" spans="2:9">
      <c r="B214" s="10"/>
      <c r="C214" s="7" t="s">
        <v>486</v>
      </c>
      <c r="D214" s="11"/>
      <c r="F214" s="7" t="s">
        <v>478</v>
      </c>
    </row>
    <row r="215" spans="2:9">
      <c r="B215" s="10"/>
      <c r="C215" s="7" t="s">
        <v>479</v>
      </c>
      <c r="D215" s="11"/>
      <c r="F215" s="7" t="s">
        <v>414</v>
      </c>
    </row>
    <row r="216" spans="2:9">
      <c r="B216" s="10"/>
      <c r="C216" s="7" t="s">
        <v>480</v>
      </c>
      <c r="D216" s="11"/>
    </row>
    <row r="217" spans="2:9">
      <c r="B217" s="10"/>
      <c r="C217" s="7" t="s">
        <v>51</v>
      </c>
      <c r="D217" s="7" t="s">
        <v>474</v>
      </c>
      <c r="E217" s="7" t="s">
        <v>475</v>
      </c>
      <c r="F217" s="7" t="s">
        <v>476</v>
      </c>
      <c r="G217" s="6"/>
    </row>
    <row r="218" spans="2:9" ht="22.5">
      <c r="B218" s="10"/>
      <c r="C218" s="7" t="s">
        <v>477</v>
      </c>
      <c r="D218" s="11" t="s">
        <v>52</v>
      </c>
      <c r="E218" s="3" t="s">
        <v>391</v>
      </c>
      <c r="F218" s="7" t="s">
        <v>555</v>
      </c>
    </row>
    <row r="219" spans="2:9">
      <c r="B219" s="10"/>
      <c r="C219" s="7" t="s">
        <v>486</v>
      </c>
      <c r="D219" s="11"/>
      <c r="F219" s="7" t="s">
        <v>478</v>
      </c>
    </row>
    <row r="220" spans="2:9">
      <c r="B220" s="10"/>
      <c r="C220" s="7" t="s">
        <v>479</v>
      </c>
      <c r="D220" s="11"/>
      <c r="F220" s="7" t="s">
        <v>414</v>
      </c>
    </row>
    <row r="221" spans="2:9">
      <c r="B221" s="10"/>
      <c r="C221" s="7" t="s">
        <v>500</v>
      </c>
      <c r="D221" s="11"/>
    </row>
    <row r="222" spans="2:9">
      <c r="B222" s="10"/>
      <c r="C222" s="7" t="s">
        <v>53</v>
      </c>
      <c r="D222" s="7" t="s">
        <v>474</v>
      </c>
      <c r="E222" s="7" t="s">
        <v>475</v>
      </c>
      <c r="F222" s="7" t="s">
        <v>476</v>
      </c>
      <c r="G222" s="6"/>
    </row>
    <row r="223" spans="2:9" ht="33.75">
      <c r="B223" s="10"/>
      <c r="C223" s="7" t="s">
        <v>477</v>
      </c>
      <c r="D223" s="11" t="s">
        <v>54</v>
      </c>
      <c r="E223" s="3" t="s">
        <v>578</v>
      </c>
      <c r="F223" s="7" t="s">
        <v>564</v>
      </c>
      <c r="I223" s="3"/>
    </row>
    <row r="224" spans="2:9">
      <c r="B224" s="10"/>
      <c r="C224" s="7" t="s">
        <v>482</v>
      </c>
      <c r="D224" s="11"/>
      <c r="F224" s="7" t="s">
        <v>478</v>
      </c>
    </row>
    <row r="225" spans="2:9">
      <c r="B225" s="10"/>
      <c r="C225" s="7" t="s">
        <v>479</v>
      </c>
      <c r="D225" s="11"/>
      <c r="F225" s="7" t="s">
        <v>414</v>
      </c>
    </row>
    <row r="226" spans="2:9">
      <c r="B226" s="10"/>
      <c r="C226" s="7" t="s">
        <v>515</v>
      </c>
      <c r="D226" s="11"/>
    </row>
    <row r="227" spans="2:9">
      <c r="B227" s="10"/>
      <c r="C227" s="7" t="s">
        <v>55</v>
      </c>
      <c r="D227" s="7" t="s">
        <v>474</v>
      </c>
      <c r="E227" s="7" t="s">
        <v>475</v>
      </c>
      <c r="F227" s="7" t="s">
        <v>476</v>
      </c>
      <c r="G227" s="6"/>
    </row>
    <row r="228" spans="2:9">
      <c r="B228" s="10"/>
      <c r="C228" s="7" t="s">
        <v>477</v>
      </c>
      <c r="D228" s="11" t="s">
        <v>56</v>
      </c>
      <c r="E228" s="3" t="s">
        <v>481</v>
      </c>
      <c r="F228" s="7" t="s">
        <v>481</v>
      </c>
      <c r="I228" s="3"/>
    </row>
    <row r="229" spans="2:9">
      <c r="B229" s="10"/>
      <c r="C229" s="7" t="s">
        <v>484</v>
      </c>
      <c r="D229" s="11"/>
      <c r="F229" s="7" t="s">
        <v>478</v>
      </c>
    </row>
    <row r="230" spans="2:9">
      <c r="B230" s="10"/>
      <c r="C230" s="7" t="s">
        <v>479</v>
      </c>
      <c r="D230" s="11"/>
      <c r="F230" s="7" t="s">
        <v>481</v>
      </c>
    </row>
    <row r="231" spans="2:9">
      <c r="B231" s="10"/>
      <c r="C231" s="7" t="s">
        <v>494</v>
      </c>
      <c r="D231" s="11"/>
    </row>
    <row r="232" spans="2:9">
      <c r="B232" s="10"/>
      <c r="C232" s="7" t="s">
        <v>227</v>
      </c>
      <c r="D232" s="7" t="s">
        <v>474</v>
      </c>
      <c r="E232" s="7" t="s">
        <v>475</v>
      </c>
      <c r="F232" s="7" t="s">
        <v>476</v>
      </c>
      <c r="G232" s="6"/>
    </row>
    <row r="233" spans="2:9" ht="45">
      <c r="B233" s="10"/>
      <c r="C233" s="7" t="s">
        <v>477</v>
      </c>
      <c r="D233" s="11" t="s">
        <v>481</v>
      </c>
      <c r="E233" s="3" t="s">
        <v>580</v>
      </c>
      <c r="F233" s="7" t="s">
        <v>579</v>
      </c>
      <c r="I233" s="3"/>
    </row>
    <row r="234" spans="2:9">
      <c r="B234" s="10"/>
      <c r="C234" s="7" t="s">
        <v>481</v>
      </c>
      <c r="D234" s="11"/>
      <c r="F234" s="7" t="s">
        <v>478</v>
      </c>
    </row>
    <row r="235" spans="2:9">
      <c r="B235" s="10"/>
      <c r="C235" s="7" t="s">
        <v>479</v>
      </c>
      <c r="D235" s="11"/>
      <c r="F235" s="7" t="s">
        <v>414</v>
      </c>
    </row>
    <row r="236" spans="2:9">
      <c r="B236" s="10"/>
      <c r="C236" s="7" t="s">
        <v>504</v>
      </c>
      <c r="D236" s="11"/>
    </row>
    <row r="237" spans="2:9">
      <c r="B237" s="10"/>
      <c r="C237" s="7" t="s">
        <v>57</v>
      </c>
      <c r="D237" s="7" t="s">
        <v>474</v>
      </c>
      <c r="E237" s="7" t="s">
        <v>475</v>
      </c>
      <c r="F237" s="7" t="s">
        <v>476</v>
      </c>
      <c r="G237" s="6"/>
    </row>
    <row r="238" spans="2:9" ht="22.5">
      <c r="B238" s="10"/>
      <c r="C238" s="7" t="s">
        <v>477</v>
      </c>
      <c r="D238" s="11" t="s">
        <v>58</v>
      </c>
      <c r="E238" s="3" t="s">
        <v>392</v>
      </c>
      <c r="F238" s="7" t="s">
        <v>576</v>
      </c>
      <c r="I238" s="3"/>
    </row>
    <row r="239" spans="2:9">
      <c r="B239" s="10"/>
      <c r="C239" s="7" t="s">
        <v>480</v>
      </c>
      <c r="D239" s="11"/>
      <c r="F239" s="7" t="s">
        <v>478</v>
      </c>
    </row>
    <row r="240" spans="2:9">
      <c r="B240" s="10"/>
      <c r="C240" s="7" t="s">
        <v>479</v>
      </c>
      <c r="D240" s="11"/>
      <c r="F240" s="7" t="s">
        <v>376</v>
      </c>
    </row>
    <row r="241" spans="2:9">
      <c r="B241" s="10"/>
      <c r="C241" s="7" t="s">
        <v>480</v>
      </c>
      <c r="D241" s="11"/>
    </row>
    <row r="242" spans="2:9">
      <c r="B242" s="10"/>
      <c r="C242" s="7" t="s">
        <v>59</v>
      </c>
      <c r="D242" s="7" t="s">
        <v>474</v>
      </c>
      <c r="E242" s="7" t="s">
        <v>475</v>
      </c>
      <c r="F242" s="7" t="s">
        <v>476</v>
      </c>
      <c r="G242" s="6"/>
    </row>
    <row r="243" spans="2:9" ht="33.75">
      <c r="B243" s="10"/>
      <c r="C243" s="7" t="s">
        <v>477</v>
      </c>
      <c r="D243" s="11" t="s">
        <v>60</v>
      </c>
      <c r="E243" s="3" t="s">
        <v>582</v>
      </c>
      <c r="F243" s="7" t="s">
        <v>581</v>
      </c>
      <c r="I243" s="3"/>
    </row>
    <row r="244" spans="2:9">
      <c r="B244" s="10"/>
      <c r="C244" s="7" t="s">
        <v>484</v>
      </c>
      <c r="D244" s="11"/>
      <c r="F244" s="7" t="s">
        <v>478</v>
      </c>
    </row>
    <row r="245" spans="2:9">
      <c r="B245" s="10"/>
      <c r="C245" s="7" t="s">
        <v>479</v>
      </c>
      <c r="D245" s="11"/>
      <c r="F245" s="7" t="s">
        <v>414</v>
      </c>
    </row>
    <row r="246" spans="2:9">
      <c r="B246" s="10"/>
      <c r="C246" s="7" t="s">
        <v>516</v>
      </c>
      <c r="D246" s="11"/>
    </row>
    <row r="247" spans="2:9">
      <c r="B247" s="10"/>
      <c r="C247" s="7" t="s">
        <v>61</v>
      </c>
      <c r="D247" s="7" t="s">
        <v>474</v>
      </c>
      <c r="E247" s="7" t="s">
        <v>475</v>
      </c>
      <c r="F247" s="7" t="s">
        <v>476</v>
      </c>
      <c r="G247" s="6"/>
    </row>
    <row r="248" spans="2:9" ht="56.25">
      <c r="B248" s="10"/>
      <c r="C248" s="7" t="s">
        <v>477</v>
      </c>
      <c r="D248" s="11" t="s">
        <v>62</v>
      </c>
      <c r="E248" s="3" t="s">
        <v>584</v>
      </c>
      <c r="F248" s="7" t="s">
        <v>583</v>
      </c>
      <c r="I248" s="3"/>
    </row>
    <row r="249" spans="2:9">
      <c r="B249" s="10"/>
      <c r="C249" s="7" t="s">
        <v>482</v>
      </c>
      <c r="D249" s="11"/>
      <c r="F249" s="7" t="s">
        <v>478</v>
      </c>
    </row>
    <row r="250" spans="2:9">
      <c r="B250" s="10"/>
      <c r="C250" s="7" t="s">
        <v>479</v>
      </c>
      <c r="D250" s="11"/>
      <c r="F250" s="7" t="s">
        <v>414</v>
      </c>
    </row>
    <row r="251" spans="2:9">
      <c r="B251" s="10"/>
      <c r="C251" s="7" t="s">
        <v>503</v>
      </c>
      <c r="D251" s="11"/>
    </row>
    <row r="252" spans="2:9">
      <c r="B252" s="10"/>
      <c r="C252" s="7" t="s">
        <v>63</v>
      </c>
      <c r="D252" s="7" t="s">
        <v>474</v>
      </c>
      <c r="E252" s="7" t="s">
        <v>475</v>
      </c>
      <c r="F252" s="7" t="s">
        <v>476</v>
      </c>
      <c r="G252" s="6"/>
    </row>
    <row r="253" spans="2:9" ht="33.75">
      <c r="B253" s="10"/>
      <c r="C253" s="7" t="s">
        <v>477</v>
      </c>
      <c r="D253" s="11" t="s">
        <v>64</v>
      </c>
      <c r="E253" s="3" t="s">
        <v>395</v>
      </c>
      <c r="F253" s="7" t="s">
        <v>583</v>
      </c>
      <c r="I253" s="3"/>
    </row>
    <row r="254" spans="2:9">
      <c r="B254" s="10"/>
      <c r="C254" s="7" t="s">
        <v>490</v>
      </c>
      <c r="D254" s="11"/>
      <c r="F254" s="7" t="s">
        <v>478</v>
      </c>
    </row>
    <row r="255" spans="2:9">
      <c r="B255" s="10"/>
      <c r="C255" s="7" t="s">
        <v>479</v>
      </c>
      <c r="D255" s="11"/>
      <c r="F255" s="7" t="s">
        <v>414</v>
      </c>
    </row>
    <row r="256" spans="2:9">
      <c r="B256" s="10"/>
      <c r="C256" s="7" t="s">
        <v>510</v>
      </c>
      <c r="D256" s="11"/>
    </row>
    <row r="257" spans="2:9">
      <c r="B257" s="10"/>
      <c r="C257" s="7" t="s">
        <v>65</v>
      </c>
      <c r="D257" s="7" t="s">
        <v>474</v>
      </c>
      <c r="E257" s="7" t="s">
        <v>475</v>
      </c>
      <c r="F257" s="7" t="s">
        <v>476</v>
      </c>
      <c r="G257" s="6"/>
    </row>
    <row r="258" spans="2:9" ht="33.75">
      <c r="B258" s="10"/>
      <c r="C258" s="7" t="s">
        <v>477</v>
      </c>
      <c r="D258" s="11" t="s">
        <v>66</v>
      </c>
      <c r="E258" s="3" t="s">
        <v>396</v>
      </c>
      <c r="F258" s="7" t="s">
        <v>585</v>
      </c>
    </row>
    <row r="259" spans="2:9">
      <c r="B259" s="10"/>
      <c r="C259" s="7" t="s">
        <v>490</v>
      </c>
      <c r="D259" s="11"/>
      <c r="F259" s="7" t="s">
        <v>478</v>
      </c>
    </row>
    <row r="260" spans="2:9">
      <c r="B260" s="10"/>
      <c r="C260" s="7" t="s">
        <v>479</v>
      </c>
      <c r="D260" s="11"/>
      <c r="F260" s="7" t="s">
        <v>414</v>
      </c>
    </row>
    <row r="261" spans="2:9">
      <c r="B261" s="10"/>
      <c r="C261" s="7" t="s">
        <v>510</v>
      </c>
      <c r="D261" s="11"/>
    </row>
    <row r="262" spans="2:9">
      <c r="B262" s="10"/>
      <c r="C262" s="7" t="s">
        <v>67</v>
      </c>
      <c r="D262" s="7" t="s">
        <v>474</v>
      </c>
      <c r="E262" s="7" t="s">
        <v>475</v>
      </c>
      <c r="F262" s="7" t="s">
        <v>476</v>
      </c>
      <c r="G262" s="6"/>
    </row>
    <row r="263" spans="2:9">
      <c r="B263" s="10"/>
      <c r="C263" s="7" t="s">
        <v>477</v>
      </c>
      <c r="D263" s="11" t="s">
        <v>68</v>
      </c>
      <c r="E263" s="3" t="s">
        <v>397</v>
      </c>
      <c r="F263" s="7" t="s">
        <v>583</v>
      </c>
    </row>
    <row r="264" spans="2:9">
      <c r="B264" s="10"/>
      <c r="C264" s="7" t="s">
        <v>489</v>
      </c>
      <c r="D264" s="11"/>
      <c r="F264" s="7" t="s">
        <v>478</v>
      </c>
    </row>
    <row r="265" spans="2:9">
      <c r="B265" s="10"/>
      <c r="C265" s="7" t="s">
        <v>479</v>
      </c>
      <c r="D265" s="11"/>
      <c r="F265" s="7" t="s">
        <v>414</v>
      </c>
    </row>
    <row r="266" spans="2:9">
      <c r="B266" s="10"/>
      <c r="C266" s="7" t="s">
        <v>512</v>
      </c>
      <c r="D266" s="11"/>
    </row>
    <row r="267" spans="2:9">
      <c r="B267" s="10"/>
      <c r="C267" s="7" t="s">
        <v>248</v>
      </c>
      <c r="D267" s="7" t="s">
        <v>474</v>
      </c>
      <c r="E267" s="7" t="s">
        <v>475</v>
      </c>
      <c r="F267" s="7" t="s">
        <v>476</v>
      </c>
      <c r="G267" s="6"/>
    </row>
    <row r="268" spans="2:9" ht="56.25">
      <c r="B268" s="10"/>
      <c r="C268" s="7" t="s">
        <v>477</v>
      </c>
      <c r="D268" s="11" t="s">
        <v>481</v>
      </c>
      <c r="E268" s="3" t="s">
        <v>586</v>
      </c>
      <c r="F268" s="7" t="s">
        <v>585</v>
      </c>
      <c r="I268" s="3"/>
    </row>
    <row r="269" spans="2:9">
      <c r="B269" s="10"/>
      <c r="C269" s="7" t="s">
        <v>481</v>
      </c>
      <c r="D269" s="11"/>
      <c r="F269" s="7" t="s">
        <v>478</v>
      </c>
    </row>
    <row r="270" spans="2:9">
      <c r="B270" s="10"/>
      <c r="C270" s="7" t="s">
        <v>479</v>
      </c>
      <c r="D270" s="11"/>
      <c r="F270" s="7" t="s">
        <v>414</v>
      </c>
    </row>
    <row r="271" spans="2:9">
      <c r="B271" s="10"/>
      <c r="C271" s="7" t="s">
        <v>489</v>
      </c>
      <c r="D271" s="11"/>
    </row>
    <row r="272" spans="2:9">
      <c r="B272" s="10"/>
      <c r="C272" s="7" t="s">
        <v>69</v>
      </c>
      <c r="D272" s="7" t="s">
        <v>474</v>
      </c>
      <c r="E272" s="7" t="s">
        <v>475</v>
      </c>
      <c r="F272" s="7" t="s">
        <v>476</v>
      </c>
      <c r="G272" s="6"/>
    </row>
    <row r="273" spans="2:9" ht="33.75">
      <c r="B273" s="10"/>
      <c r="C273" s="7" t="s">
        <v>477</v>
      </c>
      <c r="D273" s="11" t="s">
        <v>70</v>
      </c>
      <c r="E273" s="3" t="s">
        <v>398</v>
      </c>
      <c r="F273" s="7" t="s">
        <v>394</v>
      </c>
      <c r="I273" s="3"/>
    </row>
    <row r="274" spans="2:9">
      <c r="B274" s="10"/>
      <c r="C274" s="7" t="s">
        <v>490</v>
      </c>
      <c r="D274" s="11"/>
      <c r="F274" s="7" t="s">
        <v>478</v>
      </c>
    </row>
    <row r="275" spans="2:9">
      <c r="B275" s="10"/>
      <c r="C275" s="7" t="s">
        <v>479</v>
      </c>
      <c r="D275" s="11"/>
      <c r="F275" s="7" t="s">
        <v>393</v>
      </c>
    </row>
    <row r="276" spans="2:9">
      <c r="B276" s="10"/>
      <c r="C276" s="7" t="s">
        <v>511</v>
      </c>
      <c r="D276" s="11"/>
    </row>
    <row r="277" spans="2:9">
      <c r="B277" s="10"/>
      <c r="C277" s="7" t="s">
        <v>231</v>
      </c>
      <c r="D277" s="7" t="s">
        <v>474</v>
      </c>
      <c r="E277" s="7" t="s">
        <v>475</v>
      </c>
      <c r="F277" s="7" t="s">
        <v>476</v>
      </c>
      <c r="G277" s="6"/>
    </row>
    <row r="278" spans="2:9" ht="56.25">
      <c r="B278" s="10"/>
      <c r="C278" s="7" t="s">
        <v>477</v>
      </c>
      <c r="D278" s="11" t="s">
        <v>481</v>
      </c>
      <c r="E278" s="3" t="s">
        <v>587</v>
      </c>
      <c r="F278" s="7" t="s">
        <v>581</v>
      </c>
      <c r="I278" s="3"/>
    </row>
    <row r="279" spans="2:9">
      <c r="B279" s="10"/>
      <c r="C279" s="7" t="s">
        <v>481</v>
      </c>
      <c r="D279" s="11"/>
      <c r="F279" s="7" t="s">
        <v>478</v>
      </c>
    </row>
    <row r="280" spans="2:9">
      <c r="B280" s="10"/>
      <c r="C280" s="7" t="s">
        <v>479</v>
      </c>
      <c r="D280" s="11"/>
      <c r="F280" s="7" t="s">
        <v>414</v>
      </c>
    </row>
    <row r="281" spans="2:9">
      <c r="B281" s="10"/>
      <c r="C281" s="7" t="s">
        <v>517</v>
      </c>
      <c r="D281" s="11"/>
    </row>
    <row r="282" spans="2:9">
      <c r="B282" s="10"/>
      <c r="C282" s="7" t="s">
        <v>71</v>
      </c>
      <c r="D282" s="7" t="s">
        <v>474</v>
      </c>
      <c r="E282" s="7" t="s">
        <v>475</v>
      </c>
      <c r="F282" s="7" t="s">
        <v>476</v>
      </c>
      <c r="G282" s="6"/>
    </row>
    <row r="283" spans="2:9" ht="22.5">
      <c r="B283" s="10"/>
      <c r="C283" s="7" t="s">
        <v>477</v>
      </c>
      <c r="D283" s="11" t="s">
        <v>72</v>
      </c>
      <c r="E283" s="3" t="s">
        <v>588</v>
      </c>
      <c r="F283" s="7" t="s">
        <v>394</v>
      </c>
      <c r="I283" s="3"/>
    </row>
    <row r="284" spans="2:9">
      <c r="B284" s="10"/>
      <c r="C284" s="7" t="s">
        <v>489</v>
      </c>
      <c r="D284" s="11"/>
      <c r="F284" s="7" t="s">
        <v>478</v>
      </c>
    </row>
    <row r="285" spans="2:9">
      <c r="B285" s="10"/>
      <c r="C285" s="7" t="s">
        <v>479</v>
      </c>
      <c r="D285" s="11"/>
      <c r="F285" s="7" t="s">
        <v>393</v>
      </c>
    </row>
    <row r="286" spans="2:9">
      <c r="B286" s="10"/>
      <c r="C286" s="7" t="s">
        <v>480</v>
      </c>
      <c r="D286" s="11"/>
    </row>
    <row r="287" spans="2:9">
      <c r="B287" s="10"/>
      <c r="C287" s="7" t="s">
        <v>73</v>
      </c>
      <c r="D287" s="7" t="s">
        <v>474</v>
      </c>
      <c r="E287" s="7" t="s">
        <v>475</v>
      </c>
      <c r="F287" s="7" t="s">
        <v>476</v>
      </c>
      <c r="G287" s="6"/>
    </row>
    <row r="288" spans="2:9" ht="33.75">
      <c r="B288" s="10"/>
      <c r="C288" s="7" t="s">
        <v>477</v>
      </c>
      <c r="D288" s="11" t="s">
        <v>74</v>
      </c>
      <c r="E288" s="3" t="s">
        <v>399</v>
      </c>
      <c r="F288" s="7" t="s">
        <v>589</v>
      </c>
      <c r="I288" s="3"/>
    </row>
    <row r="289" spans="2:9">
      <c r="B289" s="10"/>
      <c r="C289" s="7" t="s">
        <v>489</v>
      </c>
      <c r="D289" s="11"/>
      <c r="F289" s="7" t="s">
        <v>478</v>
      </c>
    </row>
    <row r="290" spans="2:9">
      <c r="B290" s="10"/>
      <c r="C290" s="7" t="s">
        <v>479</v>
      </c>
      <c r="D290" s="11"/>
      <c r="F290" s="7" t="s">
        <v>414</v>
      </c>
    </row>
    <row r="291" spans="2:9">
      <c r="B291" s="10"/>
      <c r="C291" s="7" t="s">
        <v>480</v>
      </c>
      <c r="D291" s="11"/>
    </row>
    <row r="292" spans="2:9">
      <c r="B292" s="10"/>
      <c r="C292" s="7" t="s">
        <v>75</v>
      </c>
      <c r="D292" s="7" t="s">
        <v>474</v>
      </c>
      <c r="E292" s="7" t="s">
        <v>475</v>
      </c>
      <c r="F292" s="7" t="s">
        <v>476</v>
      </c>
      <c r="G292" s="6"/>
    </row>
    <row r="293" spans="2:9">
      <c r="B293" s="10"/>
      <c r="C293" s="7" t="s">
        <v>477</v>
      </c>
      <c r="D293" s="11" t="s">
        <v>76</v>
      </c>
      <c r="E293" s="7" t="s">
        <v>400</v>
      </c>
      <c r="F293" s="7" t="s">
        <v>583</v>
      </c>
    </row>
    <row r="294" spans="2:9">
      <c r="B294" s="10"/>
      <c r="C294" s="7" t="s">
        <v>486</v>
      </c>
      <c r="D294" s="11"/>
      <c r="F294" s="7" t="s">
        <v>478</v>
      </c>
    </row>
    <row r="295" spans="2:9">
      <c r="B295" s="10"/>
      <c r="C295" s="7" t="s">
        <v>479</v>
      </c>
      <c r="D295" s="11"/>
      <c r="F295" s="7" t="s">
        <v>414</v>
      </c>
    </row>
    <row r="296" spans="2:9">
      <c r="B296" s="10"/>
      <c r="C296" s="7" t="s">
        <v>480</v>
      </c>
      <c r="D296" s="11"/>
    </row>
    <row r="297" spans="2:9">
      <c r="B297" s="10"/>
      <c r="C297" s="7" t="s">
        <v>77</v>
      </c>
      <c r="D297" s="7" t="s">
        <v>474</v>
      </c>
      <c r="E297" s="7" t="s">
        <v>475</v>
      </c>
      <c r="F297" s="7" t="s">
        <v>476</v>
      </c>
      <c r="G297" s="6"/>
    </row>
    <row r="298" spans="2:9" ht="56.25">
      <c r="B298" s="10"/>
      <c r="C298" s="7" t="s">
        <v>477</v>
      </c>
      <c r="D298" s="11" t="s">
        <v>78</v>
      </c>
      <c r="E298" s="3" t="s">
        <v>590</v>
      </c>
      <c r="F298" s="7" t="s">
        <v>585</v>
      </c>
      <c r="I298" s="3"/>
    </row>
    <row r="299" spans="2:9">
      <c r="B299" s="10"/>
      <c r="C299" s="7" t="s">
        <v>486</v>
      </c>
      <c r="D299" s="11"/>
      <c r="F299" s="7" t="s">
        <v>478</v>
      </c>
    </row>
    <row r="300" spans="2:9">
      <c r="B300" s="10"/>
      <c r="C300" s="7" t="s">
        <v>479</v>
      </c>
      <c r="D300" s="11"/>
      <c r="F300" s="7" t="s">
        <v>414</v>
      </c>
    </row>
    <row r="301" spans="2:9">
      <c r="B301" s="10"/>
      <c r="C301" s="7" t="s">
        <v>480</v>
      </c>
      <c r="D301" s="11"/>
    </row>
    <row r="302" spans="2:9">
      <c r="B302" s="10"/>
      <c r="C302" s="7" t="s">
        <v>254</v>
      </c>
      <c r="D302" s="7" t="s">
        <v>474</v>
      </c>
      <c r="E302" s="7" t="s">
        <v>475</v>
      </c>
      <c r="F302" s="7" t="s">
        <v>476</v>
      </c>
      <c r="G302" s="6"/>
    </row>
    <row r="303" spans="2:9">
      <c r="B303" s="10"/>
      <c r="C303" s="7" t="s">
        <v>477</v>
      </c>
      <c r="D303" s="11" t="s">
        <v>481</v>
      </c>
      <c r="E303" s="7" t="s">
        <v>401</v>
      </c>
      <c r="F303" s="7" t="s">
        <v>589</v>
      </c>
      <c r="I303" s="3"/>
    </row>
    <row r="304" spans="2:9">
      <c r="B304" s="10"/>
      <c r="C304" s="7" t="s">
        <v>481</v>
      </c>
      <c r="D304" s="11"/>
      <c r="F304" s="7" t="s">
        <v>478</v>
      </c>
    </row>
    <row r="305" spans="2:9">
      <c r="B305" s="10"/>
      <c r="C305" s="7" t="s">
        <v>479</v>
      </c>
      <c r="D305" s="11"/>
      <c r="F305" s="7" t="s">
        <v>414</v>
      </c>
    </row>
    <row r="306" spans="2:9">
      <c r="B306" s="10"/>
      <c r="C306" s="7" t="s">
        <v>480</v>
      </c>
      <c r="D306" s="11"/>
    </row>
    <row r="307" spans="2:9">
      <c r="B307" s="10"/>
      <c r="C307" s="7" t="s">
        <v>79</v>
      </c>
      <c r="D307" s="7" t="s">
        <v>474</v>
      </c>
      <c r="E307" s="7" t="s">
        <v>475</v>
      </c>
      <c r="F307" s="7" t="s">
        <v>476</v>
      </c>
      <c r="G307" s="6"/>
    </row>
    <row r="308" spans="2:9" ht="45">
      <c r="B308" s="10"/>
      <c r="C308" s="7" t="s">
        <v>477</v>
      </c>
      <c r="D308" s="11" t="s">
        <v>80</v>
      </c>
      <c r="E308" s="3" t="s">
        <v>591</v>
      </c>
      <c r="F308" s="7" t="s">
        <v>583</v>
      </c>
      <c r="I308" s="3"/>
    </row>
    <row r="309" spans="2:9">
      <c r="B309" s="10"/>
      <c r="C309" s="7" t="s">
        <v>486</v>
      </c>
      <c r="D309" s="11"/>
      <c r="F309" s="7" t="s">
        <v>478</v>
      </c>
    </row>
    <row r="310" spans="2:9">
      <c r="B310" s="10"/>
      <c r="C310" s="7" t="s">
        <v>479</v>
      </c>
      <c r="D310" s="11"/>
      <c r="F310" s="7" t="s">
        <v>414</v>
      </c>
    </row>
    <row r="311" spans="2:9">
      <c r="B311" s="10"/>
      <c r="C311" s="7" t="s">
        <v>497</v>
      </c>
      <c r="D311" s="11"/>
    </row>
    <row r="312" spans="2:9">
      <c r="B312" s="10"/>
      <c r="C312" s="7" t="s">
        <v>247</v>
      </c>
      <c r="D312" s="7" t="s">
        <v>474</v>
      </c>
      <c r="E312" s="7" t="s">
        <v>475</v>
      </c>
      <c r="F312" s="7" t="s">
        <v>476</v>
      </c>
      <c r="G312" s="6"/>
    </row>
    <row r="313" spans="2:9" ht="33.75">
      <c r="B313" s="10"/>
      <c r="C313" s="7" t="s">
        <v>477</v>
      </c>
      <c r="D313" s="11" t="s">
        <v>481</v>
      </c>
      <c r="E313" s="3" t="s">
        <v>402</v>
      </c>
      <c r="F313" s="7" t="s">
        <v>583</v>
      </c>
      <c r="I313" s="3"/>
    </row>
    <row r="314" spans="2:9">
      <c r="B314" s="10"/>
      <c r="C314" s="7" t="s">
        <v>481</v>
      </c>
      <c r="D314" s="11"/>
      <c r="F314" s="7" t="s">
        <v>478</v>
      </c>
    </row>
    <row r="315" spans="2:9">
      <c r="B315" s="10"/>
      <c r="C315" s="7" t="s">
        <v>479</v>
      </c>
      <c r="D315" s="11"/>
      <c r="F315" s="7" t="s">
        <v>414</v>
      </c>
    </row>
    <row r="316" spans="2:9">
      <c r="B316" s="10"/>
      <c r="C316" s="7" t="s">
        <v>518</v>
      </c>
      <c r="D316" s="11"/>
    </row>
    <row r="317" spans="2:9">
      <c r="B317" s="10"/>
      <c r="C317" s="7" t="s">
        <v>81</v>
      </c>
      <c r="D317" s="7" t="s">
        <v>474</v>
      </c>
      <c r="E317" s="7" t="s">
        <v>475</v>
      </c>
      <c r="F317" s="7" t="s">
        <v>476</v>
      </c>
      <c r="G317" s="6"/>
    </row>
    <row r="318" spans="2:9" ht="56.25">
      <c r="B318" s="10"/>
      <c r="C318" s="7" t="s">
        <v>477</v>
      </c>
      <c r="D318" s="11" t="s">
        <v>82</v>
      </c>
      <c r="E318" s="3" t="s">
        <v>403</v>
      </c>
      <c r="F318" s="7" t="s">
        <v>592</v>
      </c>
    </row>
    <row r="319" spans="2:9">
      <c r="B319" s="10"/>
      <c r="C319" s="7" t="s">
        <v>482</v>
      </c>
      <c r="D319" s="11"/>
      <c r="F319" s="7" t="s">
        <v>478</v>
      </c>
    </row>
    <row r="320" spans="2:9">
      <c r="B320" s="10"/>
      <c r="C320" s="7" t="s">
        <v>479</v>
      </c>
      <c r="D320" s="11"/>
      <c r="F320" s="7" t="s">
        <v>414</v>
      </c>
    </row>
    <row r="321" spans="2:9">
      <c r="B321" s="10"/>
      <c r="C321" s="7" t="s">
        <v>519</v>
      </c>
      <c r="D321" s="11"/>
    </row>
    <row r="322" spans="2:9">
      <c r="B322" s="10"/>
      <c r="C322" s="7" t="s">
        <v>83</v>
      </c>
      <c r="D322" s="7" t="s">
        <v>474</v>
      </c>
      <c r="E322" s="7" t="s">
        <v>475</v>
      </c>
      <c r="F322" s="7" t="s">
        <v>476</v>
      </c>
      <c r="G322" s="6"/>
    </row>
    <row r="323" spans="2:9" ht="45">
      <c r="B323" s="10"/>
      <c r="C323" s="7" t="s">
        <v>477</v>
      </c>
      <c r="D323" s="11" t="s">
        <v>84</v>
      </c>
      <c r="E323" s="3" t="s">
        <v>593</v>
      </c>
      <c r="F323" s="7" t="s">
        <v>583</v>
      </c>
      <c r="I323" s="3"/>
    </row>
    <row r="324" spans="2:9">
      <c r="B324" s="10"/>
      <c r="C324" s="7" t="s">
        <v>486</v>
      </c>
      <c r="D324" s="11"/>
      <c r="F324" s="7" t="s">
        <v>478</v>
      </c>
    </row>
    <row r="325" spans="2:9">
      <c r="B325" s="10"/>
      <c r="C325" s="7" t="s">
        <v>479</v>
      </c>
      <c r="D325" s="11"/>
      <c r="F325" s="7" t="s">
        <v>414</v>
      </c>
    </row>
    <row r="326" spans="2:9">
      <c r="B326" s="10"/>
      <c r="C326" s="7" t="s">
        <v>520</v>
      </c>
      <c r="D326" s="11"/>
    </row>
    <row r="327" spans="2:9">
      <c r="B327" s="10"/>
      <c r="C327" s="7" t="s">
        <v>85</v>
      </c>
      <c r="D327" s="7" t="s">
        <v>474</v>
      </c>
      <c r="E327" s="7" t="s">
        <v>475</v>
      </c>
      <c r="F327" s="7" t="s">
        <v>476</v>
      </c>
      <c r="G327" s="6"/>
    </row>
    <row r="328" spans="2:9" ht="33.75">
      <c r="B328" s="10"/>
      <c r="C328" s="7" t="s">
        <v>477</v>
      </c>
      <c r="D328" s="11" t="s">
        <v>86</v>
      </c>
      <c r="E328" s="3" t="s">
        <v>594</v>
      </c>
      <c r="F328" s="7" t="s">
        <v>583</v>
      </c>
      <c r="I328" s="3"/>
    </row>
    <row r="329" spans="2:9">
      <c r="B329" s="10"/>
      <c r="C329" s="7" t="s">
        <v>482</v>
      </c>
      <c r="D329" s="11"/>
      <c r="F329" s="7" t="s">
        <v>478</v>
      </c>
    </row>
    <row r="330" spans="2:9">
      <c r="B330" s="10"/>
      <c r="C330" s="7" t="s">
        <v>479</v>
      </c>
      <c r="D330" s="11"/>
      <c r="F330" s="7" t="s">
        <v>414</v>
      </c>
    </row>
    <row r="331" spans="2:9">
      <c r="B331" s="10"/>
      <c r="C331" s="7" t="s">
        <v>501</v>
      </c>
      <c r="D331" s="11"/>
    </row>
    <row r="332" spans="2:9">
      <c r="B332" s="10"/>
      <c r="C332" s="7" t="s">
        <v>87</v>
      </c>
      <c r="D332" s="7" t="s">
        <v>474</v>
      </c>
      <c r="E332" s="7" t="s">
        <v>475</v>
      </c>
      <c r="F332" s="7" t="s">
        <v>476</v>
      </c>
      <c r="G332" s="6"/>
    </row>
    <row r="333" spans="2:9" ht="22.5">
      <c r="B333" s="10"/>
      <c r="C333" s="7" t="s">
        <v>477</v>
      </c>
      <c r="D333" s="11" t="s">
        <v>88</v>
      </c>
      <c r="E333" s="3" t="s">
        <v>404</v>
      </c>
      <c r="F333" s="7" t="s">
        <v>589</v>
      </c>
      <c r="I333" s="3"/>
    </row>
    <row r="334" spans="2:9">
      <c r="B334" s="10"/>
      <c r="C334" s="7" t="s">
        <v>489</v>
      </c>
      <c r="D334" s="11"/>
      <c r="F334" s="7" t="s">
        <v>478</v>
      </c>
    </row>
    <row r="335" spans="2:9">
      <c r="B335" s="10"/>
      <c r="C335" s="7" t="s">
        <v>479</v>
      </c>
      <c r="D335" s="11"/>
      <c r="F335" s="7" t="s">
        <v>414</v>
      </c>
    </row>
    <row r="336" spans="2:9">
      <c r="B336" s="10"/>
      <c r="C336" s="7" t="s">
        <v>512</v>
      </c>
      <c r="D336" s="11"/>
    </row>
    <row r="337" spans="2:9">
      <c r="B337" s="10"/>
      <c r="C337" s="7" t="s">
        <v>89</v>
      </c>
      <c r="D337" s="7" t="s">
        <v>474</v>
      </c>
      <c r="E337" s="7" t="s">
        <v>475</v>
      </c>
      <c r="F337" s="7" t="s">
        <v>476</v>
      </c>
      <c r="G337" s="6"/>
    </row>
    <row r="338" spans="2:9" ht="22.5">
      <c r="B338" s="10"/>
      <c r="C338" s="7" t="s">
        <v>477</v>
      </c>
      <c r="D338" s="11" t="s">
        <v>90</v>
      </c>
      <c r="E338" s="3" t="s">
        <v>405</v>
      </c>
      <c r="F338" s="7" t="s">
        <v>583</v>
      </c>
    </row>
    <row r="339" spans="2:9">
      <c r="B339" s="10"/>
      <c r="C339" s="7" t="s">
        <v>490</v>
      </c>
      <c r="D339" s="11"/>
      <c r="F339" s="7" t="s">
        <v>478</v>
      </c>
    </row>
    <row r="340" spans="2:9">
      <c r="B340" s="10"/>
      <c r="C340" s="7" t="s">
        <v>479</v>
      </c>
      <c r="D340" s="11"/>
      <c r="F340" s="7" t="s">
        <v>414</v>
      </c>
    </row>
    <row r="341" spans="2:9">
      <c r="B341" s="10"/>
      <c r="C341" s="7" t="s">
        <v>512</v>
      </c>
      <c r="D341" s="11"/>
    </row>
    <row r="342" spans="2:9">
      <c r="B342" s="10"/>
      <c r="C342" s="7" t="s">
        <v>91</v>
      </c>
      <c r="D342" s="7" t="s">
        <v>474</v>
      </c>
      <c r="E342" s="7" t="s">
        <v>475</v>
      </c>
      <c r="F342" s="7" t="s">
        <v>476</v>
      </c>
      <c r="G342" s="6"/>
    </row>
    <row r="343" spans="2:9" ht="78.75">
      <c r="B343" s="10"/>
      <c r="C343" s="7" t="s">
        <v>477</v>
      </c>
      <c r="D343" s="11" t="s">
        <v>92</v>
      </c>
      <c r="E343" s="3" t="s">
        <v>596</v>
      </c>
      <c r="F343" s="7" t="s">
        <v>595</v>
      </c>
      <c r="I343" s="3"/>
    </row>
    <row r="344" spans="2:9">
      <c r="B344" s="10"/>
      <c r="C344" s="7" t="s">
        <v>486</v>
      </c>
      <c r="D344" s="11"/>
      <c r="F344" s="7" t="s">
        <v>478</v>
      </c>
    </row>
    <row r="345" spans="2:9">
      <c r="B345" s="10"/>
      <c r="C345" s="7" t="s">
        <v>479</v>
      </c>
      <c r="D345" s="11"/>
      <c r="F345" s="7" t="s">
        <v>393</v>
      </c>
    </row>
    <row r="346" spans="2:9">
      <c r="B346" s="10"/>
      <c r="C346" s="7" t="s">
        <v>521</v>
      </c>
      <c r="D346" s="11"/>
    </row>
    <row r="347" spans="2:9">
      <c r="B347" s="10"/>
      <c r="C347" s="7" t="s">
        <v>260</v>
      </c>
      <c r="D347" s="7" t="s">
        <v>474</v>
      </c>
      <c r="E347" s="7" t="s">
        <v>475</v>
      </c>
      <c r="F347" s="7" t="s">
        <v>476</v>
      </c>
      <c r="G347" s="6"/>
    </row>
    <row r="348" spans="2:9" ht="45">
      <c r="B348" s="10"/>
      <c r="C348" s="7" t="s">
        <v>477</v>
      </c>
      <c r="D348" s="11" t="s">
        <v>481</v>
      </c>
      <c r="E348" s="3" t="s">
        <v>406</v>
      </c>
      <c r="F348" s="7" t="s">
        <v>597</v>
      </c>
      <c r="I348" s="3"/>
    </row>
    <row r="349" spans="2:9">
      <c r="B349" s="10"/>
      <c r="C349" s="7" t="s">
        <v>481</v>
      </c>
      <c r="D349" s="11"/>
      <c r="F349" s="7" t="s">
        <v>478</v>
      </c>
    </row>
    <row r="350" spans="2:9">
      <c r="B350" s="10"/>
      <c r="C350" s="7" t="s">
        <v>479</v>
      </c>
      <c r="D350" s="11"/>
      <c r="F350" s="7" t="s">
        <v>414</v>
      </c>
    </row>
    <row r="351" spans="2:9">
      <c r="B351" s="10"/>
      <c r="C351" s="7" t="s">
        <v>512</v>
      </c>
      <c r="D351" s="11"/>
    </row>
    <row r="352" spans="2:9">
      <c r="B352" s="10"/>
      <c r="C352" s="7" t="s">
        <v>93</v>
      </c>
      <c r="D352" s="7" t="s">
        <v>474</v>
      </c>
      <c r="E352" s="7" t="s">
        <v>475</v>
      </c>
      <c r="F352" s="7" t="s">
        <v>476</v>
      </c>
      <c r="G352" s="6"/>
    </row>
    <row r="353" spans="2:9" ht="67.5">
      <c r="B353" s="10"/>
      <c r="C353" s="7" t="s">
        <v>477</v>
      </c>
      <c r="D353" s="11" t="s">
        <v>94</v>
      </c>
      <c r="E353" s="3" t="s">
        <v>598</v>
      </c>
      <c r="F353" s="7" t="s">
        <v>583</v>
      </c>
      <c r="I353" s="3"/>
    </row>
    <row r="354" spans="2:9">
      <c r="B354" s="10"/>
      <c r="C354" s="7" t="s">
        <v>484</v>
      </c>
      <c r="D354" s="11"/>
      <c r="F354" s="7" t="s">
        <v>478</v>
      </c>
    </row>
    <row r="355" spans="2:9">
      <c r="B355" s="10"/>
      <c r="C355" s="7" t="s">
        <v>479</v>
      </c>
      <c r="D355" s="11"/>
      <c r="F355" s="7" t="s">
        <v>414</v>
      </c>
    </row>
    <row r="356" spans="2:9">
      <c r="B356" s="10"/>
      <c r="C356" s="7" t="s">
        <v>516</v>
      </c>
      <c r="D356" s="11"/>
    </row>
    <row r="357" spans="2:9">
      <c r="B357" s="10"/>
      <c r="C357" s="7" t="s">
        <v>95</v>
      </c>
      <c r="D357" s="7" t="s">
        <v>474</v>
      </c>
      <c r="E357" s="7" t="s">
        <v>475</v>
      </c>
      <c r="F357" s="7" t="s">
        <v>476</v>
      </c>
      <c r="G357" s="6"/>
    </row>
    <row r="358" spans="2:9" ht="67.5">
      <c r="B358" s="10"/>
      <c r="C358" s="7" t="s">
        <v>477</v>
      </c>
      <c r="D358" s="11" t="s">
        <v>96</v>
      </c>
      <c r="E358" s="3" t="s">
        <v>599</v>
      </c>
      <c r="F358" s="7" t="s">
        <v>592</v>
      </c>
      <c r="I358" s="3"/>
    </row>
    <row r="359" spans="2:9">
      <c r="B359" s="10"/>
      <c r="C359" s="7" t="s">
        <v>483</v>
      </c>
      <c r="D359" s="11"/>
      <c r="F359" s="7" t="s">
        <v>478</v>
      </c>
    </row>
    <row r="360" spans="2:9">
      <c r="B360" s="10"/>
      <c r="C360" s="7" t="s">
        <v>479</v>
      </c>
      <c r="D360" s="11"/>
      <c r="F360" s="7" t="s">
        <v>414</v>
      </c>
    </row>
    <row r="361" spans="2:9">
      <c r="B361" s="10"/>
      <c r="C361" s="7" t="s">
        <v>522</v>
      </c>
      <c r="D361" s="11"/>
    </row>
    <row r="362" spans="2:9">
      <c r="B362" s="10"/>
      <c r="C362" s="7" t="s">
        <v>97</v>
      </c>
      <c r="D362" s="7" t="s">
        <v>474</v>
      </c>
      <c r="E362" s="7" t="s">
        <v>475</v>
      </c>
      <c r="F362" s="7" t="s">
        <v>476</v>
      </c>
      <c r="G362" s="6"/>
    </row>
    <row r="363" spans="2:9" ht="45">
      <c r="B363" s="10"/>
      <c r="C363" s="7" t="s">
        <v>477</v>
      </c>
      <c r="D363" s="11" t="s">
        <v>98</v>
      </c>
      <c r="E363" s="3" t="s">
        <v>601</v>
      </c>
      <c r="F363" s="7" t="s">
        <v>600</v>
      </c>
      <c r="I363" s="3"/>
    </row>
    <row r="364" spans="2:9">
      <c r="B364" s="10"/>
      <c r="C364" s="7" t="s">
        <v>482</v>
      </c>
      <c r="D364" s="11"/>
      <c r="F364" s="7" t="s">
        <v>478</v>
      </c>
    </row>
    <row r="365" spans="2:9">
      <c r="B365" s="10"/>
      <c r="C365" s="7" t="s">
        <v>479</v>
      </c>
      <c r="D365" s="11"/>
      <c r="F365" s="7" t="s">
        <v>414</v>
      </c>
    </row>
    <row r="366" spans="2:9">
      <c r="B366" s="10"/>
      <c r="C366" s="7" t="s">
        <v>480</v>
      </c>
      <c r="D366" s="11"/>
    </row>
    <row r="367" spans="2:9">
      <c r="B367" s="10"/>
      <c r="C367" s="7" t="s">
        <v>99</v>
      </c>
      <c r="D367" s="7" t="s">
        <v>474</v>
      </c>
      <c r="E367" s="7" t="s">
        <v>475</v>
      </c>
      <c r="F367" s="7" t="s">
        <v>476</v>
      </c>
      <c r="G367" s="6"/>
    </row>
    <row r="368" spans="2:9" ht="56.25">
      <c r="B368" s="10"/>
      <c r="C368" s="7" t="s">
        <v>477</v>
      </c>
      <c r="D368" s="11" t="s">
        <v>100</v>
      </c>
      <c r="E368" s="3" t="s">
        <v>602</v>
      </c>
      <c r="F368" s="7" t="s">
        <v>595</v>
      </c>
      <c r="I368" s="3"/>
    </row>
    <row r="369" spans="2:9">
      <c r="B369" s="10"/>
      <c r="C369" s="7" t="s">
        <v>489</v>
      </c>
      <c r="D369" s="11"/>
      <c r="F369" s="7" t="s">
        <v>478</v>
      </c>
    </row>
    <row r="370" spans="2:9">
      <c r="B370" s="10"/>
      <c r="C370" s="7" t="s">
        <v>479</v>
      </c>
      <c r="D370" s="11"/>
      <c r="F370" s="7" t="s">
        <v>393</v>
      </c>
    </row>
    <row r="371" spans="2:9">
      <c r="B371" s="10"/>
      <c r="C371" s="7" t="s">
        <v>512</v>
      </c>
      <c r="D371" s="11"/>
    </row>
    <row r="372" spans="2:9">
      <c r="B372" s="10"/>
      <c r="C372" s="7" t="s">
        <v>101</v>
      </c>
      <c r="D372" s="7" t="s">
        <v>474</v>
      </c>
      <c r="E372" s="7" t="s">
        <v>475</v>
      </c>
      <c r="F372" s="7" t="s">
        <v>476</v>
      </c>
      <c r="G372" s="6"/>
    </row>
    <row r="373" spans="2:9">
      <c r="B373" s="10"/>
      <c r="C373" s="7" t="s">
        <v>477</v>
      </c>
      <c r="D373" s="11" t="s">
        <v>102</v>
      </c>
      <c r="E373" s="3" t="s">
        <v>407</v>
      </c>
      <c r="F373" s="7" t="s">
        <v>592</v>
      </c>
      <c r="I373" s="3"/>
    </row>
    <row r="374" spans="2:9">
      <c r="B374" s="10"/>
      <c r="C374" s="7" t="s">
        <v>480</v>
      </c>
      <c r="D374" s="11"/>
      <c r="F374" s="7" t="s">
        <v>478</v>
      </c>
    </row>
    <row r="375" spans="2:9">
      <c r="B375" s="10"/>
      <c r="C375" s="7" t="s">
        <v>479</v>
      </c>
      <c r="D375" s="11"/>
      <c r="F375" s="7" t="s">
        <v>414</v>
      </c>
    </row>
    <row r="376" spans="2:9">
      <c r="B376" s="10"/>
      <c r="C376" s="7" t="s">
        <v>512</v>
      </c>
      <c r="D376" s="11"/>
    </row>
    <row r="377" spans="2:9">
      <c r="B377" s="10"/>
      <c r="C377" s="7" t="s">
        <v>103</v>
      </c>
      <c r="D377" s="7" t="s">
        <v>474</v>
      </c>
      <c r="E377" s="7" t="s">
        <v>475</v>
      </c>
      <c r="F377" s="7" t="s">
        <v>476</v>
      </c>
      <c r="G377" s="6"/>
    </row>
    <row r="378" spans="2:9">
      <c r="B378" s="10"/>
      <c r="C378" s="7" t="s">
        <v>477</v>
      </c>
      <c r="D378" s="11" t="s">
        <v>104</v>
      </c>
      <c r="E378" s="7" t="s">
        <v>408</v>
      </c>
      <c r="F378" s="7" t="s">
        <v>585</v>
      </c>
    </row>
    <row r="379" spans="2:9">
      <c r="B379" s="10"/>
      <c r="C379" s="7" t="s">
        <v>489</v>
      </c>
      <c r="D379" s="11"/>
      <c r="F379" s="7" t="s">
        <v>478</v>
      </c>
    </row>
    <row r="380" spans="2:9">
      <c r="B380" s="10"/>
      <c r="C380" s="7" t="s">
        <v>479</v>
      </c>
      <c r="D380" s="11"/>
      <c r="F380" s="7" t="s">
        <v>414</v>
      </c>
    </row>
    <row r="381" spans="2:9">
      <c r="B381" s="10"/>
      <c r="C381" s="7" t="s">
        <v>480</v>
      </c>
      <c r="D381" s="11"/>
    </row>
    <row r="382" spans="2:9">
      <c r="B382" s="10"/>
      <c r="C382" s="7" t="s">
        <v>105</v>
      </c>
      <c r="D382" s="7" t="s">
        <v>474</v>
      </c>
      <c r="E382" s="7" t="s">
        <v>475</v>
      </c>
      <c r="F382" s="7" t="s">
        <v>476</v>
      </c>
      <c r="G382" s="6"/>
    </row>
    <row r="383" spans="2:9" ht="22.5">
      <c r="B383" s="10"/>
      <c r="C383" s="7" t="s">
        <v>477</v>
      </c>
      <c r="D383" s="11" t="s">
        <v>106</v>
      </c>
      <c r="E383" s="3" t="s">
        <v>603</v>
      </c>
      <c r="F383" s="7" t="s">
        <v>585</v>
      </c>
      <c r="I383" s="3"/>
    </row>
    <row r="384" spans="2:9">
      <c r="B384" s="10"/>
      <c r="C384" s="7" t="s">
        <v>482</v>
      </c>
      <c r="D384" s="11"/>
      <c r="F384" s="7" t="s">
        <v>478</v>
      </c>
    </row>
    <row r="385" spans="2:9">
      <c r="B385" s="10"/>
      <c r="C385" s="7" t="s">
        <v>479</v>
      </c>
      <c r="D385" s="11"/>
      <c r="F385" s="7" t="s">
        <v>414</v>
      </c>
    </row>
    <row r="386" spans="2:9">
      <c r="B386" s="10"/>
      <c r="C386" s="7" t="s">
        <v>523</v>
      </c>
      <c r="D386" s="11"/>
    </row>
    <row r="387" spans="2:9">
      <c r="B387" s="10"/>
      <c r="C387" s="7" t="s">
        <v>107</v>
      </c>
      <c r="D387" s="7" t="s">
        <v>474</v>
      </c>
      <c r="E387" s="7" t="s">
        <v>475</v>
      </c>
      <c r="F387" s="7" t="s">
        <v>476</v>
      </c>
      <c r="G387" s="6"/>
    </row>
    <row r="388" spans="2:9">
      <c r="B388" s="10"/>
      <c r="C388" s="7" t="s">
        <v>477</v>
      </c>
      <c r="D388" s="11" t="s">
        <v>108</v>
      </c>
      <c r="E388" s="7" t="s">
        <v>409</v>
      </c>
      <c r="F388" s="7" t="s">
        <v>595</v>
      </c>
      <c r="I388" s="3"/>
    </row>
    <row r="389" spans="2:9">
      <c r="B389" s="10"/>
      <c r="C389" s="7" t="s">
        <v>480</v>
      </c>
      <c r="D389" s="11"/>
      <c r="F389" s="7" t="s">
        <v>478</v>
      </c>
    </row>
    <row r="390" spans="2:9">
      <c r="B390" s="10"/>
      <c r="C390" s="7" t="s">
        <v>479</v>
      </c>
      <c r="D390" s="11"/>
      <c r="F390" s="7" t="s">
        <v>393</v>
      </c>
    </row>
    <row r="391" spans="2:9">
      <c r="B391" s="10"/>
      <c r="C391" s="7" t="s">
        <v>511</v>
      </c>
      <c r="D391" s="11"/>
    </row>
    <row r="392" spans="2:9">
      <c r="B392" s="10"/>
      <c r="C392" s="7" t="s">
        <v>109</v>
      </c>
      <c r="D392" s="7" t="s">
        <v>474</v>
      </c>
      <c r="E392" s="7" t="s">
        <v>475</v>
      </c>
      <c r="F392" s="7" t="s">
        <v>476</v>
      </c>
      <c r="G392" s="6"/>
    </row>
    <row r="393" spans="2:9">
      <c r="B393" s="10"/>
      <c r="C393" s="7" t="s">
        <v>477</v>
      </c>
      <c r="D393" s="11" t="s">
        <v>110</v>
      </c>
      <c r="E393" s="3" t="s">
        <v>410</v>
      </c>
      <c r="F393" s="7" t="s">
        <v>585</v>
      </c>
    </row>
    <row r="394" spans="2:9">
      <c r="B394" s="10"/>
      <c r="C394" s="7" t="s">
        <v>482</v>
      </c>
      <c r="D394" s="11"/>
      <c r="F394" s="7" t="s">
        <v>478</v>
      </c>
    </row>
    <row r="395" spans="2:9">
      <c r="B395" s="10"/>
      <c r="C395" s="7" t="s">
        <v>479</v>
      </c>
      <c r="D395" s="11"/>
      <c r="F395" s="7" t="s">
        <v>414</v>
      </c>
    </row>
    <row r="396" spans="2:9">
      <c r="B396" s="10"/>
      <c r="C396" s="7" t="s">
        <v>523</v>
      </c>
      <c r="D396" s="11"/>
    </row>
    <row r="397" spans="2:9">
      <c r="B397" s="10"/>
      <c r="C397" s="7" t="s">
        <v>111</v>
      </c>
      <c r="D397" s="7" t="s">
        <v>474</v>
      </c>
      <c r="E397" s="7" t="s">
        <v>475</v>
      </c>
      <c r="F397" s="7" t="s">
        <v>476</v>
      </c>
      <c r="G397" s="6"/>
    </row>
    <row r="398" spans="2:9" ht="78.75">
      <c r="B398" s="10"/>
      <c r="C398" s="7" t="s">
        <v>477</v>
      </c>
      <c r="D398" s="11" t="s">
        <v>112</v>
      </c>
      <c r="E398" s="3" t="s">
        <v>604</v>
      </c>
      <c r="F398" s="7" t="s">
        <v>585</v>
      </c>
      <c r="I398" s="3"/>
    </row>
    <row r="399" spans="2:9">
      <c r="B399" s="10"/>
      <c r="C399" s="7" t="s">
        <v>484</v>
      </c>
      <c r="D399" s="11"/>
      <c r="F399" s="7" t="s">
        <v>478</v>
      </c>
    </row>
    <row r="400" spans="2:9">
      <c r="B400" s="10"/>
      <c r="C400" s="7" t="s">
        <v>479</v>
      </c>
      <c r="D400" s="11"/>
      <c r="F400" s="7" t="s">
        <v>414</v>
      </c>
    </row>
    <row r="401" spans="2:9">
      <c r="B401" s="10"/>
      <c r="C401" s="7" t="s">
        <v>524</v>
      </c>
      <c r="D401" s="11"/>
    </row>
    <row r="402" spans="2:9">
      <c r="B402" s="10"/>
      <c r="C402" s="7" t="s">
        <v>113</v>
      </c>
      <c r="D402" s="7" t="s">
        <v>474</v>
      </c>
      <c r="E402" s="7" t="s">
        <v>475</v>
      </c>
      <c r="F402" s="7" t="s">
        <v>476</v>
      </c>
      <c r="G402" s="6"/>
    </row>
    <row r="403" spans="2:9" ht="22.5">
      <c r="B403" s="10"/>
      <c r="C403" s="7" t="s">
        <v>477</v>
      </c>
      <c r="D403" s="11" t="s">
        <v>262</v>
      </c>
      <c r="E403" s="3" t="s">
        <v>606</v>
      </c>
      <c r="F403" s="7" t="s">
        <v>605</v>
      </c>
      <c r="I403" s="3"/>
    </row>
    <row r="404" spans="2:9">
      <c r="B404" s="10"/>
      <c r="C404" s="7" t="s">
        <v>482</v>
      </c>
      <c r="D404" s="11"/>
      <c r="F404" s="7" t="s">
        <v>478</v>
      </c>
    </row>
    <row r="405" spans="2:9">
      <c r="B405" s="10"/>
      <c r="C405" s="7" t="s">
        <v>479</v>
      </c>
      <c r="D405" s="11"/>
      <c r="F405" s="7" t="s">
        <v>414</v>
      </c>
    </row>
    <row r="406" spans="2:9">
      <c r="B406" s="10"/>
      <c r="C406" s="7" t="s">
        <v>518</v>
      </c>
      <c r="D406" s="11"/>
    </row>
    <row r="407" spans="2:9">
      <c r="B407" s="10"/>
      <c r="C407" s="7" t="s">
        <v>114</v>
      </c>
      <c r="D407" s="7" t="s">
        <v>474</v>
      </c>
      <c r="E407" s="7" t="s">
        <v>475</v>
      </c>
      <c r="F407" s="7" t="s">
        <v>476</v>
      </c>
      <c r="G407" s="6"/>
    </row>
    <row r="408" spans="2:9" ht="56.25">
      <c r="B408" s="10"/>
      <c r="C408" s="7" t="s">
        <v>477</v>
      </c>
      <c r="D408" s="11" t="s">
        <v>263</v>
      </c>
      <c r="E408" s="3" t="s">
        <v>607</v>
      </c>
      <c r="F408" s="7" t="s">
        <v>426</v>
      </c>
      <c r="I408" s="3"/>
    </row>
    <row r="409" spans="2:9">
      <c r="B409" s="10"/>
      <c r="C409" s="7" t="s">
        <v>489</v>
      </c>
      <c r="D409" s="11"/>
      <c r="F409" s="7" t="s">
        <v>478</v>
      </c>
    </row>
    <row r="410" spans="2:9">
      <c r="B410" s="10"/>
      <c r="C410" s="7" t="s">
        <v>479</v>
      </c>
      <c r="D410" s="11"/>
      <c r="F410" s="7" t="s">
        <v>411</v>
      </c>
    </row>
    <row r="411" spans="2:9">
      <c r="B411" s="10"/>
      <c r="C411" s="7" t="s">
        <v>480</v>
      </c>
      <c r="D411" s="11"/>
    </row>
    <row r="412" spans="2:9">
      <c r="B412" s="10"/>
      <c r="C412" s="7" t="s">
        <v>115</v>
      </c>
      <c r="D412" s="7" t="s">
        <v>474</v>
      </c>
      <c r="E412" s="7" t="s">
        <v>475</v>
      </c>
      <c r="F412" s="7" t="s">
        <v>476</v>
      </c>
      <c r="G412" s="6"/>
    </row>
    <row r="413" spans="2:9">
      <c r="B413" s="10"/>
      <c r="C413" s="7" t="s">
        <v>477</v>
      </c>
      <c r="D413" s="11" t="s">
        <v>264</v>
      </c>
      <c r="E413" s="7" t="s">
        <v>412</v>
      </c>
      <c r="F413" s="7" t="s">
        <v>608</v>
      </c>
      <c r="I413" s="3"/>
    </row>
    <row r="414" spans="2:9">
      <c r="B414" s="10"/>
      <c r="C414" s="7" t="s">
        <v>489</v>
      </c>
      <c r="D414" s="11"/>
      <c r="F414" s="7" t="s">
        <v>478</v>
      </c>
    </row>
    <row r="415" spans="2:9">
      <c r="B415" s="10"/>
      <c r="C415" s="7" t="s">
        <v>479</v>
      </c>
      <c r="D415" s="11"/>
      <c r="F415" s="7" t="s">
        <v>414</v>
      </c>
    </row>
    <row r="416" spans="2:9">
      <c r="B416" s="10"/>
      <c r="C416" s="7" t="s">
        <v>512</v>
      </c>
      <c r="D416" s="11"/>
    </row>
    <row r="417" spans="2:9">
      <c r="B417" s="10"/>
      <c r="C417" s="7" t="s">
        <v>116</v>
      </c>
      <c r="D417" s="7" t="s">
        <v>474</v>
      </c>
      <c r="E417" s="7" t="s">
        <v>475</v>
      </c>
      <c r="F417" s="7" t="s">
        <v>476</v>
      </c>
      <c r="G417" s="6"/>
    </row>
    <row r="418" spans="2:9" ht="22.5">
      <c r="B418" s="10"/>
      <c r="C418" s="7" t="s">
        <v>477</v>
      </c>
      <c r="D418" s="11" t="s">
        <v>265</v>
      </c>
      <c r="E418" s="3" t="s">
        <v>413</v>
      </c>
      <c r="F418" s="7" t="s">
        <v>609</v>
      </c>
    </row>
    <row r="419" spans="2:9">
      <c r="B419" s="10"/>
      <c r="C419" s="7" t="s">
        <v>482</v>
      </c>
      <c r="D419" s="11"/>
      <c r="F419" s="7" t="s">
        <v>478</v>
      </c>
    </row>
    <row r="420" spans="2:9">
      <c r="B420" s="10"/>
      <c r="C420" s="7" t="s">
        <v>479</v>
      </c>
      <c r="D420" s="11"/>
      <c r="F420" s="7" t="s">
        <v>414</v>
      </c>
    </row>
    <row r="421" spans="2:9">
      <c r="B421" s="10"/>
      <c r="C421" s="7" t="s">
        <v>480</v>
      </c>
      <c r="D421" s="11"/>
    </row>
    <row r="422" spans="2:9">
      <c r="B422" s="10"/>
      <c r="C422" s="7" t="s">
        <v>117</v>
      </c>
      <c r="D422" s="7" t="s">
        <v>474</v>
      </c>
      <c r="E422" s="7" t="s">
        <v>475</v>
      </c>
      <c r="F422" s="7" t="s">
        <v>476</v>
      </c>
      <c r="G422" s="6"/>
    </row>
    <row r="423" spans="2:9" ht="90">
      <c r="B423" s="10"/>
      <c r="C423" s="7" t="s">
        <v>477</v>
      </c>
      <c r="D423" s="11" t="s">
        <v>266</v>
      </c>
      <c r="E423" s="3" t="s">
        <v>610</v>
      </c>
      <c r="F423" s="7" t="s">
        <v>608</v>
      </c>
      <c r="I423" s="3"/>
    </row>
    <row r="424" spans="2:9">
      <c r="B424" s="10"/>
      <c r="C424" s="7" t="s">
        <v>482</v>
      </c>
      <c r="D424" s="11"/>
      <c r="F424" s="7" t="s">
        <v>478</v>
      </c>
    </row>
    <row r="425" spans="2:9">
      <c r="B425" s="10"/>
      <c r="C425" s="7" t="s">
        <v>479</v>
      </c>
      <c r="D425" s="11"/>
      <c r="F425" s="7" t="s">
        <v>414</v>
      </c>
    </row>
    <row r="426" spans="2:9">
      <c r="B426" s="10"/>
      <c r="C426" s="7" t="s">
        <v>502</v>
      </c>
      <c r="D426" s="11"/>
    </row>
    <row r="427" spans="2:9">
      <c r="B427" s="10"/>
      <c r="C427" s="7" t="s">
        <v>118</v>
      </c>
      <c r="D427" s="7" t="s">
        <v>474</v>
      </c>
      <c r="E427" s="7" t="s">
        <v>475</v>
      </c>
      <c r="F427" s="7" t="s">
        <v>476</v>
      </c>
      <c r="G427" s="6"/>
    </row>
    <row r="428" spans="2:9" ht="45">
      <c r="B428" s="10"/>
      <c r="C428" s="7" t="s">
        <v>477</v>
      </c>
      <c r="D428" s="11" t="s">
        <v>267</v>
      </c>
      <c r="E428" s="3" t="s">
        <v>611</v>
      </c>
      <c r="F428" s="7" t="s">
        <v>426</v>
      </c>
      <c r="I428" s="3"/>
    </row>
    <row r="429" spans="2:9">
      <c r="B429" s="10"/>
      <c r="C429" s="7" t="s">
        <v>487</v>
      </c>
      <c r="D429" s="11"/>
      <c r="F429" s="7" t="s">
        <v>478</v>
      </c>
    </row>
    <row r="430" spans="2:9">
      <c r="B430" s="10"/>
      <c r="C430" s="7" t="s">
        <v>479</v>
      </c>
      <c r="D430" s="11"/>
      <c r="F430" s="7" t="s">
        <v>411</v>
      </c>
    </row>
    <row r="431" spans="2:9">
      <c r="B431" s="10"/>
      <c r="C431" s="7" t="s">
        <v>525</v>
      </c>
      <c r="D431" s="11"/>
    </row>
    <row r="432" spans="2:9">
      <c r="B432" s="10"/>
      <c r="C432" s="7" t="s">
        <v>119</v>
      </c>
      <c r="D432" s="7" t="s">
        <v>474</v>
      </c>
      <c r="E432" s="7" t="s">
        <v>475</v>
      </c>
      <c r="F432" s="7" t="s">
        <v>476</v>
      </c>
      <c r="G432" s="6"/>
    </row>
    <row r="433" spans="2:9" ht="45">
      <c r="B433" s="10"/>
      <c r="C433" s="7" t="s">
        <v>477</v>
      </c>
      <c r="D433" s="11" t="s">
        <v>268</v>
      </c>
      <c r="E433" s="3" t="s">
        <v>415</v>
      </c>
      <c r="F433" s="7" t="s">
        <v>612</v>
      </c>
      <c r="I433" s="3"/>
    </row>
    <row r="434" spans="2:9">
      <c r="B434" s="10"/>
      <c r="C434" s="7" t="s">
        <v>485</v>
      </c>
      <c r="D434" s="11"/>
      <c r="F434" s="7" t="s">
        <v>478</v>
      </c>
    </row>
    <row r="435" spans="2:9">
      <c r="B435" s="10"/>
      <c r="C435" s="7" t="s">
        <v>479</v>
      </c>
      <c r="D435" s="11"/>
      <c r="F435" s="7" t="s">
        <v>414</v>
      </c>
    </row>
    <row r="436" spans="2:9">
      <c r="B436" s="10"/>
      <c r="C436" s="7" t="s">
        <v>504</v>
      </c>
      <c r="D436" s="11"/>
    </row>
    <row r="437" spans="2:9">
      <c r="B437" s="10"/>
      <c r="C437" s="7" t="s">
        <v>120</v>
      </c>
      <c r="D437" s="7" t="s">
        <v>474</v>
      </c>
      <c r="E437" s="7" t="s">
        <v>475</v>
      </c>
      <c r="F437" s="7" t="s">
        <v>476</v>
      </c>
      <c r="G437" s="6"/>
    </row>
    <row r="438" spans="2:9" ht="45">
      <c r="B438" s="10"/>
      <c r="C438" s="7" t="s">
        <v>477</v>
      </c>
      <c r="D438" s="11" t="s">
        <v>269</v>
      </c>
      <c r="E438" s="3" t="s">
        <v>614</v>
      </c>
      <c r="F438" s="7" t="s">
        <v>613</v>
      </c>
      <c r="I438" s="3"/>
    </row>
    <row r="439" spans="2:9">
      <c r="B439" s="10"/>
      <c r="C439" s="7" t="s">
        <v>482</v>
      </c>
      <c r="D439" s="11"/>
      <c r="F439" s="7" t="s">
        <v>478</v>
      </c>
    </row>
    <row r="440" spans="2:9">
      <c r="B440" s="10"/>
      <c r="C440" s="7" t="s">
        <v>479</v>
      </c>
      <c r="D440" s="11"/>
      <c r="F440" s="7" t="s">
        <v>414</v>
      </c>
    </row>
    <row r="441" spans="2:9">
      <c r="B441" s="10"/>
      <c r="C441" s="7" t="s">
        <v>518</v>
      </c>
      <c r="D441" s="11"/>
    </row>
    <row r="442" spans="2:9">
      <c r="B442" s="10"/>
      <c r="C442" s="7" t="s">
        <v>121</v>
      </c>
      <c r="D442" s="7" t="s">
        <v>474</v>
      </c>
      <c r="E442" s="7" t="s">
        <v>475</v>
      </c>
      <c r="F442" s="7" t="s">
        <v>476</v>
      </c>
      <c r="G442" s="6"/>
    </row>
    <row r="443" spans="2:9">
      <c r="B443" s="10"/>
      <c r="C443" s="7" t="s">
        <v>477</v>
      </c>
      <c r="D443" s="11" t="s">
        <v>270</v>
      </c>
      <c r="E443" s="7" t="s">
        <v>416</v>
      </c>
      <c r="F443" s="7" t="s">
        <v>615</v>
      </c>
      <c r="I443" s="3"/>
    </row>
    <row r="444" spans="2:9">
      <c r="B444" s="10"/>
      <c r="C444" s="7" t="s">
        <v>482</v>
      </c>
      <c r="D444" s="11"/>
      <c r="F444" s="7" t="s">
        <v>478</v>
      </c>
    </row>
    <row r="445" spans="2:9">
      <c r="B445" s="10"/>
      <c r="C445" s="7" t="s">
        <v>479</v>
      </c>
      <c r="D445" s="11"/>
      <c r="F445" s="7" t="s">
        <v>414</v>
      </c>
    </row>
    <row r="446" spans="2:9">
      <c r="B446" s="10"/>
      <c r="C446" s="7" t="s">
        <v>480</v>
      </c>
      <c r="D446" s="11"/>
    </row>
    <row r="447" spans="2:9">
      <c r="B447" s="10"/>
      <c r="C447" s="7" t="s">
        <v>122</v>
      </c>
      <c r="D447" s="7" t="s">
        <v>474</v>
      </c>
      <c r="E447" s="7" t="s">
        <v>475</v>
      </c>
      <c r="F447" s="7" t="s">
        <v>476</v>
      </c>
      <c r="G447" s="6"/>
    </row>
    <row r="448" spans="2:9" ht="45">
      <c r="B448" s="10"/>
      <c r="C448" s="7" t="s">
        <v>477</v>
      </c>
      <c r="D448" s="11" t="s">
        <v>271</v>
      </c>
      <c r="E448" s="3" t="s">
        <v>616</v>
      </c>
      <c r="F448" s="7" t="s">
        <v>426</v>
      </c>
      <c r="I448" s="3"/>
    </row>
    <row r="449" spans="2:9">
      <c r="B449" s="10"/>
      <c r="C449" s="7" t="s">
        <v>489</v>
      </c>
      <c r="D449" s="11"/>
      <c r="F449" s="7" t="s">
        <v>478</v>
      </c>
    </row>
    <row r="450" spans="2:9">
      <c r="B450" s="10"/>
      <c r="C450" s="7" t="s">
        <v>479</v>
      </c>
      <c r="D450" s="11"/>
      <c r="F450" s="7" t="s">
        <v>411</v>
      </c>
    </row>
    <row r="451" spans="2:9">
      <c r="B451" s="10"/>
      <c r="C451" s="7" t="s">
        <v>500</v>
      </c>
      <c r="D451" s="11"/>
    </row>
    <row r="452" spans="2:9">
      <c r="B452" s="10"/>
      <c r="C452" s="7" t="s">
        <v>251</v>
      </c>
      <c r="D452" s="7" t="s">
        <v>474</v>
      </c>
      <c r="E452" s="7" t="s">
        <v>475</v>
      </c>
      <c r="F452" s="7" t="s">
        <v>476</v>
      </c>
      <c r="G452" s="6"/>
    </row>
    <row r="453" spans="2:9" ht="45">
      <c r="B453" s="10"/>
      <c r="C453" s="7" t="s">
        <v>477</v>
      </c>
      <c r="D453" s="11" t="s">
        <v>481</v>
      </c>
      <c r="E453" s="3" t="s">
        <v>417</v>
      </c>
      <c r="F453" s="7" t="s">
        <v>608</v>
      </c>
      <c r="I453" s="3"/>
    </row>
    <row r="454" spans="2:9">
      <c r="B454" s="10"/>
      <c r="C454" s="7" t="s">
        <v>481</v>
      </c>
      <c r="D454" s="11"/>
      <c r="F454" s="7" t="s">
        <v>478</v>
      </c>
    </row>
    <row r="455" spans="2:9">
      <c r="B455" s="10"/>
      <c r="C455" s="7" t="s">
        <v>479</v>
      </c>
      <c r="D455" s="11"/>
      <c r="F455" s="7" t="s">
        <v>414</v>
      </c>
    </row>
    <row r="456" spans="2:9">
      <c r="B456" s="10"/>
      <c r="C456" s="7" t="s">
        <v>523</v>
      </c>
      <c r="D456" s="11"/>
    </row>
    <row r="457" spans="2:9">
      <c r="B457" s="10"/>
      <c r="C457" s="7" t="s">
        <v>123</v>
      </c>
      <c r="D457" s="7" t="s">
        <v>474</v>
      </c>
      <c r="E457" s="7" t="s">
        <v>475</v>
      </c>
      <c r="F457" s="7" t="s">
        <v>476</v>
      </c>
      <c r="G457" s="6"/>
    </row>
    <row r="458" spans="2:9" ht="56.25">
      <c r="B458" s="10"/>
      <c r="C458" s="7" t="s">
        <v>477</v>
      </c>
      <c r="D458" s="11" t="s">
        <v>272</v>
      </c>
      <c r="E458" s="3" t="s">
        <v>617</v>
      </c>
      <c r="F458" s="7" t="s">
        <v>615</v>
      </c>
      <c r="I458" s="3"/>
    </row>
    <row r="459" spans="2:9">
      <c r="B459" s="10"/>
      <c r="C459" s="7" t="s">
        <v>482</v>
      </c>
      <c r="D459" s="11"/>
      <c r="F459" s="7" t="s">
        <v>478</v>
      </c>
    </row>
    <row r="460" spans="2:9">
      <c r="B460" s="10"/>
      <c r="C460" s="7" t="s">
        <v>479</v>
      </c>
      <c r="D460" s="11"/>
      <c r="F460" s="7" t="s">
        <v>414</v>
      </c>
    </row>
    <row r="461" spans="2:9">
      <c r="B461" s="10"/>
      <c r="C461" s="7" t="s">
        <v>482</v>
      </c>
      <c r="D461" s="11"/>
    </row>
    <row r="462" spans="2:9">
      <c r="B462" s="10"/>
      <c r="C462" s="7" t="s">
        <v>0</v>
      </c>
      <c r="D462" s="7" t="s">
        <v>474</v>
      </c>
      <c r="E462" s="7" t="s">
        <v>475</v>
      </c>
      <c r="F462" s="7" t="s">
        <v>476</v>
      </c>
      <c r="G462" s="6"/>
    </row>
    <row r="463" spans="2:9" ht="101.25">
      <c r="B463" s="10"/>
      <c r="C463" s="7" t="s">
        <v>477</v>
      </c>
      <c r="D463" s="11" t="s">
        <v>273</v>
      </c>
      <c r="E463" s="3" t="s">
        <v>419</v>
      </c>
      <c r="F463" s="7" t="s">
        <v>418</v>
      </c>
      <c r="I463" s="3"/>
    </row>
    <row r="464" spans="2:9">
      <c r="B464" s="10"/>
      <c r="C464" s="7" t="s">
        <v>485</v>
      </c>
      <c r="D464" s="11"/>
      <c r="F464" s="7" t="s">
        <v>478</v>
      </c>
    </row>
    <row r="465" spans="2:9">
      <c r="B465" s="10"/>
      <c r="C465" s="7" t="s">
        <v>479</v>
      </c>
      <c r="D465" s="11"/>
      <c r="F465" s="7" t="s">
        <v>411</v>
      </c>
    </row>
    <row r="466" spans="2:9">
      <c r="B466" s="10"/>
      <c r="C466" s="7" t="s">
        <v>494</v>
      </c>
      <c r="D466" s="11"/>
    </row>
    <row r="467" spans="2:9">
      <c r="B467" s="10"/>
      <c r="C467" s="7" t="s">
        <v>245</v>
      </c>
      <c r="D467" s="7" t="s">
        <v>474</v>
      </c>
      <c r="E467" s="7" t="s">
        <v>475</v>
      </c>
      <c r="F467" s="7" t="s">
        <v>476</v>
      </c>
      <c r="G467" s="6"/>
    </row>
    <row r="468" spans="2:9" ht="22.5">
      <c r="B468" s="10"/>
      <c r="C468" s="7" t="s">
        <v>477</v>
      </c>
      <c r="D468" s="11" t="s">
        <v>481</v>
      </c>
      <c r="E468" s="3" t="s">
        <v>420</v>
      </c>
      <c r="F468" s="7" t="s">
        <v>605</v>
      </c>
      <c r="I468" s="3"/>
    </row>
    <row r="469" spans="2:9">
      <c r="B469" s="10"/>
      <c r="C469" s="7" t="s">
        <v>481</v>
      </c>
      <c r="D469" s="11"/>
      <c r="F469" s="7" t="s">
        <v>478</v>
      </c>
    </row>
    <row r="470" spans="2:9">
      <c r="B470" s="10"/>
      <c r="C470" s="7" t="s">
        <v>479</v>
      </c>
      <c r="D470" s="11"/>
      <c r="F470" s="7" t="s">
        <v>414</v>
      </c>
    </row>
    <row r="471" spans="2:9">
      <c r="B471" s="10"/>
      <c r="C471" s="7" t="s">
        <v>497</v>
      </c>
      <c r="D471" s="11"/>
    </row>
    <row r="472" spans="2:9">
      <c r="B472" s="10"/>
      <c r="C472" s="7" t="s">
        <v>124</v>
      </c>
      <c r="D472" s="7" t="s">
        <v>474</v>
      </c>
      <c r="E472" s="7" t="s">
        <v>475</v>
      </c>
      <c r="F472" s="7" t="s">
        <v>476</v>
      </c>
      <c r="G472" s="6"/>
    </row>
    <row r="473" spans="2:9" ht="33.75">
      <c r="B473" s="10"/>
      <c r="C473" s="7" t="s">
        <v>477</v>
      </c>
      <c r="D473" s="11" t="s">
        <v>274</v>
      </c>
      <c r="E473" s="3" t="s">
        <v>619</v>
      </c>
      <c r="F473" s="7" t="s">
        <v>618</v>
      </c>
      <c r="I473" s="3"/>
    </row>
    <row r="474" spans="2:9">
      <c r="B474" s="10"/>
      <c r="C474" s="7" t="s">
        <v>482</v>
      </c>
      <c r="D474" s="11"/>
      <c r="F474" s="7" t="s">
        <v>478</v>
      </c>
    </row>
    <row r="475" spans="2:9">
      <c r="B475" s="10"/>
      <c r="C475" s="7" t="s">
        <v>479</v>
      </c>
      <c r="D475" s="11"/>
      <c r="F475" s="7" t="s">
        <v>414</v>
      </c>
    </row>
    <row r="476" spans="2:9">
      <c r="B476" s="10"/>
      <c r="C476" s="7" t="s">
        <v>526</v>
      </c>
      <c r="D476" s="11"/>
    </row>
    <row r="477" spans="2:9">
      <c r="B477" s="10"/>
      <c r="C477" s="7" t="s">
        <v>244</v>
      </c>
      <c r="D477" s="7" t="s">
        <v>474</v>
      </c>
      <c r="E477" s="7" t="s">
        <v>475</v>
      </c>
      <c r="F477" s="7" t="s">
        <v>476</v>
      </c>
      <c r="G477" s="6"/>
    </row>
    <row r="478" spans="2:9" ht="45">
      <c r="B478" s="10"/>
      <c r="C478" s="7" t="s">
        <v>477</v>
      </c>
      <c r="D478" s="11" t="s">
        <v>481</v>
      </c>
      <c r="E478" s="3" t="s">
        <v>620</v>
      </c>
      <c r="F478" s="7" t="s">
        <v>618</v>
      </c>
      <c r="I478" s="3"/>
    </row>
    <row r="479" spans="2:9">
      <c r="B479" s="10"/>
      <c r="C479" s="7" t="s">
        <v>481</v>
      </c>
      <c r="D479" s="11"/>
      <c r="F479" s="7" t="s">
        <v>478</v>
      </c>
    </row>
    <row r="480" spans="2:9">
      <c r="B480" s="10"/>
      <c r="C480" s="7" t="s">
        <v>479</v>
      </c>
      <c r="D480" s="11"/>
      <c r="F480" s="7" t="s">
        <v>414</v>
      </c>
    </row>
    <row r="481" spans="2:9">
      <c r="B481" s="10"/>
      <c r="C481" s="7" t="s">
        <v>497</v>
      </c>
      <c r="D481" s="11"/>
    </row>
    <row r="482" spans="2:9">
      <c r="B482" s="10"/>
      <c r="C482" s="7" t="s">
        <v>125</v>
      </c>
      <c r="D482" s="7" t="s">
        <v>474</v>
      </c>
      <c r="E482" s="7" t="s">
        <v>475</v>
      </c>
      <c r="F482" s="7" t="s">
        <v>476</v>
      </c>
      <c r="G482" s="6"/>
    </row>
    <row r="483" spans="2:9">
      <c r="B483" s="10"/>
      <c r="C483" s="7" t="s">
        <v>477</v>
      </c>
      <c r="D483" s="11" t="s">
        <v>275</v>
      </c>
      <c r="E483" s="7" t="s">
        <v>421</v>
      </c>
      <c r="F483" s="7" t="s">
        <v>418</v>
      </c>
      <c r="I483" s="3"/>
    </row>
    <row r="484" spans="2:9">
      <c r="B484" s="10"/>
      <c r="C484" s="7" t="s">
        <v>487</v>
      </c>
      <c r="D484" s="11"/>
      <c r="F484" s="7" t="s">
        <v>478</v>
      </c>
    </row>
    <row r="485" spans="2:9">
      <c r="B485" s="10"/>
      <c r="C485" s="7" t="s">
        <v>479</v>
      </c>
      <c r="D485" s="11"/>
      <c r="F485" s="7" t="s">
        <v>411</v>
      </c>
    </row>
    <row r="486" spans="2:9">
      <c r="B486" s="10"/>
      <c r="C486" s="7" t="s">
        <v>527</v>
      </c>
      <c r="D486" s="11"/>
    </row>
    <row r="487" spans="2:9">
      <c r="B487" s="10"/>
      <c r="C487" s="7" t="s">
        <v>126</v>
      </c>
      <c r="D487" s="7" t="s">
        <v>474</v>
      </c>
      <c r="E487" s="7" t="s">
        <v>475</v>
      </c>
      <c r="F487" s="7" t="s">
        <v>476</v>
      </c>
      <c r="G487" s="6"/>
    </row>
    <row r="488" spans="2:9" ht="56.25">
      <c r="B488" s="10"/>
      <c r="C488" s="7" t="s">
        <v>477</v>
      </c>
      <c r="D488" s="11" t="s">
        <v>276</v>
      </c>
      <c r="E488" s="3" t="s">
        <v>622</v>
      </c>
      <c r="F488" s="7" t="s">
        <v>621</v>
      </c>
      <c r="I488" s="3"/>
    </row>
    <row r="489" spans="2:9">
      <c r="B489" s="10"/>
      <c r="C489" s="7" t="s">
        <v>485</v>
      </c>
      <c r="D489" s="11"/>
      <c r="F489" s="7" t="s">
        <v>478</v>
      </c>
    </row>
    <row r="490" spans="2:9">
      <c r="B490" s="10"/>
      <c r="C490" s="7" t="s">
        <v>479</v>
      </c>
      <c r="D490" s="11"/>
      <c r="F490" s="7" t="s">
        <v>414</v>
      </c>
    </row>
    <row r="491" spans="2:9">
      <c r="B491" s="10"/>
      <c r="C491" s="7" t="s">
        <v>492</v>
      </c>
      <c r="D491" s="11"/>
    </row>
    <row r="492" spans="2:9">
      <c r="B492" s="10"/>
      <c r="C492" s="7" t="s">
        <v>127</v>
      </c>
      <c r="D492" s="7" t="s">
        <v>474</v>
      </c>
      <c r="E492" s="7" t="s">
        <v>475</v>
      </c>
      <c r="F492" s="7" t="s">
        <v>476</v>
      </c>
      <c r="G492" s="6"/>
    </row>
    <row r="493" spans="2:9" ht="56.25">
      <c r="B493" s="10"/>
      <c r="C493" s="7" t="s">
        <v>477</v>
      </c>
      <c r="D493" s="11" t="s">
        <v>277</v>
      </c>
      <c r="E493" s="3" t="s">
        <v>623</v>
      </c>
      <c r="F493" s="7" t="s">
        <v>605</v>
      </c>
      <c r="I493" s="3"/>
    </row>
    <row r="494" spans="2:9">
      <c r="B494" s="10"/>
      <c r="C494" s="7" t="s">
        <v>480</v>
      </c>
      <c r="D494" s="11"/>
      <c r="F494" s="7" t="s">
        <v>478</v>
      </c>
    </row>
    <row r="495" spans="2:9">
      <c r="B495" s="10"/>
      <c r="C495" s="7" t="s">
        <v>479</v>
      </c>
      <c r="D495" s="11"/>
      <c r="F495" s="7" t="s">
        <v>414</v>
      </c>
    </row>
    <row r="496" spans="2:9">
      <c r="B496" s="10"/>
      <c r="C496" s="7" t="s">
        <v>528</v>
      </c>
      <c r="D496" s="11"/>
    </row>
    <row r="497" spans="2:9">
      <c r="B497" s="10"/>
      <c r="C497" s="7" t="s">
        <v>250</v>
      </c>
      <c r="D497" s="7" t="s">
        <v>474</v>
      </c>
      <c r="E497" s="7" t="s">
        <v>475</v>
      </c>
      <c r="F497" s="7" t="s">
        <v>476</v>
      </c>
      <c r="G497" s="6"/>
    </row>
    <row r="498" spans="2:9">
      <c r="B498" s="10"/>
      <c r="C498" s="7" t="s">
        <v>477</v>
      </c>
      <c r="D498" s="11" t="s">
        <v>481</v>
      </c>
      <c r="E498" s="7" t="s">
        <v>422</v>
      </c>
      <c r="F498" s="7" t="s">
        <v>608</v>
      </c>
      <c r="I498" s="3"/>
    </row>
    <row r="499" spans="2:9">
      <c r="B499" s="10"/>
      <c r="C499" s="7" t="s">
        <v>481</v>
      </c>
      <c r="D499" s="11"/>
      <c r="F499" s="7" t="s">
        <v>478</v>
      </c>
    </row>
    <row r="500" spans="2:9">
      <c r="B500" s="10"/>
      <c r="C500" s="7" t="s">
        <v>479</v>
      </c>
      <c r="D500" s="11"/>
      <c r="F500" s="7" t="s">
        <v>414</v>
      </c>
    </row>
    <row r="501" spans="2:9">
      <c r="B501" s="10"/>
      <c r="C501" s="7" t="s">
        <v>489</v>
      </c>
      <c r="D501" s="11"/>
    </row>
    <row r="502" spans="2:9">
      <c r="B502" s="10"/>
      <c r="C502" s="7" t="s">
        <v>128</v>
      </c>
      <c r="D502" s="7" t="s">
        <v>474</v>
      </c>
      <c r="E502" s="7" t="s">
        <v>475</v>
      </c>
      <c r="F502" s="7" t="s">
        <v>476</v>
      </c>
      <c r="G502" s="6"/>
    </row>
    <row r="503" spans="2:9" ht="22.5">
      <c r="B503" s="10"/>
      <c r="C503" s="7" t="s">
        <v>477</v>
      </c>
      <c r="D503" s="11" t="s">
        <v>278</v>
      </c>
      <c r="E503" s="3" t="s">
        <v>423</v>
      </c>
      <c r="F503" s="7" t="s">
        <v>605</v>
      </c>
    </row>
    <row r="504" spans="2:9">
      <c r="B504" s="10"/>
      <c r="C504" s="7" t="s">
        <v>480</v>
      </c>
      <c r="D504" s="11"/>
      <c r="F504" s="7" t="s">
        <v>478</v>
      </c>
    </row>
    <row r="505" spans="2:9">
      <c r="B505" s="10"/>
      <c r="C505" s="7" t="s">
        <v>479</v>
      </c>
      <c r="D505" s="11"/>
      <c r="F505" s="7" t="s">
        <v>414</v>
      </c>
    </row>
    <row r="506" spans="2:9">
      <c r="B506" s="10"/>
      <c r="C506" s="7" t="s">
        <v>511</v>
      </c>
      <c r="D506" s="11"/>
    </row>
    <row r="507" spans="2:9">
      <c r="B507" s="10"/>
      <c r="C507" s="7" t="s">
        <v>129</v>
      </c>
      <c r="D507" s="7" t="s">
        <v>474</v>
      </c>
      <c r="E507" s="7" t="s">
        <v>475</v>
      </c>
      <c r="F507" s="7" t="s">
        <v>476</v>
      </c>
      <c r="G507" s="6"/>
    </row>
    <row r="508" spans="2:9" ht="33.75">
      <c r="B508" s="10"/>
      <c r="C508" s="7" t="s">
        <v>477</v>
      </c>
      <c r="D508" s="11" t="s">
        <v>279</v>
      </c>
      <c r="E508" s="3" t="s">
        <v>424</v>
      </c>
      <c r="F508" s="7" t="s">
        <v>618</v>
      </c>
    </row>
    <row r="509" spans="2:9">
      <c r="B509" s="10"/>
      <c r="C509" s="7" t="s">
        <v>482</v>
      </c>
      <c r="D509" s="11"/>
      <c r="F509" s="7" t="s">
        <v>478</v>
      </c>
    </row>
    <row r="510" spans="2:9">
      <c r="B510" s="10"/>
      <c r="C510" s="7" t="s">
        <v>479</v>
      </c>
      <c r="D510" s="11"/>
      <c r="F510" s="7" t="s">
        <v>414</v>
      </c>
    </row>
    <row r="511" spans="2:9">
      <c r="B511" s="10"/>
      <c r="C511" s="7" t="s">
        <v>500</v>
      </c>
      <c r="D511" s="11"/>
    </row>
    <row r="512" spans="2:9">
      <c r="B512" s="10"/>
      <c r="C512" s="7" t="s">
        <v>130</v>
      </c>
      <c r="D512" s="7" t="s">
        <v>474</v>
      </c>
      <c r="E512" s="7" t="s">
        <v>475</v>
      </c>
      <c r="F512" s="7" t="s">
        <v>476</v>
      </c>
      <c r="G512" s="6"/>
    </row>
    <row r="513" spans="2:9" ht="45">
      <c r="B513" s="10"/>
      <c r="C513" s="7" t="s">
        <v>477</v>
      </c>
      <c r="D513" s="11" t="s">
        <v>280</v>
      </c>
      <c r="E513" s="3" t="s">
        <v>624</v>
      </c>
      <c r="F513" s="7" t="s">
        <v>618</v>
      </c>
      <c r="I513" s="3"/>
    </row>
    <row r="514" spans="2:9">
      <c r="B514" s="10"/>
      <c r="C514" s="7" t="s">
        <v>485</v>
      </c>
      <c r="D514" s="11"/>
      <c r="F514" s="7" t="s">
        <v>478</v>
      </c>
    </row>
    <row r="515" spans="2:9">
      <c r="B515" s="10"/>
      <c r="C515" s="7" t="s">
        <v>479</v>
      </c>
      <c r="D515" s="11"/>
      <c r="F515" s="7" t="s">
        <v>414</v>
      </c>
    </row>
    <row r="516" spans="2:9">
      <c r="B516" s="10"/>
      <c r="C516" s="7" t="s">
        <v>505</v>
      </c>
      <c r="D516" s="11"/>
    </row>
    <row r="517" spans="2:9">
      <c r="B517" s="10"/>
      <c r="C517" s="7" t="s">
        <v>131</v>
      </c>
      <c r="D517" s="7" t="s">
        <v>474</v>
      </c>
      <c r="E517" s="7" t="s">
        <v>475</v>
      </c>
      <c r="F517" s="7" t="s">
        <v>476</v>
      </c>
      <c r="G517" s="6"/>
    </row>
    <row r="518" spans="2:9">
      <c r="B518" s="10"/>
      <c r="C518" s="7" t="s">
        <v>477</v>
      </c>
      <c r="D518" s="11" t="s">
        <v>281</v>
      </c>
      <c r="E518" s="7" t="s">
        <v>425</v>
      </c>
      <c r="F518" s="7" t="s">
        <v>605</v>
      </c>
      <c r="I518" s="3"/>
    </row>
    <row r="519" spans="2:9">
      <c r="B519" s="10"/>
      <c r="C519" s="7" t="s">
        <v>489</v>
      </c>
      <c r="D519" s="11"/>
      <c r="F519" s="7" t="s">
        <v>478</v>
      </c>
    </row>
    <row r="520" spans="2:9">
      <c r="B520" s="10"/>
      <c r="C520" s="7" t="s">
        <v>479</v>
      </c>
      <c r="D520" s="11"/>
      <c r="F520" s="7" t="s">
        <v>414</v>
      </c>
    </row>
    <row r="521" spans="2:9">
      <c r="B521" s="10"/>
      <c r="C521" s="7" t="s">
        <v>480</v>
      </c>
      <c r="D521" s="11"/>
    </row>
    <row r="522" spans="2:9">
      <c r="B522" s="10"/>
      <c r="C522" s="7" t="s">
        <v>132</v>
      </c>
      <c r="D522" s="7" t="s">
        <v>474</v>
      </c>
      <c r="E522" s="7" t="s">
        <v>475</v>
      </c>
      <c r="F522" s="7" t="s">
        <v>476</v>
      </c>
      <c r="G522" s="6"/>
    </row>
    <row r="523" spans="2:9" ht="56.25">
      <c r="B523" s="10"/>
      <c r="C523" s="7" t="s">
        <v>477</v>
      </c>
      <c r="D523" s="11" t="s">
        <v>282</v>
      </c>
      <c r="E523" s="3" t="s">
        <v>625</v>
      </c>
      <c r="F523" s="7" t="s">
        <v>426</v>
      </c>
      <c r="I523" s="3"/>
    </row>
    <row r="524" spans="2:9">
      <c r="B524" s="10"/>
      <c r="C524" s="7" t="s">
        <v>480</v>
      </c>
      <c r="D524" s="11"/>
      <c r="F524" s="7" t="s">
        <v>478</v>
      </c>
    </row>
    <row r="525" spans="2:9">
      <c r="B525" s="10"/>
      <c r="C525" s="7" t="s">
        <v>479</v>
      </c>
      <c r="D525" s="11"/>
      <c r="F525" s="7" t="s">
        <v>411</v>
      </c>
    </row>
    <row r="526" spans="2:9">
      <c r="B526" s="10"/>
      <c r="C526" s="7" t="s">
        <v>511</v>
      </c>
      <c r="D526" s="11"/>
    </row>
    <row r="527" spans="2:9">
      <c r="B527" s="10"/>
      <c r="C527" s="7" t="s">
        <v>133</v>
      </c>
      <c r="D527" s="7" t="s">
        <v>474</v>
      </c>
      <c r="E527" s="7" t="s">
        <v>475</v>
      </c>
      <c r="F527" s="7" t="s">
        <v>476</v>
      </c>
      <c r="G527" s="6"/>
    </row>
    <row r="528" spans="2:9">
      <c r="B528" s="10"/>
      <c r="C528" s="7" t="s">
        <v>477</v>
      </c>
      <c r="D528" s="11" t="s">
        <v>283</v>
      </c>
      <c r="E528" s="7" t="s">
        <v>427</v>
      </c>
      <c r="F528" s="7" t="s">
        <v>626</v>
      </c>
      <c r="I528" s="3"/>
    </row>
    <row r="529" spans="2:9">
      <c r="B529" s="10"/>
      <c r="C529" s="7" t="s">
        <v>484</v>
      </c>
      <c r="D529" s="11"/>
      <c r="F529" s="7" t="s">
        <v>478</v>
      </c>
    </row>
    <row r="530" spans="2:9">
      <c r="B530" s="10"/>
      <c r="C530" s="7" t="s">
        <v>479</v>
      </c>
      <c r="D530" s="11"/>
      <c r="F530" s="7" t="s">
        <v>411</v>
      </c>
    </row>
    <row r="531" spans="2:9">
      <c r="B531" s="10"/>
      <c r="C531" s="7" t="s">
        <v>529</v>
      </c>
      <c r="D531" s="11"/>
    </row>
    <row r="532" spans="2:9">
      <c r="B532" s="10"/>
      <c r="C532" s="7" t="s">
        <v>134</v>
      </c>
      <c r="D532" s="7" t="s">
        <v>474</v>
      </c>
      <c r="E532" s="7" t="s">
        <v>475</v>
      </c>
      <c r="F532" s="7" t="s">
        <v>476</v>
      </c>
      <c r="G532" s="6"/>
    </row>
    <row r="533" spans="2:9">
      <c r="B533" s="10"/>
      <c r="C533" s="7" t="s">
        <v>477</v>
      </c>
      <c r="D533" s="11" t="s">
        <v>284</v>
      </c>
      <c r="E533" s="3" t="s">
        <v>428</v>
      </c>
      <c r="F533" s="7" t="s">
        <v>627</v>
      </c>
    </row>
    <row r="534" spans="2:9">
      <c r="B534" s="10"/>
      <c r="C534" s="7" t="s">
        <v>489</v>
      </c>
      <c r="D534" s="11"/>
      <c r="F534" s="7" t="s">
        <v>478</v>
      </c>
    </row>
    <row r="535" spans="2:9">
      <c r="B535" s="10"/>
      <c r="C535" s="7" t="s">
        <v>479</v>
      </c>
      <c r="D535" s="11"/>
      <c r="F535" s="7" t="s">
        <v>414</v>
      </c>
    </row>
    <row r="536" spans="2:9">
      <c r="B536" s="10"/>
      <c r="C536" s="7" t="s">
        <v>480</v>
      </c>
      <c r="D536" s="11"/>
    </row>
    <row r="537" spans="2:9">
      <c r="B537" s="10"/>
      <c r="C537" s="7" t="s">
        <v>135</v>
      </c>
      <c r="D537" s="7" t="s">
        <v>474</v>
      </c>
      <c r="E537" s="7" t="s">
        <v>475</v>
      </c>
      <c r="F537" s="7" t="s">
        <v>476</v>
      </c>
      <c r="G537" s="6"/>
    </row>
    <row r="538" spans="2:9" ht="56.25">
      <c r="B538" s="10"/>
      <c r="C538" s="7" t="s">
        <v>477</v>
      </c>
      <c r="D538" s="11" t="s">
        <v>285</v>
      </c>
      <c r="E538" s="3" t="s">
        <v>429</v>
      </c>
      <c r="F538" s="7" t="s">
        <v>605</v>
      </c>
    </row>
    <row r="539" spans="2:9">
      <c r="B539" s="10"/>
      <c r="C539" s="7" t="s">
        <v>486</v>
      </c>
      <c r="D539" s="11"/>
      <c r="F539" s="7" t="s">
        <v>478</v>
      </c>
    </row>
    <row r="540" spans="2:9">
      <c r="B540" s="10"/>
      <c r="C540" s="7" t="s">
        <v>479</v>
      </c>
      <c r="D540" s="11"/>
      <c r="F540" s="7" t="s">
        <v>414</v>
      </c>
    </row>
    <row r="541" spans="2:9">
      <c r="B541" s="10"/>
      <c r="C541" s="7" t="s">
        <v>500</v>
      </c>
      <c r="D541" s="11"/>
    </row>
    <row r="542" spans="2:9">
      <c r="B542" s="10"/>
      <c r="C542" s="7" t="s">
        <v>136</v>
      </c>
      <c r="D542" s="7" t="s">
        <v>474</v>
      </c>
      <c r="E542" s="7" t="s">
        <v>475</v>
      </c>
      <c r="F542" s="7" t="s">
        <v>476</v>
      </c>
      <c r="G542" s="6"/>
    </row>
    <row r="543" spans="2:9" ht="33.75">
      <c r="B543" s="10"/>
      <c r="C543" s="7" t="s">
        <v>477</v>
      </c>
      <c r="D543" s="11" t="s">
        <v>286</v>
      </c>
      <c r="E543" s="3" t="s">
        <v>628</v>
      </c>
      <c r="F543" s="7" t="s">
        <v>615</v>
      </c>
      <c r="I543" s="3"/>
    </row>
    <row r="544" spans="2:9">
      <c r="B544" s="10"/>
      <c r="C544" s="7" t="s">
        <v>484</v>
      </c>
      <c r="D544" s="11"/>
      <c r="F544" s="7" t="s">
        <v>478</v>
      </c>
    </row>
    <row r="545" spans="2:9">
      <c r="B545" s="10"/>
      <c r="C545" s="7" t="s">
        <v>479</v>
      </c>
      <c r="D545" s="11"/>
      <c r="F545" s="7" t="s">
        <v>414</v>
      </c>
    </row>
    <row r="546" spans="2:9">
      <c r="B546" s="10"/>
      <c r="C546" s="7" t="s">
        <v>499</v>
      </c>
      <c r="D546" s="11"/>
    </row>
    <row r="547" spans="2:9">
      <c r="B547" s="10"/>
      <c r="C547" s="7" t="s">
        <v>137</v>
      </c>
      <c r="D547" s="7" t="s">
        <v>474</v>
      </c>
      <c r="E547" s="7" t="s">
        <v>475</v>
      </c>
      <c r="F547" s="7" t="s">
        <v>476</v>
      </c>
      <c r="G547" s="6"/>
    </row>
    <row r="548" spans="2:9" ht="45">
      <c r="B548" s="10"/>
      <c r="C548" s="7" t="s">
        <v>477</v>
      </c>
      <c r="D548" s="11" t="s">
        <v>287</v>
      </c>
      <c r="E548" s="3" t="s">
        <v>629</v>
      </c>
      <c r="F548" s="7" t="s">
        <v>426</v>
      </c>
      <c r="I548" s="3"/>
    </row>
    <row r="549" spans="2:9">
      <c r="B549" s="10"/>
      <c r="C549" s="7" t="s">
        <v>489</v>
      </c>
      <c r="D549" s="11"/>
      <c r="F549" s="7" t="s">
        <v>478</v>
      </c>
    </row>
    <row r="550" spans="2:9">
      <c r="B550" s="10"/>
      <c r="C550" s="7" t="s">
        <v>479</v>
      </c>
      <c r="D550" s="11"/>
      <c r="F550" s="7" t="s">
        <v>411</v>
      </c>
    </row>
    <row r="551" spans="2:9">
      <c r="B551" s="10"/>
      <c r="C551" s="7" t="s">
        <v>500</v>
      </c>
      <c r="D551" s="11"/>
    </row>
    <row r="552" spans="2:9">
      <c r="B552" s="10"/>
      <c r="C552" s="7" t="s">
        <v>229</v>
      </c>
      <c r="D552" s="7" t="s">
        <v>474</v>
      </c>
      <c r="E552" s="7" t="s">
        <v>475</v>
      </c>
      <c r="F552" s="7" t="s">
        <v>476</v>
      </c>
      <c r="G552" s="6"/>
    </row>
    <row r="553" spans="2:9" ht="67.5">
      <c r="B553" s="10"/>
      <c r="C553" s="7" t="s">
        <v>477</v>
      </c>
      <c r="D553" s="11" t="s">
        <v>481</v>
      </c>
      <c r="E553" s="3" t="s">
        <v>631</v>
      </c>
      <c r="F553" s="7" t="s">
        <v>630</v>
      </c>
      <c r="I553" s="3"/>
    </row>
    <row r="554" spans="2:9">
      <c r="B554" s="10"/>
      <c r="C554" s="7" t="s">
        <v>481</v>
      </c>
      <c r="D554" s="11"/>
      <c r="F554" s="7" t="s">
        <v>478</v>
      </c>
    </row>
    <row r="555" spans="2:9">
      <c r="B555" s="10"/>
      <c r="C555" s="7" t="s">
        <v>479</v>
      </c>
      <c r="D555" s="11"/>
      <c r="F555" s="7" t="s">
        <v>414</v>
      </c>
    </row>
    <row r="556" spans="2:9">
      <c r="B556" s="10"/>
      <c r="C556" s="7" t="s">
        <v>530</v>
      </c>
      <c r="D556" s="11"/>
    </row>
    <row r="557" spans="2:9">
      <c r="B557" s="10"/>
      <c r="C557" s="7" t="s">
        <v>138</v>
      </c>
      <c r="D557" s="7" t="s">
        <v>474</v>
      </c>
      <c r="E557" s="7" t="s">
        <v>475</v>
      </c>
      <c r="F557" s="7" t="s">
        <v>476</v>
      </c>
      <c r="G557" s="6"/>
    </row>
    <row r="558" spans="2:9">
      <c r="B558" s="10"/>
      <c r="C558" s="7" t="s">
        <v>477</v>
      </c>
      <c r="D558" s="11" t="s">
        <v>288</v>
      </c>
      <c r="E558" s="7" t="s">
        <v>430</v>
      </c>
      <c r="F558" s="7" t="s">
        <v>608</v>
      </c>
      <c r="I558" s="3"/>
    </row>
    <row r="559" spans="2:9">
      <c r="B559" s="10"/>
      <c r="C559" s="7" t="s">
        <v>489</v>
      </c>
      <c r="D559" s="11"/>
      <c r="F559" s="7" t="s">
        <v>478</v>
      </c>
    </row>
    <row r="560" spans="2:9">
      <c r="B560" s="10"/>
      <c r="C560" s="7" t="s">
        <v>479</v>
      </c>
      <c r="D560" s="11"/>
      <c r="F560" s="7" t="s">
        <v>414</v>
      </c>
    </row>
    <row r="561" spans="2:9">
      <c r="B561" s="10"/>
      <c r="C561" s="7" t="s">
        <v>480</v>
      </c>
      <c r="D561" s="11"/>
    </row>
    <row r="562" spans="2:9">
      <c r="B562" s="10"/>
      <c r="C562" s="7" t="s">
        <v>139</v>
      </c>
      <c r="D562" s="7" t="s">
        <v>474</v>
      </c>
      <c r="E562" s="7" t="s">
        <v>475</v>
      </c>
      <c r="F562" s="7" t="s">
        <v>476</v>
      </c>
      <c r="G562" s="6"/>
    </row>
    <row r="563" spans="2:9">
      <c r="B563" s="10"/>
      <c r="C563" s="7" t="s">
        <v>477</v>
      </c>
      <c r="D563" s="11" t="s">
        <v>289</v>
      </c>
      <c r="E563" s="7" t="s">
        <v>431</v>
      </c>
      <c r="F563" s="7" t="s">
        <v>615</v>
      </c>
    </row>
    <row r="564" spans="2:9">
      <c r="B564" s="10"/>
      <c r="C564" s="7" t="s">
        <v>486</v>
      </c>
      <c r="D564" s="11"/>
      <c r="F564" s="7" t="s">
        <v>478</v>
      </c>
    </row>
    <row r="565" spans="2:9">
      <c r="B565" s="10"/>
      <c r="C565" s="7" t="s">
        <v>479</v>
      </c>
      <c r="D565" s="11"/>
      <c r="F565" s="7" t="s">
        <v>414</v>
      </c>
    </row>
    <row r="566" spans="2:9">
      <c r="B566" s="10"/>
      <c r="C566" s="7" t="s">
        <v>480</v>
      </c>
      <c r="D566" s="11"/>
    </row>
    <row r="567" spans="2:9">
      <c r="B567" s="10"/>
      <c r="C567" s="7" t="s">
        <v>140</v>
      </c>
      <c r="D567" s="7" t="s">
        <v>474</v>
      </c>
      <c r="E567" s="7" t="s">
        <v>475</v>
      </c>
      <c r="F567" s="7" t="s">
        <v>476</v>
      </c>
      <c r="G567" s="6"/>
    </row>
    <row r="568" spans="2:9" ht="45">
      <c r="B568" s="10"/>
      <c r="C568" s="7" t="s">
        <v>477</v>
      </c>
      <c r="D568" s="11" t="s">
        <v>290</v>
      </c>
      <c r="E568" s="3" t="s">
        <v>632</v>
      </c>
      <c r="F568" s="7" t="s">
        <v>608</v>
      </c>
      <c r="I568" s="3"/>
    </row>
    <row r="569" spans="2:9">
      <c r="B569" s="10"/>
      <c r="C569" s="7" t="s">
        <v>489</v>
      </c>
      <c r="D569" s="11"/>
      <c r="F569" s="7" t="s">
        <v>478</v>
      </c>
    </row>
    <row r="570" spans="2:9">
      <c r="B570" s="10"/>
      <c r="C570" s="7" t="s">
        <v>479</v>
      </c>
      <c r="D570" s="11"/>
      <c r="F570" s="7" t="s">
        <v>414</v>
      </c>
    </row>
    <row r="571" spans="2:9">
      <c r="B571" s="10"/>
      <c r="C571" s="7" t="s">
        <v>480</v>
      </c>
      <c r="D571" s="11"/>
    </row>
    <row r="572" spans="2:9">
      <c r="B572" s="10"/>
      <c r="C572" s="7" t="s">
        <v>141</v>
      </c>
      <c r="D572" s="7" t="s">
        <v>474</v>
      </c>
      <c r="E572" s="7" t="s">
        <v>475</v>
      </c>
      <c r="F572" s="7" t="s">
        <v>476</v>
      </c>
      <c r="G572" s="6"/>
    </row>
    <row r="573" spans="2:9" ht="56.25">
      <c r="B573" s="10"/>
      <c r="C573" s="7" t="s">
        <v>477</v>
      </c>
      <c r="D573" s="11" t="s">
        <v>291</v>
      </c>
      <c r="E573" s="3" t="s">
        <v>634</v>
      </c>
      <c r="F573" s="7" t="s">
        <v>633</v>
      </c>
      <c r="I573" s="3"/>
    </row>
    <row r="574" spans="2:9">
      <c r="B574" s="10"/>
      <c r="C574" s="7" t="s">
        <v>486</v>
      </c>
      <c r="D574" s="11"/>
      <c r="F574" s="7" t="s">
        <v>478</v>
      </c>
    </row>
    <row r="575" spans="2:9">
      <c r="B575" s="10"/>
      <c r="C575" s="7" t="s">
        <v>479</v>
      </c>
      <c r="D575" s="11"/>
      <c r="F575" s="7" t="s">
        <v>414</v>
      </c>
    </row>
    <row r="576" spans="2:9">
      <c r="B576" s="10"/>
      <c r="C576" s="7" t="s">
        <v>501</v>
      </c>
      <c r="D576" s="11"/>
    </row>
    <row r="577" spans="2:9">
      <c r="B577" s="10"/>
      <c r="C577" s="7" t="s">
        <v>249</v>
      </c>
      <c r="D577" s="7" t="s">
        <v>474</v>
      </c>
      <c r="E577" s="7" t="s">
        <v>475</v>
      </c>
      <c r="F577" s="7" t="s">
        <v>476</v>
      </c>
      <c r="G577" s="6"/>
    </row>
    <row r="578" spans="2:9" ht="56.25">
      <c r="B578" s="10"/>
      <c r="C578" s="7" t="s">
        <v>477</v>
      </c>
      <c r="D578" s="11" t="s">
        <v>481</v>
      </c>
      <c r="E578" s="3" t="s">
        <v>636</v>
      </c>
      <c r="F578" s="7" t="s">
        <v>635</v>
      </c>
      <c r="I578" s="3"/>
    </row>
    <row r="579" spans="2:9">
      <c r="B579" s="10"/>
      <c r="C579" s="7" t="s">
        <v>481</v>
      </c>
      <c r="D579" s="11"/>
      <c r="F579" s="7" t="s">
        <v>478</v>
      </c>
    </row>
    <row r="580" spans="2:9">
      <c r="B580" s="10"/>
      <c r="C580" s="7" t="s">
        <v>479</v>
      </c>
      <c r="D580" s="11"/>
      <c r="F580" s="7" t="s">
        <v>414</v>
      </c>
    </row>
    <row r="581" spans="2:9">
      <c r="B581" s="10"/>
      <c r="C581" s="7" t="s">
        <v>489</v>
      </c>
      <c r="D581" s="11"/>
    </row>
    <row r="582" spans="2:9">
      <c r="B582" s="10"/>
      <c r="C582" s="7" t="s">
        <v>142</v>
      </c>
      <c r="D582" s="7" t="s">
        <v>474</v>
      </c>
      <c r="E582" s="7" t="s">
        <v>475</v>
      </c>
      <c r="F582" s="7" t="s">
        <v>476</v>
      </c>
      <c r="G582" s="6"/>
    </row>
    <row r="583" spans="2:9">
      <c r="B583" s="10"/>
      <c r="C583" s="7" t="s">
        <v>477</v>
      </c>
      <c r="D583" s="11" t="s">
        <v>292</v>
      </c>
      <c r="E583" s="7" t="s">
        <v>433</v>
      </c>
      <c r="F583" s="7" t="s">
        <v>637</v>
      </c>
      <c r="I583" s="3"/>
    </row>
    <row r="584" spans="2:9">
      <c r="B584" s="10"/>
      <c r="C584" s="7" t="s">
        <v>482</v>
      </c>
      <c r="D584" s="11"/>
      <c r="F584" s="7" t="s">
        <v>478</v>
      </c>
    </row>
    <row r="585" spans="2:9">
      <c r="B585" s="10"/>
      <c r="C585" s="7" t="s">
        <v>479</v>
      </c>
      <c r="D585" s="11"/>
      <c r="F585" s="7" t="s">
        <v>414</v>
      </c>
    </row>
    <row r="586" spans="2:9">
      <c r="B586" s="10"/>
      <c r="C586" s="7" t="s">
        <v>496</v>
      </c>
      <c r="D586" s="11"/>
    </row>
    <row r="587" spans="2:9">
      <c r="B587" s="10"/>
      <c r="C587" s="7" t="s">
        <v>143</v>
      </c>
      <c r="D587" s="7" t="s">
        <v>474</v>
      </c>
      <c r="E587" s="7" t="s">
        <v>475</v>
      </c>
      <c r="F587" s="7" t="s">
        <v>476</v>
      </c>
      <c r="G587" s="6"/>
    </row>
    <row r="588" spans="2:9" ht="67.5">
      <c r="B588" s="10"/>
      <c r="C588" s="7" t="s">
        <v>477</v>
      </c>
      <c r="D588" s="11" t="s">
        <v>293</v>
      </c>
      <c r="E588" s="3" t="s">
        <v>639</v>
      </c>
      <c r="F588" s="7" t="s">
        <v>638</v>
      </c>
      <c r="I588" s="3"/>
    </row>
    <row r="589" spans="2:9">
      <c r="B589" s="10"/>
      <c r="C589" s="7" t="s">
        <v>485</v>
      </c>
      <c r="D589" s="11"/>
      <c r="F589" s="7" t="s">
        <v>478</v>
      </c>
    </row>
    <row r="590" spans="2:9">
      <c r="B590" s="10"/>
      <c r="C590" s="7" t="s">
        <v>479</v>
      </c>
      <c r="D590" s="11"/>
      <c r="F590" s="7" t="s">
        <v>414</v>
      </c>
    </row>
    <row r="591" spans="2:9">
      <c r="B591" s="10"/>
      <c r="C591" s="7" t="s">
        <v>502</v>
      </c>
      <c r="D591" s="11"/>
    </row>
    <row r="592" spans="2:9">
      <c r="B592" s="10"/>
      <c r="C592" s="7" t="s">
        <v>144</v>
      </c>
      <c r="D592" s="7" t="s">
        <v>474</v>
      </c>
      <c r="E592" s="7" t="s">
        <v>475</v>
      </c>
      <c r="F592" s="7" t="s">
        <v>476</v>
      </c>
      <c r="G592" s="6"/>
    </row>
    <row r="593" spans="2:9" ht="33.75">
      <c r="B593" s="10"/>
      <c r="C593" s="7" t="s">
        <v>477</v>
      </c>
      <c r="D593" s="11" t="s">
        <v>294</v>
      </c>
      <c r="E593" s="3" t="s">
        <v>434</v>
      </c>
      <c r="F593" s="7" t="s">
        <v>640</v>
      </c>
      <c r="I593" s="3"/>
    </row>
    <row r="594" spans="2:9">
      <c r="B594" s="10"/>
      <c r="C594" s="7" t="s">
        <v>489</v>
      </c>
      <c r="D594" s="11"/>
      <c r="F594" s="7" t="s">
        <v>478</v>
      </c>
    </row>
    <row r="595" spans="2:9">
      <c r="B595" s="10"/>
      <c r="C595" s="7" t="s">
        <v>479</v>
      </c>
      <c r="D595" s="11"/>
      <c r="F595" s="7" t="s">
        <v>414</v>
      </c>
    </row>
    <row r="596" spans="2:9">
      <c r="B596" s="10"/>
      <c r="C596" s="7" t="s">
        <v>523</v>
      </c>
      <c r="D596" s="11"/>
    </row>
    <row r="597" spans="2:9">
      <c r="B597" s="10"/>
      <c r="C597" s="7" t="s">
        <v>145</v>
      </c>
      <c r="D597" s="7" t="s">
        <v>474</v>
      </c>
      <c r="E597" s="7" t="s">
        <v>475</v>
      </c>
      <c r="F597" s="7" t="s">
        <v>476</v>
      </c>
      <c r="G597" s="6"/>
    </row>
    <row r="598" spans="2:9">
      <c r="B598" s="10"/>
      <c r="C598" s="7" t="s">
        <v>477</v>
      </c>
      <c r="D598" s="11" t="s">
        <v>295</v>
      </c>
      <c r="E598" s="7" t="s">
        <v>435</v>
      </c>
      <c r="F598" s="7" t="s">
        <v>641</v>
      </c>
    </row>
    <row r="599" spans="2:9">
      <c r="B599" s="10"/>
      <c r="C599" s="7" t="s">
        <v>480</v>
      </c>
      <c r="D599" s="11"/>
      <c r="F599" s="7" t="s">
        <v>478</v>
      </c>
    </row>
    <row r="600" spans="2:9">
      <c r="B600" s="10"/>
      <c r="C600" s="7" t="s">
        <v>479</v>
      </c>
      <c r="D600" s="11"/>
      <c r="F600" s="7" t="s">
        <v>432</v>
      </c>
    </row>
    <row r="601" spans="2:9">
      <c r="B601" s="10"/>
      <c r="C601" s="7" t="s">
        <v>512</v>
      </c>
      <c r="D601" s="11"/>
    </row>
    <row r="602" spans="2:9">
      <c r="B602" s="10"/>
      <c r="C602" s="7" t="s">
        <v>146</v>
      </c>
      <c r="D602" s="7" t="s">
        <v>474</v>
      </c>
      <c r="E602" s="7" t="s">
        <v>475</v>
      </c>
      <c r="F602" s="7" t="s">
        <v>476</v>
      </c>
      <c r="G602" s="6"/>
    </row>
    <row r="603" spans="2:9" ht="56.25">
      <c r="B603" s="10"/>
      <c r="C603" s="7" t="s">
        <v>477</v>
      </c>
      <c r="D603" s="11" t="s">
        <v>296</v>
      </c>
      <c r="E603" s="3" t="s">
        <v>642</v>
      </c>
      <c r="F603" s="7" t="s">
        <v>641</v>
      </c>
      <c r="I603" s="3"/>
    </row>
    <row r="604" spans="2:9">
      <c r="B604" s="10"/>
      <c r="C604" s="7" t="s">
        <v>486</v>
      </c>
      <c r="D604" s="11"/>
      <c r="F604" s="7" t="s">
        <v>478</v>
      </c>
    </row>
    <row r="605" spans="2:9">
      <c r="B605" s="10"/>
      <c r="C605" s="7" t="s">
        <v>479</v>
      </c>
      <c r="D605" s="11"/>
      <c r="F605" s="7" t="s">
        <v>432</v>
      </c>
    </row>
    <row r="606" spans="2:9">
      <c r="B606" s="10"/>
      <c r="C606" s="7" t="s">
        <v>480</v>
      </c>
      <c r="D606" s="11"/>
    </row>
    <row r="607" spans="2:9">
      <c r="B607" s="10"/>
      <c r="C607" s="7" t="s">
        <v>147</v>
      </c>
      <c r="D607" s="7" t="s">
        <v>474</v>
      </c>
      <c r="E607" s="7" t="s">
        <v>475</v>
      </c>
      <c r="F607" s="7" t="s">
        <v>476</v>
      </c>
      <c r="G607" s="6"/>
    </row>
    <row r="608" spans="2:9">
      <c r="B608" s="10"/>
      <c r="C608" s="7" t="s">
        <v>477</v>
      </c>
      <c r="D608" s="11" t="s">
        <v>297</v>
      </c>
      <c r="E608" s="7" t="s">
        <v>436</v>
      </c>
      <c r="F608" s="7" t="s">
        <v>633</v>
      </c>
      <c r="I608" s="3"/>
    </row>
    <row r="609" spans="2:9">
      <c r="B609" s="10"/>
      <c r="C609" s="7" t="s">
        <v>482</v>
      </c>
      <c r="D609" s="11"/>
      <c r="F609" s="7" t="s">
        <v>478</v>
      </c>
    </row>
    <row r="610" spans="2:9">
      <c r="B610" s="10"/>
      <c r="C610" s="7" t="s">
        <v>479</v>
      </c>
      <c r="D610" s="11"/>
      <c r="F610" s="7" t="s">
        <v>414</v>
      </c>
    </row>
    <row r="611" spans="2:9">
      <c r="B611" s="10"/>
      <c r="C611" s="7" t="s">
        <v>503</v>
      </c>
      <c r="D611" s="11"/>
    </row>
    <row r="612" spans="2:9">
      <c r="B612" s="10"/>
      <c r="C612" s="7" t="s">
        <v>148</v>
      </c>
      <c r="D612" s="7" t="s">
        <v>474</v>
      </c>
      <c r="E612" s="7" t="s">
        <v>475</v>
      </c>
      <c r="F612" s="7" t="s">
        <v>476</v>
      </c>
      <c r="G612" s="6"/>
    </row>
    <row r="613" spans="2:9" ht="101.25">
      <c r="B613" s="10"/>
      <c r="C613" s="7" t="s">
        <v>477</v>
      </c>
      <c r="D613" s="11" t="s">
        <v>298</v>
      </c>
      <c r="E613" s="3" t="s">
        <v>644</v>
      </c>
      <c r="F613" s="7" t="s">
        <v>643</v>
      </c>
      <c r="I613" s="3"/>
    </row>
    <row r="614" spans="2:9">
      <c r="B614" s="10"/>
      <c r="C614" s="7" t="s">
        <v>485</v>
      </c>
      <c r="D614" s="11"/>
      <c r="F614" s="7" t="s">
        <v>478</v>
      </c>
    </row>
    <row r="615" spans="2:9">
      <c r="B615" s="10"/>
      <c r="C615" s="7" t="s">
        <v>479</v>
      </c>
      <c r="D615" s="11"/>
      <c r="F615" s="7" t="s">
        <v>414</v>
      </c>
    </row>
    <row r="616" spans="2:9">
      <c r="B616" s="10"/>
      <c r="C616" s="7" t="s">
        <v>495</v>
      </c>
      <c r="D616" s="11"/>
    </row>
    <row r="617" spans="2:9">
      <c r="B617" s="10"/>
      <c r="C617" s="7" t="s">
        <v>240</v>
      </c>
      <c r="D617" s="7" t="s">
        <v>474</v>
      </c>
      <c r="E617" s="7" t="s">
        <v>475</v>
      </c>
      <c r="F617" s="7" t="s">
        <v>476</v>
      </c>
      <c r="G617" s="6"/>
    </row>
    <row r="618" spans="2:9" ht="45">
      <c r="B618" s="10"/>
      <c r="C618" s="7" t="s">
        <v>477</v>
      </c>
      <c r="D618" s="11" t="s">
        <v>481</v>
      </c>
      <c r="E618" s="3" t="s">
        <v>645</v>
      </c>
      <c r="F618" s="7" t="s">
        <v>633</v>
      </c>
      <c r="I618" s="3"/>
    </row>
    <row r="619" spans="2:9">
      <c r="B619" s="10"/>
      <c r="C619" s="7" t="s">
        <v>481</v>
      </c>
      <c r="D619" s="11"/>
      <c r="F619" s="7" t="s">
        <v>478</v>
      </c>
    </row>
    <row r="620" spans="2:9">
      <c r="B620" s="10"/>
      <c r="C620" s="7" t="s">
        <v>479</v>
      </c>
      <c r="D620" s="11"/>
      <c r="F620" s="7" t="s">
        <v>414</v>
      </c>
    </row>
    <row r="621" spans="2:9">
      <c r="B621" s="10"/>
      <c r="C621" s="7" t="s">
        <v>486</v>
      </c>
      <c r="D621" s="11"/>
    </row>
    <row r="622" spans="2:9">
      <c r="B622" s="10"/>
      <c r="C622" s="7" t="s">
        <v>246</v>
      </c>
      <c r="D622" s="7" t="s">
        <v>474</v>
      </c>
      <c r="E622" s="7" t="s">
        <v>475</v>
      </c>
      <c r="F622" s="7" t="s">
        <v>476</v>
      </c>
      <c r="G622" s="6"/>
    </row>
    <row r="623" spans="2:9">
      <c r="B623" s="10"/>
      <c r="C623" s="7" t="s">
        <v>477</v>
      </c>
      <c r="D623" s="11" t="s">
        <v>481</v>
      </c>
      <c r="E623" s="7" t="s">
        <v>437</v>
      </c>
      <c r="F623" s="7" t="s">
        <v>646</v>
      </c>
      <c r="I623" s="3"/>
    </row>
    <row r="624" spans="2:9">
      <c r="B624" s="10"/>
      <c r="C624" s="7" t="s">
        <v>481</v>
      </c>
      <c r="D624" s="11"/>
      <c r="F624" s="7" t="s">
        <v>478</v>
      </c>
    </row>
    <row r="625" spans="2:9">
      <c r="B625" s="10"/>
      <c r="C625" s="7" t="s">
        <v>479</v>
      </c>
      <c r="D625" s="11"/>
      <c r="F625" s="7" t="s">
        <v>414</v>
      </c>
    </row>
    <row r="626" spans="2:9">
      <c r="B626" s="10"/>
      <c r="C626" s="7" t="s">
        <v>518</v>
      </c>
      <c r="D626" s="11"/>
    </row>
    <row r="627" spans="2:9">
      <c r="B627" s="10"/>
      <c r="C627" s="7" t="s">
        <v>149</v>
      </c>
      <c r="D627" s="7" t="s">
        <v>474</v>
      </c>
      <c r="E627" s="7" t="s">
        <v>475</v>
      </c>
      <c r="F627" s="7" t="s">
        <v>476</v>
      </c>
      <c r="G627" s="6"/>
    </row>
    <row r="628" spans="2:9" ht="56.25">
      <c r="B628" s="10"/>
      <c r="C628" s="7" t="s">
        <v>477</v>
      </c>
      <c r="D628" s="11" t="s">
        <v>299</v>
      </c>
      <c r="E628" s="3" t="s">
        <v>647</v>
      </c>
      <c r="F628" s="7" t="s">
        <v>646</v>
      </c>
      <c r="I628" s="3"/>
    </row>
    <row r="629" spans="2:9">
      <c r="B629" s="10"/>
      <c r="C629" s="7" t="s">
        <v>480</v>
      </c>
      <c r="D629" s="11"/>
      <c r="F629" s="7" t="s">
        <v>478</v>
      </c>
    </row>
    <row r="630" spans="2:9">
      <c r="B630" s="10"/>
      <c r="C630" s="7" t="s">
        <v>479</v>
      </c>
      <c r="D630" s="11"/>
      <c r="F630" s="7" t="s">
        <v>414</v>
      </c>
    </row>
    <row r="631" spans="2:9">
      <c r="B631" s="10"/>
      <c r="C631" s="7" t="s">
        <v>512</v>
      </c>
      <c r="D631" s="11"/>
    </row>
    <row r="632" spans="2:9">
      <c r="B632" s="10"/>
      <c r="C632" s="7" t="s">
        <v>150</v>
      </c>
      <c r="D632" s="7" t="s">
        <v>474</v>
      </c>
      <c r="E632" s="7" t="s">
        <v>475</v>
      </c>
      <c r="F632" s="7" t="s">
        <v>476</v>
      </c>
      <c r="G632" s="6"/>
    </row>
    <row r="633" spans="2:9">
      <c r="B633" s="10"/>
      <c r="C633" s="7" t="s">
        <v>477</v>
      </c>
      <c r="D633" s="11" t="s">
        <v>300</v>
      </c>
      <c r="E633" s="3" t="s">
        <v>488</v>
      </c>
      <c r="F633" s="7" t="s">
        <v>646</v>
      </c>
      <c r="I633" s="3"/>
    </row>
    <row r="634" spans="2:9">
      <c r="B634" s="10"/>
      <c r="C634" s="7" t="s">
        <v>486</v>
      </c>
      <c r="D634" s="11"/>
      <c r="F634" s="7" t="s">
        <v>478</v>
      </c>
    </row>
    <row r="635" spans="2:9">
      <c r="B635" s="10"/>
      <c r="C635" s="7" t="s">
        <v>479</v>
      </c>
      <c r="D635" s="11"/>
      <c r="F635" s="7" t="s">
        <v>414</v>
      </c>
    </row>
    <row r="636" spans="2:9">
      <c r="B636" s="10"/>
      <c r="C636" s="7" t="s">
        <v>480</v>
      </c>
      <c r="D636" s="11"/>
    </row>
    <row r="637" spans="2:9">
      <c r="B637" s="10"/>
      <c r="C637" s="7" t="s">
        <v>151</v>
      </c>
      <c r="D637" s="7" t="s">
        <v>474</v>
      </c>
      <c r="E637" s="7" t="s">
        <v>475</v>
      </c>
      <c r="F637" s="7" t="s">
        <v>476</v>
      </c>
      <c r="G637" s="6"/>
    </row>
    <row r="638" spans="2:9" ht="45">
      <c r="B638" s="10"/>
      <c r="C638" s="7" t="s">
        <v>477</v>
      </c>
      <c r="D638" s="11" t="s">
        <v>301</v>
      </c>
      <c r="E638" s="3" t="s">
        <v>648</v>
      </c>
      <c r="F638" s="7" t="s">
        <v>646</v>
      </c>
      <c r="I638" s="3"/>
    </row>
    <row r="639" spans="2:9">
      <c r="B639" s="10"/>
      <c r="C639" s="7" t="s">
        <v>486</v>
      </c>
      <c r="D639" s="11"/>
      <c r="F639" s="7" t="s">
        <v>478</v>
      </c>
    </row>
    <row r="640" spans="2:9">
      <c r="B640" s="10"/>
      <c r="C640" s="7" t="s">
        <v>479</v>
      </c>
      <c r="D640" s="11"/>
      <c r="F640" s="7" t="s">
        <v>414</v>
      </c>
    </row>
    <row r="641" spans="2:9">
      <c r="B641" s="10"/>
      <c r="C641" s="7" t="s">
        <v>486</v>
      </c>
      <c r="D641" s="11"/>
    </row>
    <row r="642" spans="2:9">
      <c r="B642" s="10"/>
      <c r="C642" s="7" t="s">
        <v>152</v>
      </c>
      <c r="D642" s="7" t="s">
        <v>474</v>
      </c>
      <c r="E642" s="7" t="s">
        <v>475</v>
      </c>
      <c r="F642" s="7" t="s">
        <v>476</v>
      </c>
      <c r="G642" s="6"/>
    </row>
    <row r="643" spans="2:9">
      <c r="B643" s="10"/>
      <c r="C643" s="7" t="s">
        <v>477</v>
      </c>
      <c r="D643" s="11" t="s">
        <v>302</v>
      </c>
      <c r="E643" s="7" t="s">
        <v>438</v>
      </c>
      <c r="F643" s="7" t="s">
        <v>641</v>
      </c>
      <c r="I643" s="3"/>
    </row>
    <row r="644" spans="2:9">
      <c r="B644" s="10"/>
      <c r="C644" s="7" t="s">
        <v>484</v>
      </c>
      <c r="D644" s="11"/>
      <c r="F644" s="7" t="s">
        <v>478</v>
      </c>
    </row>
    <row r="645" spans="2:9">
      <c r="B645" s="10"/>
      <c r="C645" s="7" t="s">
        <v>479</v>
      </c>
      <c r="D645" s="11"/>
      <c r="F645" s="7" t="s">
        <v>432</v>
      </c>
    </row>
    <row r="646" spans="2:9">
      <c r="B646" s="10"/>
      <c r="C646" s="7" t="s">
        <v>486</v>
      </c>
      <c r="D646" s="11"/>
    </row>
    <row r="647" spans="2:9">
      <c r="B647" s="10"/>
      <c r="C647" s="7" t="s">
        <v>230</v>
      </c>
      <c r="D647" s="7" t="s">
        <v>474</v>
      </c>
      <c r="E647" s="7" t="s">
        <v>475</v>
      </c>
      <c r="F647" s="7" t="s">
        <v>476</v>
      </c>
      <c r="G647" s="6"/>
    </row>
    <row r="648" spans="2:9" ht="45">
      <c r="B648" s="10"/>
      <c r="C648" s="7" t="s">
        <v>477</v>
      </c>
      <c r="D648" s="11" t="s">
        <v>481</v>
      </c>
      <c r="E648" s="3" t="s">
        <v>649</v>
      </c>
      <c r="F648" s="7" t="s">
        <v>633</v>
      </c>
      <c r="I648" s="3"/>
    </row>
    <row r="649" spans="2:9">
      <c r="B649" s="10"/>
      <c r="C649" s="7" t="s">
        <v>481</v>
      </c>
      <c r="D649" s="11"/>
      <c r="F649" s="7" t="s">
        <v>478</v>
      </c>
    </row>
    <row r="650" spans="2:9">
      <c r="B650" s="10"/>
      <c r="C650" s="7" t="s">
        <v>479</v>
      </c>
      <c r="D650" s="11"/>
      <c r="F650" s="7" t="s">
        <v>414</v>
      </c>
    </row>
    <row r="651" spans="2:9">
      <c r="B651" s="10"/>
      <c r="C651" s="7" t="s">
        <v>531</v>
      </c>
      <c r="D651" s="11"/>
    </row>
    <row r="652" spans="2:9">
      <c r="B652" s="10"/>
      <c r="C652" s="7" t="s">
        <v>153</v>
      </c>
      <c r="D652" s="7" t="s">
        <v>474</v>
      </c>
      <c r="E652" s="7" t="s">
        <v>475</v>
      </c>
      <c r="F652" s="7" t="s">
        <v>476</v>
      </c>
      <c r="G652" s="6"/>
    </row>
    <row r="653" spans="2:9">
      <c r="B653" s="10"/>
      <c r="C653" s="7" t="s">
        <v>477</v>
      </c>
      <c r="D653" s="11" t="s">
        <v>303</v>
      </c>
      <c r="E653" s="7" t="s">
        <v>439</v>
      </c>
      <c r="F653" s="7" t="s">
        <v>633</v>
      </c>
      <c r="I653" s="3"/>
    </row>
    <row r="654" spans="2:9">
      <c r="B654" s="10"/>
      <c r="C654" s="7" t="s">
        <v>488</v>
      </c>
      <c r="D654" s="11"/>
      <c r="F654" s="7" t="s">
        <v>478</v>
      </c>
    </row>
    <row r="655" spans="2:9">
      <c r="B655" s="10"/>
      <c r="C655" s="7" t="s">
        <v>479</v>
      </c>
      <c r="D655" s="11"/>
      <c r="F655" s="7" t="s">
        <v>414</v>
      </c>
    </row>
    <row r="656" spans="2:9">
      <c r="B656" s="10"/>
      <c r="C656" s="7" t="s">
        <v>510</v>
      </c>
      <c r="D656" s="11"/>
    </row>
    <row r="657" spans="2:9">
      <c r="B657" s="10"/>
      <c r="C657" s="7" t="s">
        <v>154</v>
      </c>
      <c r="D657" s="7" t="s">
        <v>474</v>
      </c>
      <c r="E657" s="7" t="s">
        <v>475</v>
      </c>
      <c r="F657" s="7" t="s">
        <v>476</v>
      </c>
      <c r="G657" s="6"/>
    </row>
    <row r="658" spans="2:9" ht="67.5">
      <c r="B658" s="10"/>
      <c r="C658" s="7" t="s">
        <v>477</v>
      </c>
      <c r="D658" s="11" t="s">
        <v>304</v>
      </c>
      <c r="E658" s="3" t="s">
        <v>651</v>
      </c>
      <c r="F658" s="7" t="s">
        <v>650</v>
      </c>
      <c r="I658" s="3"/>
    </row>
    <row r="659" spans="2:9">
      <c r="B659" s="10"/>
      <c r="C659" s="7" t="s">
        <v>484</v>
      </c>
      <c r="D659" s="11"/>
      <c r="F659" s="7" t="s">
        <v>478</v>
      </c>
    </row>
    <row r="660" spans="2:9">
      <c r="B660" s="10"/>
      <c r="C660" s="7" t="s">
        <v>479</v>
      </c>
      <c r="D660" s="11"/>
      <c r="F660" s="7" t="s">
        <v>414</v>
      </c>
    </row>
    <row r="661" spans="2:9">
      <c r="B661" s="10"/>
      <c r="C661" s="7" t="s">
        <v>532</v>
      </c>
      <c r="D661" s="11"/>
    </row>
    <row r="662" spans="2:9">
      <c r="B662" s="10"/>
      <c r="C662" s="7" t="s">
        <v>155</v>
      </c>
      <c r="D662" s="7" t="s">
        <v>474</v>
      </c>
      <c r="E662" s="7" t="s">
        <v>475</v>
      </c>
      <c r="F662" s="7" t="s">
        <v>476</v>
      </c>
      <c r="G662" s="6"/>
    </row>
    <row r="663" spans="2:9" ht="33.75">
      <c r="B663" s="10"/>
      <c r="C663" s="7" t="s">
        <v>477</v>
      </c>
      <c r="D663" s="11" t="s">
        <v>305</v>
      </c>
      <c r="E663" s="3" t="s">
        <v>440</v>
      </c>
      <c r="F663" s="7" t="s">
        <v>646</v>
      </c>
      <c r="I663" s="3"/>
    </row>
    <row r="664" spans="2:9">
      <c r="B664" s="10"/>
      <c r="C664" s="7" t="s">
        <v>484</v>
      </c>
      <c r="D664" s="11"/>
      <c r="F664" s="7" t="s">
        <v>478</v>
      </c>
    </row>
    <row r="665" spans="2:9">
      <c r="B665" s="10"/>
      <c r="C665" s="7" t="s">
        <v>479</v>
      </c>
      <c r="D665" s="11"/>
      <c r="F665" s="7" t="s">
        <v>414</v>
      </c>
    </row>
    <row r="666" spans="2:9">
      <c r="B666" s="10"/>
      <c r="C666" s="7" t="s">
        <v>515</v>
      </c>
      <c r="D666" s="11"/>
    </row>
    <row r="667" spans="2:9">
      <c r="B667" s="10"/>
      <c r="C667" s="7" t="s">
        <v>156</v>
      </c>
      <c r="D667" s="7" t="s">
        <v>474</v>
      </c>
      <c r="E667" s="7" t="s">
        <v>475</v>
      </c>
      <c r="F667" s="7" t="s">
        <v>476</v>
      </c>
      <c r="G667" s="6"/>
    </row>
    <row r="668" spans="2:9" ht="45">
      <c r="B668" s="10"/>
      <c r="C668" s="7" t="s">
        <v>477</v>
      </c>
      <c r="D668" s="11" t="s">
        <v>306</v>
      </c>
      <c r="E668" s="3" t="s">
        <v>652</v>
      </c>
      <c r="F668" s="7" t="s">
        <v>650</v>
      </c>
      <c r="I668" s="3"/>
    </row>
    <row r="669" spans="2:9">
      <c r="B669" s="10"/>
      <c r="C669" s="7" t="s">
        <v>482</v>
      </c>
      <c r="D669" s="11"/>
      <c r="F669" s="7" t="s">
        <v>478</v>
      </c>
    </row>
    <row r="670" spans="2:9">
      <c r="B670" s="10"/>
      <c r="C670" s="7" t="s">
        <v>479</v>
      </c>
      <c r="D670" s="11"/>
      <c r="F670" s="7" t="s">
        <v>414</v>
      </c>
    </row>
    <row r="671" spans="2:9">
      <c r="B671" s="10"/>
      <c r="C671" s="7" t="s">
        <v>489</v>
      </c>
      <c r="D671" s="11"/>
    </row>
    <row r="672" spans="2:9">
      <c r="B672" s="10"/>
      <c r="C672" s="7" t="s">
        <v>157</v>
      </c>
      <c r="D672" s="7" t="s">
        <v>474</v>
      </c>
      <c r="E672" s="7" t="s">
        <v>475</v>
      </c>
      <c r="F672" s="7" t="s">
        <v>476</v>
      </c>
      <c r="G672" s="6"/>
    </row>
    <row r="673" spans="2:9" ht="45">
      <c r="B673" s="10"/>
      <c r="C673" s="7" t="s">
        <v>477</v>
      </c>
      <c r="D673" s="11" t="s">
        <v>307</v>
      </c>
      <c r="E673" s="3" t="s">
        <v>441</v>
      </c>
      <c r="F673" s="7" t="s">
        <v>633</v>
      </c>
      <c r="I673" s="3"/>
    </row>
    <row r="674" spans="2:9">
      <c r="B674" s="10"/>
      <c r="C674" s="7" t="s">
        <v>491</v>
      </c>
      <c r="D674" s="11"/>
      <c r="F674" s="7" t="s">
        <v>478</v>
      </c>
    </row>
    <row r="675" spans="2:9">
      <c r="B675" s="10"/>
      <c r="C675" s="7" t="s">
        <v>479</v>
      </c>
      <c r="D675" s="11"/>
      <c r="F675" s="7" t="s">
        <v>414</v>
      </c>
    </row>
    <row r="676" spans="2:9">
      <c r="B676" s="10"/>
      <c r="C676" s="7" t="s">
        <v>512</v>
      </c>
      <c r="D676" s="11"/>
    </row>
    <row r="677" spans="2:9">
      <c r="B677" s="10"/>
      <c r="C677" s="7" t="s">
        <v>158</v>
      </c>
      <c r="D677" s="7" t="s">
        <v>474</v>
      </c>
      <c r="E677" s="7" t="s">
        <v>475</v>
      </c>
      <c r="F677" s="7" t="s">
        <v>476</v>
      </c>
      <c r="G677" s="6"/>
    </row>
    <row r="678" spans="2:9" ht="67.5">
      <c r="B678" s="10"/>
      <c r="C678" s="7" t="s">
        <v>477</v>
      </c>
      <c r="D678" s="11" t="s">
        <v>308</v>
      </c>
      <c r="E678" s="3" t="s">
        <v>654</v>
      </c>
      <c r="F678" s="7" t="s">
        <v>653</v>
      </c>
      <c r="I678" s="3"/>
    </row>
    <row r="679" spans="2:9">
      <c r="B679" s="10"/>
      <c r="C679" s="7" t="s">
        <v>483</v>
      </c>
      <c r="D679" s="11"/>
      <c r="F679" s="7" t="s">
        <v>478</v>
      </c>
    </row>
    <row r="680" spans="2:9">
      <c r="B680" s="10"/>
      <c r="C680" s="7" t="s">
        <v>479</v>
      </c>
      <c r="D680" s="11"/>
      <c r="F680" s="7" t="s">
        <v>414</v>
      </c>
    </row>
    <row r="681" spans="2:9">
      <c r="B681" s="10"/>
      <c r="C681" s="7" t="s">
        <v>494</v>
      </c>
      <c r="D681" s="11"/>
    </row>
    <row r="682" spans="2:9">
      <c r="B682" s="10"/>
      <c r="C682" s="7" t="s">
        <v>224</v>
      </c>
      <c r="D682" s="7" t="s">
        <v>474</v>
      </c>
      <c r="E682" s="7" t="s">
        <v>475</v>
      </c>
      <c r="F682" s="7" t="s">
        <v>476</v>
      </c>
      <c r="G682" s="6"/>
    </row>
    <row r="683" spans="2:9" ht="56.25">
      <c r="B683" s="10"/>
      <c r="C683" s="7" t="s">
        <v>477</v>
      </c>
      <c r="D683" s="11" t="s">
        <v>481</v>
      </c>
      <c r="E683" s="3" t="s">
        <v>655</v>
      </c>
      <c r="F683" s="7" t="s">
        <v>633</v>
      </c>
      <c r="I683" s="3"/>
    </row>
    <row r="684" spans="2:9">
      <c r="B684" s="10"/>
      <c r="C684" s="7" t="s">
        <v>481</v>
      </c>
      <c r="D684" s="11"/>
      <c r="F684" s="7" t="s">
        <v>478</v>
      </c>
    </row>
    <row r="685" spans="2:9">
      <c r="B685" s="10"/>
      <c r="C685" s="7" t="s">
        <v>479</v>
      </c>
      <c r="D685" s="11"/>
      <c r="F685" s="7" t="s">
        <v>414</v>
      </c>
    </row>
    <row r="686" spans="2:9">
      <c r="B686" s="10"/>
      <c r="C686" s="7" t="s">
        <v>533</v>
      </c>
      <c r="D686" s="11"/>
    </row>
    <row r="687" spans="2:9">
      <c r="B687" s="10"/>
      <c r="C687" s="7" t="s">
        <v>159</v>
      </c>
      <c r="D687" s="7" t="s">
        <v>474</v>
      </c>
      <c r="E687" s="7" t="s">
        <v>475</v>
      </c>
      <c r="F687" s="7" t="s">
        <v>476</v>
      </c>
      <c r="G687" s="6"/>
    </row>
    <row r="688" spans="2:9" ht="33.75">
      <c r="B688" s="10"/>
      <c r="C688" s="7" t="s">
        <v>477</v>
      </c>
      <c r="D688" s="11" t="s">
        <v>309</v>
      </c>
      <c r="E688" s="3" t="s">
        <v>442</v>
      </c>
      <c r="F688" s="7" t="s">
        <v>641</v>
      </c>
      <c r="I688" s="3"/>
    </row>
    <row r="689" spans="2:9">
      <c r="B689" s="10"/>
      <c r="C689" s="7" t="s">
        <v>486</v>
      </c>
      <c r="D689" s="11"/>
      <c r="F689" s="7" t="s">
        <v>478</v>
      </c>
    </row>
    <row r="690" spans="2:9">
      <c r="B690" s="10"/>
      <c r="C690" s="7" t="s">
        <v>479</v>
      </c>
      <c r="D690" s="11"/>
      <c r="F690" s="7" t="s">
        <v>432</v>
      </c>
    </row>
    <row r="691" spans="2:9">
      <c r="B691" s="10"/>
      <c r="C691" s="7" t="s">
        <v>512</v>
      </c>
      <c r="D691" s="11"/>
    </row>
    <row r="692" spans="2:9">
      <c r="B692" s="10"/>
      <c r="C692" s="7" t="s">
        <v>160</v>
      </c>
      <c r="D692" s="7" t="s">
        <v>474</v>
      </c>
      <c r="E692" s="7" t="s">
        <v>475</v>
      </c>
      <c r="F692" s="7" t="s">
        <v>476</v>
      </c>
      <c r="G692" s="6"/>
    </row>
    <row r="693" spans="2:9" ht="33.75">
      <c r="B693" s="10"/>
      <c r="C693" s="7" t="s">
        <v>477</v>
      </c>
      <c r="D693" s="11" t="s">
        <v>310</v>
      </c>
      <c r="E693" s="3" t="s">
        <v>656</v>
      </c>
      <c r="F693" s="7" t="s">
        <v>641</v>
      </c>
      <c r="I693" s="3"/>
    </row>
    <row r="694" spans="2:9">
      <c r="B694" s="10"/>
      <c r="C694" s="7" t="s">
        <v>480</v>
      </c>
      <c r="D694" s="11"/>
      <c r="F694" s="7" t="s">
        <v>478</v>
      </c>
    </row>
    <row r="695" spans="2:9">
      <c r="B695" s="10"/>
      <c r="C695" s="7" t="s">
        <v>479</v>
      </c>
      <c r="D695" s="11"/>
      <c r="F695" s="7" t="s">
        <v>432</v>
      </c>
    </row>
    <row r="696" spans="2:9">
      <c r="B696" s="10"/>
      <c r="C696" s="7" t="s">
        <v>510</v>
      </c>
      <c r="D696" s="11"/>
    </row>
    <row r="697" spans="2:9">
      <c r="B697" s="10"/>
      <c r="C697" s="7" t="s">
        <v>161</v>
      </c>
      <c r="D697" s="7" t="s">
        <v>474</v>
      </c>
      <c r="E697" s="7" t="s">
        <v>475</v>
      </c>
      <c r="F697" s="7" t="s">
        <v>476</v>
      </c>
      <c r="G697" s="6"/>
    </row>
    <row r="698" spans="2:9" ht="90">
      <c r="B698" s="10"/>
      <c r="C698" s="7" t="s">
        <v>477</v>
      </c>
      <c r="D698" s="11" t="s">
        <v>311</v>
      </c>
      <c r="E698" s="3" t="s">
        <v>657</v>
      </c>
      <c r="F698" s="7" t="s">
        <v>633</v>
      </c>
      <c r="I698" s="3"/>
    </row>
    <row r="699" spans="2:9">
      <c r="B699" s="10"/>
      <c r="C699" s="7" t="s">
        <v>487</v>
      </c>
      <c r="D699" s="11"/>
      <c r="F699" s="7" t="s">
        <v>478</v>
      </c>
    </row>
    <row r="700" spans="2:9">
      <c r="B700" s="10"/>
      <c r="C700" s="7" t="s">
        <v>479</v>
      </c>
      <c r="D700" s="11"/>
      <c r="F700" s="7" t="s">
        <v>414</v>
      </c>
    </row>
    <row r="701" spans="2:9">
      <c r="B701" s="10"/>
      <c r="C701" s="7" t="s">
        <v>482</v>
      </c>
      <c r="D701" s="11"/>
    </row>
    <row r="702" spans="2:9">
      <c r="B702" s="10"/>
      <c r="C702" s="7" t="s">
        <v>162</v>
      </c>
      <c r="D702" s="7" t="s">
        <v>474</v>
      </c>
      <c r="E702" s="7" t="s">
        <v>475</v>
      </c>
      <c r="F702" s="7" t="s">
        <v>476</v>
      </c>
      <c r="G702" s="6"/>
    </row>
    <row r="703" spans="2:9" ht="33.75">
      <c r="B703" s="10"/>
      <c r="C703" s="7" t="s">
        <v>477</v>
      </c>
      <c r="D703" s="11" t="s">
        <v>312</v>
      </c>
      <c r="E703" s="3" t="s">
        <v>443</v>
      </c>
      <c r="F703" s="7" t="s">
        <v>633</v>
      </c>
      <c r="I703" s="3"/>
    </row>
    <row r="704" spans="2:9">
      <c r="B704" s="10"/>
      <c r="C704" s="7" t="s">
        <v>489</v>
      </c>
      <c r="D704" s="11"/>
      <c r="F704" s="7" t="s">
        <v>478</v>
      </c>
    </row>
    <row r="705" spans="2:9">
      <c r="B705" s="10"/>
      <c r="C705" s="7" t="s">
        <v>479</v>
      </c>
      <c r="D705" s="11"/>
      <c r="F705" s="7" t="s">
        <v>414</v>
      </c>
    </row>
    <row r="706" spans="2:9">
      <c r="B706" s="10"/>
      <c r="C706" s="7" t="s">
        <v>512</v>
      </c>
      <c r="D706" s="11"/>
    </row>
    <row r="707" spans="2:9">
      <c r="B707" s="10"/>
      <c r="C707" s="7" t="s">
        <v>235</v>
      </c>
      <c r="D707" s="7" t="s">
        <v>474</v>
      </c>
      <c r="E707" s="7" t="s">
        <v>475</v>
      </c>
      <c r="F707" s="7" t="s">
        <v>476</v>
      </c>
      <c r="G707" s="6"/>
    </row>
    <row r="708" spans="2:9" ht="33.75">
      <c r="B708" s="10"/>
      <c r="C708" s="7" t="s">
        <v>477</v>
      </c>
      <c r="D708" s="11" t="s">
        <v>481</v>
      </c>
      <c r="E708" s="3" t="s">
        <v>658</v>
      </c>
      <c r="F708" s="7" t="s">
        <v>650</v>
      </c>
      <c r="I708" s="3"/>
    </row>
    <row r="709" spans="2:9">
      <c r="B709" s="10"/>
      <c r="C709" s="7" t="s">
        <v>481</v>
      </c>
      <c r="D709" s="11"/>
      <c r="F709" s="7" t="s">
        <v>478</v>
      </c>
    </row>
    <row r="710" spans="2:9">
      <c r="B710" s="10"/>
      <c r="C710" s="7" t="s">
        <v>479</v>
      </c>
      <c r="D710" s="11"/>
      <c r="F710" s="7" t="s">
        <v>414</v>
      </c>
    </row>
    <row r="711" spans="2:9">
      <c r="B711" s="10"/>
      <c r="C711" s="7" t="s">
        <v>534</v>
      </c>
      <c r="D711" s="11"/>
    </row>
    <row r="712" spans="2:9">
      <c r="B712" s="10"/>
      <c r="C712" s="7" t="s">
        <v>163</v>
      </c>
      <c r="D712" s="7" t="s">
        <v>474</v>
      </c>
      <c r="E712" s="7" t="s">
        <v>475</v>
      </c>
      <c r="F712" s="7" t="s">
        <v>476</v>
      </c>
      <c r="G712" s="6"/>
    </row>
    <row r="713" spans="2:9">
      <c r="B713" s="10"/>
      <c r="C713" s="7" t="s">
        <v>477</v>
      </c>
      <c r="D713" s="11" t="s">
        <v>313</v>
      </c>
      <c r="E713" s="7" t="s">
        <v>444</v>
      </c>
      <c r="F713" s="7" t="s">
        <v>659</v>
      </c>
      <c r="I713" s="3"/>
    </row>
    <row r="714" spans="2:9">
      <c r="B714" s="10"/>
      <c r="C714" s="7" t="s">
        <v>486</v>
      </c>
      <c r="D714" s="11"/>
      <c r="F714" s="7" t="s">
        <v>478</v>
      </c>
    </row>
    <row r="715" spans="2:9">
      <c r="B715" s="10"/>
      <c r="C715" s="7" t="s">
        <v>479</v>
      </c>
      <c r="D715" s="11"/>
      <c r="F715" s="7" t="s">
        <v>414</v>
      </c>
    </row>
    <row r="716" spans="2:9">
      <c r="B716" s="10"/>
      <c r="C716" s="7" t="s">
        <v>503</v>
      </c>
      <c r="D716" s="11"/>
    </row>
    <row r="717" spans="2:9">
      <c r="B717" s="10"/>
      <c r="C717" s="7" t="s">
        <v>164</v>
      </c>
      <c r="D717" s="7" t="s">
        <v>474</v>
      </c>
      <c r="E717" s="7" t="s">
        <v>475</v>
      </c>
      <c r="F717" s="7" t="s">
        <v>476</v>
      </c>
      <c r="G717" s="6"/>
    </row>
    <row r="718" spans="2:9" ht="33.75">
      <c r="B718" s="10"/>
      <c r="C718" s="7" t="s">
        <v>477</v>
      </c>
      <c r="D718" s="11" t="s">
        <v>314</v>
      </c>
      <c r="E718" s="3" t="s">
        <v>660</v>
      </c>
      <c r="F718" s="7" t="s">
        <v>633</v>
      </c>
      <c r="I718" s="3"/>
    </row>
    <row r="719" spans="2:9">
      <c r="B719" s="10"/>
      <c r="C719" s="7" t="s">
        <v>489</v>
      </c>
      <c r="D719" s="11"/>
      <c r="F719" s="7" t="s">
        <v>478</v>
      </c>
    </row>
    <row r="720" spans="2:9">
      <c r="B720" s="10"/>
      <c r="C720" s="7" t="s">
        <v>479</v>
      </c>
      <c r="D720" s="11"/>
      <c r="F720" s="7" t="s">
        <v>414</v>
      </c>
    </row>
    <row r="721" spans="2:9">
      <c r="B721" s="10"/>
      <c r="C721" s="7" t="s">
        <v>510</v>
      </c>
      <c r="D721" s="11"/>
    </row>
    <row r="722" spans="2:9">
      <c r="B722" s="10"/>
      <c r="C722" s="7" t="s">
        <v>165</v>
      </c>
      <c r="D722" s="7" t="s">
        <v>474</v>
      </c>
      <c r="E722" s="7" t="s">
        <v>475</v>
      </c>
      <c r="F722" s="7" t="s">
        <v>476</v>
      </c>
      <c r="G722" s="6"/>
    </row>
    <row r="723" spans="2:9" ht="33.75">
      <c r="B723" s="10"/>
      <c r="C723" s="7" t="s">
        <v>477</v>
      </c>
      <c r="D723" s="11" t="s">
        <v>315</v>
      </c>
      <c r="E723" s="3" t="s">
        <v>445</v>
      </c>
      <c r="F723" s="7" t="s">
        <v>640</v>
      </c>
      <c r="I723" s="3"/>
    </row>
    <row r="724" spans="2:9">
      <c r="B724" s="10"/>
      <c r="C724" s="7" t="s">
        <v>486</v>
      </c>
      <c r="D724" s="11"/>
      <c r="F724" s="7" t="s">
        <v>478</v>
      </c>
    </row>
    <row r="725" spans="2:9">
      <c r="B725" s="10"/>
      <c r="C725" s="7" t="s">
        <v>479</v>
      </c>
      <c r="D725" s="11"/>
      <c r="F725" s="7" t="s">
        <v>414</v>
      </c>
    </row>
    <row r="726" spans="2:9">
      <c r="B726" s="10"/>
      <c r="C726" s="7" t="s">
        <v>480</v>
      </c>
      <c r="D726" s="11"/>
    </row>
    <row r="727" spans="2:9">
      <c r="B727" s="10"/>
      <c r="C727" s="7" t="s">
        <v>166</v>
      </c>
      <c r="D727" s="7" t="s">
        <v>474</v>
      </c>
      <c r="E727" s="7" t="s">
        <v>475</v>
      </c>
      <c r="F727" s="7" t="s">
        <v>476</v>
      </c>
      <c r="G727" s="6"/>
    </row>
    <row r="728" spans="2:9" ht="78.75">
      <c r="B728" s="10"/>
      <c r="C728" s="7" t="s">
        <v>477</v>
      </c>
      <c r="D728" s="11" t="s">
        <v>316</v>
      </c>
      <c r="E728" s="3" t="s">
        <v>661</v>
      </c>
      <c r="F728" s="7" t="s">
        <v>633</v>
      </c>
      <c r="I728" s="3"/>
    </row>
    <row r="729" spans="2:9">
      <c r="B729" s="10"/>
      <c r="C729" s="7" t="s">
        <v>484</v>
      </c>
      <c r="D729" s="11"/>
      <c r="F729" s="7" t="s">
        <v>478</v>
      </c>
    </row>
    <row r="730" spans="2:9">
      <c r="B730" s="10"/>
      <c r="C730" s="7" t="s">
        <v>479</v>
      </c>
      <c r="D730" s="11"/>
      <c r="F730" s="7" t="s">
        <v>414</v>
      </c>
    </row>
    <row r="731" spans="2:9">
      <c r="B731" s="10"/>
      <c r="C731" s="7" t="s">
        <v>530</v>
      </c>
      <c r="D731" s="11"/>
    </row>
    <row r="732" spans="2:9">
      <c r="B732" s="10"/>
      <c r="C732" s="7" t="s">
        <v>167</v>
      </c>
      <c r="D732" s="7" t="s">
        <v>474</v>
      </c>
      <c r="E732" s="7" t="s">
        <v>475</v>
      </c>
      <c r="F732" s="7" t="s">
        <v>476</v>
      </c>
      <c r="G732" s="6"/>
    </row>
    <row r="733" spans="2:9" ht="56.25">
      <c r="B733" s="10"/>
      <c r="C733" s="7" t="s">
        <v>477</v>
      </c>
      <c r="D733" s="11" t="s">
        <v>317</v>
      </c>
      <c r="E733" s="3" t="s">
        <v>662</v>
      </c>
      <c r="F733" s="7" t="s">
        <v>646</v>
      </c>
      <c r="I733" s="3"/>
    </row>
    <row r="734" spans="2:9">
      <c r="B734" s="10"/>
      <c r="C734" s="7" t="s">
        <v>482</v>
      </c>
      <c r="D734" s="11"/>
      <c r="F734" s="7" t="s">
        <v>478</v>
      </c>
    </row>
    <row r="735" spans="2:9">
      <c r="B735" s="10"/>
      <c r="C735" s="7" t="s">
        <v>479</v>
      </c>
      <c r="D735" s="11"/>
      <c r="F735" s="7" t="s">
        <v>414</v>
      </c>
    </row>
    <row r="736" spans="2:9">
      <c r="B736" s="10"/>
      <c r="C736" s="7" t="s">
        <v>500</v>
      </c>
      <c r="D736" s="11"/>
    </row>
    <row r="737" spans="2:9">
      <c r="B737" s="10"/>
      <c r="C737" s="7" t="s">
        <v>252</v>
      </c>
      <c r="D737" s="7" t="s">
        <v>474</v>
      </c>
      <c r="E737" s="7" t="s">
        <v>475</v>
      </c>
      <c r="F737" s="7" t="s">
        <v>476</v>
      </c>
      <c r="G737" s="6"/>
    </row>
    <row r="738" spans="2:9" ht="33.75">
      <c r="B738" s="10"/>
      <c r="C738" s="7" t="s">
        <v>477</v>
      </c>
      <c r="D738" s="11" t="s">
        <v>481</v>
      </c>
      <c r="E738" s="3" t="s">
        <v>663</v>
      </c>
      <c r="F738" s="7" t="s">
        <v>635</v>
      </c>
      <c r="I738" s="3"/>
    </row>
    <row r="739" spans="2:9">
      <c r="B739" s="10"/>
      <c r="C739" s="7" t="s">
        <v>481</v>
      </c>
      <c r="D739" s="11"/>
      <c r="F739" s="7" t="s">
        <v>478</v>
      </c>
    </row>
    <row r="740" spans="2:9">
      <c r="B740" s="10"/>
      <c r="C740" s="7" t="s">
        <v>479</v>
      </c>
      <c r="D740" s="11"/>
      <c r="F740" s="7" t="s">
        <v>414</v>
      </c>
    </row>
    <row r="741" spans="2:9">
      <c r="B741" s="10"/>
      <c r="C741" s="7" t="s">
        <v>501</v>
      </c>
      <c r="D741" s="11"/>
    </row>
    <row r="742" spans="2:9">
      <c r="B742" s="10"/>
      <c r="C742" s="7" t="s">
        <v>168</v>
      </c>
      <c r="D742" s="7" t="s">
        <v>474</v>
      </c>
      <c r="E742" s="7" t="s">
        <v>475</v>
      </c>
      <c r="F742" s="7" t="s">
        <v>476</v>
      </c>
      <c r="G742" s="6"/>
    </row>
    <row r="743" spans="2:9" ht="45">
      <c r="B743" s="10"/>
      <c r="C743" s="7" t="s">
        <v>477</v>
      </c>
      <c r="D743" s="11" t="s">
        <v>318</v>
      </c>
      <c r="E743" s="3" t="s">
        <v>664</v>
      </c>
      <c r="F743" s="7" t="s">
        <v>633</v>
      </c>
      <c r="I743" s="3"/>
    </row>
    <row r="744" spans="2:9">
      <c r="B744" s="10"/>
      <c r="C744" s="7" t="s">
        <v>484</v>
      </c>
      <c r="D744" s="11"/>
      <c r="F744" s="7" t="s">
        <v>478</v>
      </c>
    </row>
    <row r="745" spans="2:9">
      <c r="B745" s="10"/>
      <c r="C745" s="7" t="s">
        <v>479</v>
      </c>
      <c r="D745" s="11"/>
      <c r="F745" s="7" t="s">
        <v>414</v>
      </c>
    </row>
    <row r="746" spans="2:9">
      <c r="B746" s="10"/>
      <c r="C746" s="7" t="s">
        <v>503</v>
      </c>
      <c r="D746" s="11"/>
    </row>
    <row r="747" spans="2:9">
      <c r="B747" s="10"/>
      <c r="C747" s="7" t="s">
        <v>169</v>
      </c>
      <c r="D747" s="7" t="s">
        <v>474</v>
      </c>
      <c r="E747" s="7" t="s">
        <v>475</v>
      </c>
      <c r="F747" s="7" t="s">
        <v>476</v>
      </c>
      <c r="G747" s="6"/>
    </row>
    <row r="748" spans="2:9">
      <c r="B748" s="10"/>
      <c r="C748" s="7" t="s">
        <v>477</v>
      </c>
      <c r="D748" s="11" t="s">
        <v>319</v>
      </c>
      <c r="E748" s="7" t="s">
        <v>447</v>
      </c>
      <c r="F748" s="7" t="s">
        <v>665</v>
      </c>
      <c r="I748" s="3"/>
    </row>
    <row r="749" spans="2:9">
      <c r="B749" s="10"/>
      <c r="C749" s="7" t="s">
        <v>482</v>
      </c>
      <c r="D749" s="11"/>
      <c r="F749" s="7" t="s">
        <v>478</v>
      </c>
    </row>
    <row r="750" spans="2:9">
      <c r="B750" s="10"/>
      <c r="C750" s="7" t="s">
        <v>479</v>
      </c>
      <c r="D750" s="11"/>
      <c r="F750" s="7" t="s">
        <v>414</v>
      </c>
    </row>
    <row r="751" spans="2:9">
      <c r="B751" s="10"/>
      <c r="C751" s="7" t="s">
        <v>500</v>
      </c>
      <c r="D751" s="11"/>
    </row>
    <row r="752" spans="2:9">
      <c r="B752" s="10"/>
      <c r="C752" s="7" t="s">
        <v>170</v>
      </c>
      <c r="D752" s="7" t="s">
        <v>474</v>
      </c>
      <c r="E752" s="7" t="s">
        <v>475</v>
      </c>
      <c r="F752" s="7" t="s">
        <v>476</v>
      </c>
      <c r="G752" s="6"/>
    </row>
    <row r="753" spans="2:9">
      <c r="B753" s="10"/>
      <c r="C753" s="7" t="s">
        <v>477</v>
      </c>
      <c r="D753" s="11" t="s">
        <v>320</v>
      </c>
      <c r="E753" s="7" t="s">
        <v>448</v>
      </c>
      <c r="F753" s="7" t="s">
        <v>666</v>
      </c>
    </row>
    <row r="754" spans="2:9">
      <c r="B754" s="10"/>
      <c r="C754" s="7" t="s">
        <v>482</v>
      </c>
      <c r="D754" s="11"/>
      <c r="F754" s="7" t="s">
        <v>478</v>
      </c>
    </row>
    <row r="755" spans="2:9">
      <c r="B755" s="10"/>
      <c r="C755" s="7" t="s">
        <v>479</v>
      </c>
      <c r="D755" s="11"/>
      <c r="F755" s="7" t="s">
        <v>414</v>
      </c>
    </row>
    <row r="756" spans="2:9">
      <c r="B756" s="10"/>
      <c r="C756" s="7" t="s">
        <v>480</v>
      </c>
      <c r="D756" s="11"/>
    </row>
    <row r="757" spans="2:9">
      <c r="B757" s="10"/>
      <c r="C757" s="7" t="s">
        <v>171</v>
      </c>
      <c r="D757" s="7" t="s">
        <v>474</v>
      </c>
      <c r="E757" s="7" t="s">
        <v>475</v>
      </c>
      <c r="F757" s="7" t="s">
        <v>476</v>
      </c>
      <c r="G757" s="6"/>
    </row>
    <row r="758" spans="2:9">
      <c r="B758" s="10"/>
      <c r="C758" s="7" t="s">
        <v>477</v>
      </c>
      <c r="D758" s="11" t="s">
        <v>321</v>
      </c>
      <c r="E758" s="7" t="s">
        <v>449</v>
      </c>
      <c r="F758" s="7" t="s">
        <v>666</v>
      </c>
    </row>
    <row r="759" spans="2:9">
      <c r="B759" s="10"/>
      <c r="C759" s="7" t="s">
        <v>487</v>
      </c>
      <c r="D759" s="11"/>
      <c r="F759" s="7" t="s">
        <v>478</v>
      </c>
    </row>
    <row r="760" spans="2:9">
      <c r="B760" s="10"/>
      <c r="C760" s="7" t="s">
        <v>479</v>
      </c>
      <c r="D760" s="11"/>
      <c r="F760" s="7" t="s">
        <v>414</v>
      </c>
    </row>
    <row r="761" spans="2:9">
      <c r="B761" s="10"/>
      <c r="C761" s="7" t="s">
        <v>516</v>
      </c>
      <c r="D761" s="11"/>
    </row>
    <row r="762" spans="2:9">
      <c r="B762" s="10"/>
      <c r="C762" s="7" t="s">
        <v>172</v>
      </c>
      <c r="D762" s="7" t="s">
        <v>474</v>
      </c>
      <c r="E762" s="7" t="s">
        <v>475</v>
      </c>
      <c r="F762" s="7" t="s">
        <v>476</v>
      </c>
      <c r="G762" s="6"/>
    </row>
    <row r="763" spans="2:9" ht="78.75">
      <c r="B763" s="10"/>
      <c r="C763" s="7" t="s">
        <v>477</v>
      </c>
      <c r="D763" s="11" t="s">
        <v>322</v>
      </c>
      <c r="E763" s="3" t="s">
        <v>668</v>
      </c>
      <c r="F763" s="7" t="s">
        <v>667</v>
      </c>
      <c r="I763" s="3"/>
    </row>
    <row r="764" spans="2:9">
      <c r="B764" s="10"/>
      <c r="C764" s="7" t="s">
        <v>489</v>
      </c>
      <c r="D764" s="11"/>
      <c r="F764" s="7" t="s">
        <v>478</v>
      </c>
    </row>
    <row r="765" spans="2:9">
      <c r="B765" s="10"/>
      <c r="C765" s="7" t="s">
        <v>479</v>
      </c>
      <c r="D765" s="11"/>
      <c r="F765" s="7" t="s">
        <v>446</v>
      </c>
    </row>
    <row r="766" spans="2:9">
      <c r="B766" s="10"/>
      <c r="C766" s="7" t="s">
        <v>512</v>
      </c>
      <c r="D766" s="11"/>
    </row>
    <row r="767" spans="2:9">
      <c r="B767" s="10"/>
      <c r="C767" s="7" t="s">
        <v>173</v>
      </c>
      <c r="D767" s="7" t="s">
        <v>474</v>
      </c>
      <c r="E767" s="7" t="s">
        <v>475</v>
      </c>
      <c r="F767" s="7" t="s">
        <v>476</v>
      </c>
      <c r="G767" s="6"/>
    </row>
    <row r="768" spans="2:9">
      <c r="B768" s="10"/>
      <c r="C768" s="7" t="s">
        <v>477</v>
      </c>
      <c r="D768" s="11" t="s">
        <v>323</v>
      </c>
      <c r="E768" s="7" t="s">
        <v>450</v>
      </c>
      <c r="F768" s="7" t="s">
        <v>667</v>
      </c>
      <c r="I768" s="3"/>
    </row>
    <row r="769" spans="2:9">
      <c r="B769" s="10"/>
      <c r="C769" s="7" t="s">
        <v>480</v>
      </c>
      <c r="D769" s="11"/>
      <c r="F769" s="7" t="s">
        <v>478</v>
      </c>
    </row>
    <row r="770" spans="2:9">
      <c r="B770" s="10"/>
      <c r="C770" s="7" t="s">
        <v>479</v>
      </c>
      <c r="D770" s="11"/>
      <c r="F770" s="7" t="s">
        <v>446</v>
      </c>
    </row>
    <row r="771" spans="2:9">
      <c r="B771" s="10"/>
      <c r="C771" s="7" t="s">
        <v>512</v>
      </c>
      <c r="D771" s="11"/>
    </row>
    <row r="772" spans="2:9">
      <c r="B772" s="10"/>
      <c r="C772" s="7" t="s">
        <v>175</v>
      </c>
      <c r="D772" s="7" t="s">
        <v>474</v>
      </c>
      <c r="E772" s="7" t="s">
        <v>475</v>
      </c>
      <c r="F772" s="7" t="s">
        <v>476</v>
      </c>
      <c r="G772" s="6"/>
    </row>
    <row r="773" spans="2:9" ht="78.75">
      <c r="B773" s="10"/>
      <c r="C773" s="7" t="s">
        <v>477</v>
      </c>
      <c r="D773" s="11" t="s">
        <v>325</v>
      </c>
      <c r="E773" s="3" t="s">
        <v>670</v>
      </c>
      <c r="F773" s="7" t="s">
        <v>669</v>
      </c>
      <c r="I773" s="3"/>
    </row>
    <row r="774" spans="2:9">
      <c r="B774" s="10"/>
      <c r="C774" s="7" t="s">
        <v>176</v>
      </c>
      <c r="D774" s="11"/>
      <c r="F774" s="7" t="s">
        <v>478</v>
      </c>
    </row>
    <row r="775" spans="2:9">
      <c r="B775" s="10"/>
      <c r="C775" s="7" t="s">
        <v>479</v>
      </c>
      <c r="D775" s="11"/>
      <c r="F775" s="7" t="s">
        <v>414</v>
      </c>
    </row>
    <row r="776" spans="2:9">
      <c r="B776" s="10"/>
      <c r="C776" s="7" t="s">
        <v>535</v>
      </c>
      <c r="D776" s="11"/>
    </row>
    <row r="777" spans="2:9">
      <c r="B777" s="10"/>
      <c r="C777" s="7" t="s">
        <v>232</v>
      </c>
      <c r="D777" s="7" t="s">
        <v>474</v>
      </c>
      <c r="E777" s="7" t="s">
        <v>475</v>
      </c>
      <c r="F777" s="7" t="s">
        <v>476</v>
      </c>
      <c r="G777" s="6"/>
    </row>
    <row r="778" spans="2:9" ht="45">
      <c r="B778" s="10"/>
      <c r="C778" s="7" t="s">
        <v>477</v>
      </c>
      <c r="D778" s="11" t="s">
        <v>481</v>
      </c>
      <c r="E778" s="3" t="s">
        <v>451</v>
      </c>
      <c r="F778" s="7" t="s">
        <v>666</v>
      </c>
      <c r="I778" s="3"/>
    </row>
    <row r="779" spans="2:9">
      <c r="B779" s="10"/>
      <c r="C779" s="7" t="s">
        <v>481</v>
      </c>
      <c r="D779" s="11"/>
      <c r="F779" s="7" t="s">
        <v>478</v>
      </c>
    </row>
    <row r="780" spans="2:9">
      <c r="B780" s="10"/>
      <c r="C780" s="7" t="s">
        <v>479</v>
      </c>
      <c r="D780" s="11"/>
      <c r="F780" s="7" t="s">
        <v>414</v>
      </c>
    </row>
    <row r="781" spans="2:9">
      <c r="B781" s="10"/>
      <c r="C781" s="7" t="s">
        <v>536</v>
      </c>
      <c r="D781" s="11"/>
    </row>
    <row r="782" spans="2:9">
      <c r="B782" s="10"/>
      <c r="C782" s="7" t="s">
        <v>261</v>
      </c>
      <c r="D782" s="7" t="s">
        <v>474</v>
      </c>
      <c r="E782" s="7" t="s">
        <v>475</v>
      </c>
      <c r="F782" s="7" t="s">
        <v>476</v>
      </c>
      <c r="G782" s="6"/>
    </row>
    <row r="783" spans="2:9">
      <c r="B783" s="10"/>
      <c r="C783" s="7" t="s">
        <v>477</v>
      </c>
      <c r="D783" s="11" t="s">
        <v>481</v>
      </c>
      <c r="E783" s="7" t="s">
        <v>452</v>
      </c>
      <c r="F783" s="7" t="s">
        <v>671</v>
      </c>
    </row>
    <row r="784" spans="2:9">
      <c r="B784" s="10"/>
      <c r="C784" s="7" t="s">
        <v>481</v>
      </c>
      <c r="D784" s="11"/>
      <c r="F784" s="7" t="s">
        <v>478</v>
      </c>
    </row>
    <row r="785" spans="2:9">
      <c r="B785" s="10"/>
      <c r="C785" s="7" t="s">
        <v>479</v>
      </c>
      <c r="D785" s="11"/>
      <c r="F785" s="7" t="s">
        <v>414</v>
      </c>
    </row>
    <row r="786" spans="2:9">
      <c r="B786" s="10"/>
      <c r="C786" s="7" t="s">
        <v>510</v>
      </c>
      <c r="D786" s="11"/>
    </row>
    <row r="787" spans="2:9">
      <c r="B787" s="10"/>
      <c r="C787" s="7" t="s">
        <v>177</v>
      </c>
      <c r="D787" s="7" t="s">
        <v>474</v>
      </c>
      <c r="E787" s="7" t="s">
        <v>475</v>
      </c>
      <c r="F787" s="7" t="s">
        <v>476</v>
      </c>
      <c r="G787" s="6"/>
    </row>
    <row r="788" spans="2:9" ht="90">
      <c r="B788" s="10"/>
      <c r="C788" s="7" t="s">
        <v>477</v>
      </c>
      <c r="D788" s="11" t="s">
        <v>326</v>
      </c>
      <c r="E788" s="3" t="s">
        <v>672</v>
      </c>
      <c r="F788" s="7" t="s">
        <v>666</v>
      </c>
      <c r="I788" s="3"/>
    </row>
    <row r="789" spans="2:9">
      <c r="B789" s="10"/>
      <c r="C789" s="7" t="s">
        <v>482</v>
      </c>
      <c r="D789" s="11"/>
      <c r="F789" s="7" t="s">
        <v>478</v>
      </c>
    </row>
    <row r="790" spans="2:9">
      <c r="B790" s="10"/>
      <c r="C790" s="7" t="s">
        <v>479</v>
      </c>
      <c r="D790" s="11"/>
      <c r="F790" s="7" t="s">
        <v>414</v>
      </c>
    </row>
    <row r="791" spans="2:9">
      <c r="B791" s="10"/>
      <c r="C791" s="7" t="s">
        <v>526</v>
      </c>
      <c r="D791" s="11"/>
    </row>
    <row r="792" spans="2:9">
      <c r="B792" s="10"/>
      <c r="C792" s="7" t="s">
        <v>178</v>
      </c>
      <c r="D792" s="7" t="s">
        <v>474</v>
      </c>
      <c r="E792" s="7" t="s">
        <v>475</v>
      </c>
      <c r="F792" s="7" t="s">
        <v>476</v>
      </c>
      <c r="G792" s="6"/>
    </row>
    <row r="793" spans="2:9" ht="45">
      <c r="B793" s="10"/>
      <c r="C793" s="7" t="s">
        <v>477</v>
      </c>
      <c r="D793" s="11" t="s">
        <v>327</v>
      </c>
      <c r="E793" s="3" t="s">
        <v>673</v>
      </c>
      <c r="F793" s="7" t="s">
        <v>667</v>
      </c>
      <c r="I793" s="3"/>
    </row>
    <row r="794" spans="2:9">
      <c r="B794" s="10"/>
      <c r="C794" s="7" t="s">
        <v>486</v>
      </c>
      <c r="D794" s="11"/>
      <c r="F794" s="7" t="s">
        <v>478</v>
      </c>
    </row>
    <row r="795" spans="2:9">
      <c r="B795" s="10"/>
      <c r="C795" s="7" t="s">
        <v>479</v>
      </c>
      <c r="D795" s="11"/>
      <c r="F795" s="7" t="s">
        <v>446</v>
      </c>
    </row>
    <row r="796" spans="2:9">
      <c r="B796" s="10"/>
      <c r="C796" s="7" t="s">
        <v>486</v>
      </c>
      <c r="D796" s="11"/>
    </row>
    <row r="797" spans="2:9">
      <c r="B797" s="10"/>
      <c r="C797" s="7" t="s">
        <v>257</v>
      </c>
      <c r="D797" s="7" t="s">
        <v>474</v>
      </c>
      <c r="E797" s="7" t="s">
        <v>475</v>
      </c>
      <c r="F797" s="7" t="s">
        <v>476</v>
      </c>
      <c r="G797" s="6"/>
    </row>
    <row r="798" spans="2:9" ht="33.75">
      <c r="B798" s="10"/>
      <c r="C798" s="7" t="s">
        <v>477</v>
      </c>
      <c r="D798" s="11" t="s">
        <v>328</v>
      </c>
      <c r="E798" s="3" t="s">
        <v>454</v>
      </c>
      <c r="F798" s="7" t="s">
        <v>674</v>
      </c>
      <c r="I798" s="3"/>
    </row>
    <row r="799" spans="2:9">
      <c r="B799" s="10"/>
      <c r="C799" s="7" t="s">
        <v>486</v>
      </c>
      <c r="D799" s="11"/>
      <c r="F799" s="7" t="s">
        <v>478</v>
      </c>
    </row>
    <row r="800" spans="2:9">
      <c r="B800" s="10"/>
      <c r="C800" s="7" t="s">
        <v>479</v>
      </c>
      <c r="D800" s="11"/>
      <c r="F800" s="7" t="s">
        <v>414</v>
      </c>
    </row>
    <row r="801" spans="2:9">
      <c r="B801" s="10"/>
      <c r="C801" s="7" t="s">
        <v>480</v>
      </c>
      <c r="D801" s="11"/>
    </row>
    <row r="802" spans="2:9">
      <c r="B802" s="10"/>
      <c r="C802" s="7" t="s">
        <v>179</v>
      </c>
      <c r="D802" s="7" t="s">
        <v>474</v>
      </c>
      <c r="E802" s="7" t="s">
        <v>475</v>
      </c>
      <c r="F802" s="7" t="s">
        <v>476</v>
      </c>
      <c r="G802" s="6"/>
    </row>
    <row r="803" spans="2:9">
      <c r="B803" s="10"/>
      <c r="C803" s="7" t="s">
        <v>477</v>
      </c>
      <c r="D803" s="11" t="s">
        <v>329</v>
      </c>
      <c r="E803" s="7" t="s">
        <v>455</v>
      </c>
      <c r="F803" s="7" t="s">
        <v>674</v>
      </c>
    </row>
    <row r="804" spans="2:9">
      <c r="B804" s="10"/>
      <c r="C804" s="7" t="s">
        <v>484</v>
      </c>
      <c r="D804" s="11"/>
      <c r="F804" s="7" t="s">
        <v>478</v>
      </c>
    </row>
    <row r="805" spans="2:9">
      <c r="B805" s="10"/>
      <c r="C805" s="7" t="s">
        <v>479</v>
      </c>
      <c r="D805" s="11"/>
      <c r="F805" s="7" t="s">
        <v>414</v>
      </c>
    </row>
    <row r="806" spans="2:9">
      <c r="B806" s="10"/>
      <c r="C806" s="7" t="s">
        <v>507</v>
      </c>
      <c r="D806" s="11"/>
    </row>
    <row r="807" spans="2:9">
      <c r="B807" s="10"/>
      <c r="C807" s="7" t="s">
        <v>180</v>
      </c>
      <c r="D807" s="7" t="s">
        <v>474</v>
      </c>
      <c r="E807" s="7" t="s">
        <v>475</v>
      </c>
      <c r="F807" s="7" t="s">
        <v>476</v>
      </c>
      <c r="G807" s="6"/>
    </row>
    <row r="808" spans="2:9">
      <c r="B808" s="10"/>
      <c r="C808" s="7" t="s">
        <v>477</v>
      </c>
      <c r="D808" s="11" t="s">
        <v>330</v>
      </c>
      <c r="E808" s="3" t="s">
        <v>481</v>
      </c>
      <c r="F808" s="7" t="s">
        <v>481</v>
      </c>
      <c r="I808" s="3"/>
    </row>
    <row r="809" spans="2:9">
      <c r="B809" s="10"/>
      <c r="C809" s="7" t="s">
        <v>483</v>
      </c>
      <c r="D809" s="11"/>
      <c r="F809" s="7" t="s">
        <v>478</v>
      </c>
    </row>
    <row r="810" spans="2:9">
      <c r="B810" s="10"/>
      <c r="C810" s="7" t="s">
        <v>479</v>
      </c>
      <c r="D810" s="11"/>
      <c r="F810" s="7" t="s">
        <v>481</v>
      </c>
    </row>
    <row r="811" spans="2:9">
      <c r="B811" s="10"/>
      <c r="C811" s="7" t="s">
        <v>494</v>
      </c>
      <c r="D811" s="11"/>
    </row>
    <row r="812" spans="2:9">
      <c r="B812" s="10"/>
      <c r="C812" s="7" t="s">
        <v>238</v>
      </c>
      <c r="D812" s="7" t="s">
        <v>474</v>
      </c>
      <c r="E812" s="7" t="s">
        <v>475</v>
      </c>
      <c r="F812" s="7" t="s">
        <v>476</v>
      </c>
      <c r="G812" s="6"/>
    </row>
    <row r="813" spans="2:9">
      <c r="B813" s="10"/>
      <c r="C813" s="7" t="s">
        <v>477</v>
      </c>
      <c r="D813" s="11" t="s">
        <v>481</v>
      </c>
      <c r="E813" s="3" t="s">
        <v>456</v>
      </c>
      <c r="F813" s="7" t="s">
        <v>667</v>
      </c>
      <c r="I813" s="3"/>
    </row>
    <row r="814" spans="2:9">
      <c r="B814" s="10"/>
      <c r="C814" s="7" t="s">
        <v>481</v>
      </c>
      <c r="D814" s="11"/>
      <c r="F814" s="7" t="s">
        <v>478</v>
      </c>
    </row>
    <row r="815" spans="2:9">
      <c r="B815" s="10"/>
      <c r="C815" s="7" t="s">
        <v>479</v>
      </c>
      <c r="D815" s="11"/>
      <c r="F815" s="7" t="s">
        <v>446</v>
      </c>
    </row>
    <row r="816" spans="2:9">
      <c r="B816" s="10"/>
      <c r="C816" s="7" t="s">
        <v>486</v>
      </c>
      <c r="D816" s="11"/>
    </row>
    <row r="817" spans="2:9">
      <c r="B817" s="10"/>
      <c r="C817" s="7" t="s">
        <v>183</v>
      </c>
      <c r="D817" s="7" t="s">
        <v>474</v>
      </c>
      <c r="E817" s="7" t="s">
        <v>475</v>
      </c>
      <c r="F817" s="7" t="s">
        <v>476</v>
      </c>
      <c r="G817" s="6"/>
    </row>
    <row r="818" spans="2:9" ht="33.75">
      <c r="B818" s="10"/>
      <c r="C818" s="7" t="s">
        <v>477</v>
      </c>
      <c r="D818" s="11" t="s">
        <v>333</v>
      </c>
      <c r="E818" s="3" t="s">
        <v>676</v>
      </c>
      <c r="F818" s="7" t="s">
        <v>674</v>
      </c>
      <c r="I818" s="3"/>
    </row>
    <row r="819" spans="2:9">
      <c r="B819" s="10"/>
      <c r="C819" s="7" t="s">
        <v>484</v>
      </c>
      <c r="D819" s="11"/>
      <c r="F819" s="7" t="s">
        <v>478</v>
      </c>
    </row>
    <row r="820" spans="2:9">
      <c r="B820" s="10"/>
      <c r="C820" s="7" t="s">
        <v>479</v>
      </c>
      <c r="D820" s="11"/>
      <c r="F820" s="7" t="s">
        <v>414</v>
      </c>
    </row>
    <row r="821" spans="2:9">
      <c r="B821" s="10"/>
      <c r="C821" s="7" t="s">
        <v>505</v>
      </c>
      <c r="D821" s="11"/>
    </row>
    <row r="822" spans="2:9">
      <c r="B822" s="10"/>
      <c r="C822" s="7" t="s">
        <v>184</v>
      </c>
      <c r="D822" s="7" t="s">
        <v>474</v>
      </c>
      <c r="E822" s="7" t="s">
        <v>475</v>
      </c>
      <c r="F822" s="7" t="s">
        <v>476</v>
      </c>
      <c r="G822" s="6"/>
    </row>
    <row r="823" spans="2:9" ht="33.75">
      <c r="B823" s="10"/>
      <c r="C823" s="7" t="s">
        <v>477</v>
      </c>
      <c r="D823" s="11" t="s">
        <v>334</v>
      </c>
      <c r="E823" s="3" t="s">
        <v>457</v>
      </c>
      <c r="F823" s="7" t="s">
        <v>667</v>
      </c>
      <c r="I823" s="3"/>
    </row>
    <row r="824" spans="2:9">
      <c r="B824" s="10"/>
      <c r="C824" s="7" t="s">
        <v>486</v>
      </c>
      <c r="D824" s="11"/>
      <c r="F824" s="7" t="s">
        <v>478</v>
      </c>
    </row>
    <row r="825" spans="2:9">
      <c r="B825" s="10"/>
      <c r="C825" s="7" t="s">
        <v>479</v>
      </c>
      <c r="D825" s="11"/>
      <c r="F825" s="7" t="s">
        <v>446</v>
      </c>
    </row>
    <row r="826" spans="2:9">
      <c r="B826" s="10"/>
      <c r="C826" s="7" t="s">
        <v>508</v>
      </c>
      <c r="D826" s="11"/>
    </row>
    <row r="827" spans="2:9">
      <c r="B827" s="10"/>
      <c r="C827" s="7" t="s">
        <v>185</v>
      </c>
      <c r="D827" s="7" t="s">
        <v>474</v>
      </c>
      <c r="E827" s="7" t="s">
        <v>475</v>
      </c>
      <c r="F827" s="7" t="s">
        <v>476</v>
      </c>
      <c r="G827" s="6"/>
    </row>
    <row r="828" spans="2:9">
      <c r="B828" s="10"/>
      <c r="C828" s="7" t="s">
        <v>477</v>
      </c>
      <c r="D828" s="11" t="s">
        <v>335</v>
      </c>
      <c r="E828" s="7" t="s">
        <v>458</v>
      </c>
      <c r="F828" s="7" t="s">
        <v>667</v>
      </c>
    </row>
    <row r="829" spans="2:9">
      <c r="B829" s="10"/>
      <c r="C829" s="7" t="s">
        <v>484</v>
      </c>
      <c r="D829" s="11"/>
      <c r="F829" s="7" t="s">
        <v>478</v>
      </c>
    </row>
    <row r="830" spans="2:9">
      <c r="B830" s="10"/>
      <c r="C830" s="7" t="s">
        <v>479</v>
      </c>
      <c r="D830" s="11"/>
      <c r="F830" s="7" t="s">
        <v>446</v>
      </c>
    </row>
    <row r="831" spans="2:9">
      <c r="B831" s="10"/>
      <c r="C831" s="7" t="s">
        <v>523</v>
      </c>
      <c r="D831" s="11"/>
    </row>
    <row r="832" spans="2:9">
      <c r="B832" s="10"/>
      <c r="C832" s="7" t="s">
        <v>186</v>
      </c>
      <c r="D832" s="7" t="s">
        <v>474</v>
      </c>
      <c r="E832" s="7" t="s">
        <v>475</v>
      </c>
      <c r="F832" s="7" t="s">
        <v>476</v>
      </c>
      <c r="G832" s="6"/>
    </row>
    <row r="833" spans="2:9">
      <c r="B833" s="10"/>
      <c r="C833" s="7" t="s">
        <v>477</v>
      </c>
      <c r="D833" s="11" t="s">
        <v>336</v>
      </c>
      <c r="E833" s="7" t="s">
        <v>459</v>
      </c>
      <c r="F833" s="7" t="s">
        <v>674</v>
      </c>
    </row>
    <row r="834" spans="2:9">
      <c r="B834" s="10"/>
      <c r="C834" s="7" t="s">
        <v>489</v>
      </c>
      <c r="D834" s="11"/>
      <c r="F834" s="7" t="s">
        <v>478</v>
      </c>
    </row>
    <row r="835" spans="2:9">
      <c r="B835" s="10"/>
      <c r="C835" s="7" t="s">
        <v>479</v>
      </c>
      <c r="D835" s="11"/>
      <c r="F835" s="7" t="s">
        <v>414</v>
      </c>
    </row>
    <row r="836" spans="2:9">
      <c r="B836" s="10"/>
      <c r="C836" s="7" t="s">
        <v>480</v>
      </c>
      <c r="D836" s="11"/>
    </row>
    <row r="837" spans="2:9">
      <c r="B837" s="10"/>
      <c r="C837" s="7" t="s">
        <v>237</v>
      </c>
      <c r="D837" s="7" t="s">
        <v>474</v>
      </c>
      <c r="E837" s="7" t="s">
        <v>475</v>
      </c>
      <c r="F837" s="7" t="s">
        <v>476</v>
      </c>
      <c r="G837" s="6"/>
    </row>
    <row r="838" spans="2:9" ht="33.75">
      <c r="B838" s="10"/>
      <c r="C838" s="7" t="s">
        <v>477</v>
      </c>
      <c r="D838" s="11" t="s">
        <v>481</v>
      </c>
      <c r="E838" s="3" t="s">
        <v>677</v>
      </c>
      <c r="F838" s="7" t="s">
        <v>666</v>
      </c>
      <c r="I838" s="3"/>
    </row>
    <row r="839" spans="2:9">
      <c r="B839" s="10"/>
      <c r="C839" s="7" t="s">
        <v>481</v>
      </c>
      <c r="D839" s="11"/>
      <c r="F839" s="7" t="s">
        <v>478</v>
      </c>
    </row>
    <row r="840" spans="2:9">
      <c r="B840" s="10"/>
      <c r="C840" s="7" t="s">
        <v>479</v>
      </c>
      <c r="D840" s="11"/>
      <c r="F840" s="7" t="s">
        <v>414</v>
      </c>
    </row>
    <row r="841" spans="2:9">
      <c r="B841" s="10"/>
      <c r="C841" s="7" t="s">
        <v>505</v>
      </c>
      <c r="D841" s="11"/>
    </row>
    <row r="842" spans="2:9">
      <c r="B842" s="10"/>
      <c r="C842" s="7" t="s">
        <v>187</v>
      </c>
      <c r="D842" s="7" t="s">
        <v>474</v>
      </c>
      <c r="E842" s="7" t="s">
        <v>475</v>
      </c>
      <c r="F842" s="7" t="s">
        <v>476</v>
      </c>
      <c r="G842" s="6"/>
    </row>
    <row r="843" spans="2:9" ht="22.5">
      <c r="B843" s="10"/>
      <c r="C843" s="7" t="s">
        <v>477</v>
      </c>
      <c r="D843" s="11" t="s">
        <v>337</v>
      </c>
      <c r="E843" s="3" t="s">
        <v>460</v>
      </c>
      <c r="F843" s="7" t="s">
        <v>678</v>
      </c>
      <c r="I843" s="3"/>
    </row>
    <row r="844" spans="2:9">
      <c r="B844" s="10"/>
      <c r="C844" s="7" t="s">
        <v>487</v>
      </c>
      <c r="D844" s="11"/>
      <c r="F844" s="7" t="s">
        <v>478</v>
      </c>
    </row>
    <row r="845" spans="2:9">
      <c r="B845" s="10"/>
      <c r="C845" s="7" t="s">
        <v>479</v>
      </c>
      <c r="D845" s="11"/>
      <c r="F845" s="7" t="s">
        <v>414</v>
      </c>
    </row>
    <row r="846" spans="2:9">
      <c r="B846" s="10"/>
      <c r="C846" s="7" t="s">
        <v>537</v>
      </c>
      <c r="D846" s="11"/>
    </row>
    <row r="847" spans="2:9">
      <c r="B847" s="10"/>
      <c r="C847" s="7" t="s">
        <v>188</v>
      </c>
      <c r="D847" s="7" t="s">
        <v>474</v>
      </c>
      <c r="E847" s="7" t="s">
        <v>475</v>
      </c>
      <c r="F847" s="7" t="s">
        <v>476</v>
      </c>
      <c r="G847" s="6"/>
    </row>
    <row r="848" spans="2:9" ht="45">
      <c r="B848" s="10"/>
      <c r="C848" s="7" t="s">
        <v>477</v>
      </c>
      <c r="D848" s="11" t="s">
        <v>338</v>
      </c>
      <c r="E848" s="3" t="s">
        <v>679</v>
      </c>
      <c r="F848" s="7" t="s">
        <v>669</v>
      </c>
      <c r="I848" s="3"/>
    </row>
    <row r="849" spans="2:9">
      <c r="B849" s="10"/>
      <c r="C849" s="7" t="s">
        <v>487</v>
      </c>
      <c r="D849" s="11"/>
      <c r="F849" s="7" t="s">
        <v>478</v>
      </c>
    </row>
    <row r="850" spans="2:9">
      <c r="B850" s="10"/>
      <c r="C850" s="7" t="s">
        <v>479</v>
      </c>
      <c r="D850" s="11"/>
      <c r="F850" s="7" t="s">
        <v>414</v>
      </c>
    </row>
    <row r="851" spans="2:9">
      <c r="B851" s="10"/>
      <c r="C851" s="7" t="s">
        <v>538</v>
      </c>
      <c r="D851" s="11"/>
    </row>
    <row r="852" spans="2:9">
      <c r="B852" s="10"/>
      <c r="C852" s="7" t="s">
        <v>189</v>
      </c>
      <c r="D852" s="7" t="s">
        <v>474</v>
      </c>
      <c r="E852" s="7" t="s">
        <v>475</v>
      </c>
      <c r="F852" s="7" t="s">
        <v>476</v>
      </c>
      <c r="G852" s="6"/>
    </row>
    <row r="853" spans="2:9" ht="22.5">
      <c r="B853" s="10"/>
      <c r="C853" s="7" t="s">
        <v>477</v>
      </c>
      <c r="D853" s="11" t="s">
        <v>339</v>
      </c>
      <c r="E853" s="3" t="s">
        <v>461</v>
      </c>
      <c r="F853" s="7" t="s">
        <v>665</v>
      </c>
      <c r="I853" s="3"/>
    </row>
    <row r="854" spans="2:9">
      <c r="B854" s="10"/>
      <c r="C854" s="7" t="s">
        <v>488</v>
      </c>
      <c r="D854" s="11"/>
      <c r="F854" s="7" t="s">
        <v>478</v>
      </c>
    </row>
    <row r="855" spans="2:9">
      <c r="B855" s="10"/>
      <c r="C855" s="7" t="s">
        <v>479</v>
      </c>
      <c r="D855" s="11"/>
      <c r="F855" s="7" t="s">
        <v>414</v>
      </c>
    </row>
    <row r="856" spans="2:9">
      <c r="B856" s="10"/>
      <c r="C856" s="7" t="s">
        <v>511</v>
      </c>
      <c r="D856" s="11"/>
    </row>
    <row r="857" spans="2:9">
      <c r="B857" s="10"/>
      <c r="C857" s="7" t="s">
        <v>190</v>
      </c>
      <c r="D857" s="7" t="s">
        <v>474</v>
      </c>
      <c r="E857" s="7" t="s">
        <v>475</v>
      </c>
      <c r="F857" s="7" t="s">
        <v>476</v>
      </c>
      <c r="G857" s="6"/>
    </row>
    <row r="858" spans="2:9">
      <c r="B858" s="10"/>
      <c r="C858" s="7" t="s">
        <v>477</v>
      </c>
      <c r="D858" s="11" t="s">
        <v>340</v>
      </c>
      <c r="E858" s="7" t="s">
        <v>462</v>
      </c>
      <c r="F858" s="7" t="s">
        <v>665</v>
      </c>
    </row>
    <row r="859" spans="2:9">
      <c r="B859" s="10"/>
      <c r="C859" s="7" t="s">
        <v>480</v>
      </c>
      <c r="D859" s="11"/>
      <c r="F859" s="7" t="s">
        <v>478</v>
      </c>
    </row>
    <row r="860" spans="2:9">
      <c r="B860" s="10"/>
      <c r="C860" s="7" t="s">
        <v>479</v>
      </c>
      <c r="D860" s="11"/>
      <c r="F860" s="7" t="s">
        <v>414</v>
      </c>
    </row>
    <row r="861" spans="2:9">
      <c r="B861" s="10"/>
      <c r="C861" s="7" t="s">
        <v>511</v>
      </c>
      <c r="D861" s="11"/>
    </row>
    <row r="862" spans="2:9">
      <c r="B862" s="10"/>
      <c r="C862" s="7" t="s">
        <v>191</v>
      </c>
      <c r="D862" s="7" t="s">
        <v>474</v>
      </c>
      <c r="E862" s="7" t="s">
        <v>475</v>
      </c>
      <c r="F862" s="7" t="s">
        <v>476</v>
      </c>
      <c r="G862" s="6"/>
    </row>
    <row r="863" spans="2:9" ht="33.75">
      <c r="B863" s="10"/>
      <c r="C863" s="7" t="s">
        <v>477</v>
      </c>
      <c r="D863" s="11" t="s">
        <v>341</v>
      </c>
      <c r="E863" s="3" t="s">
        <v>680</v>
      </c>
      <c r="F863" s="7" t="s">
        <v>665</v>
      </c>
      <c r="I863" s="3"/>
    </row>
    <row r="864" spans="2:9">
      <c r="B864" s="10"/>
      <c r="C864" s="7" t="s">
        <v>489</v>
      </c>
      <c r="D864" s="11"/>
      <c r="F864" s="7" t="s">
        <v>478</v>
      </c>
    </row>
    <row r="865" spans="2:9">
      <c r="B865" s="10"/>
      <c r="C865" s="7" t="s">
        <v>479</v>
      </c>
      <c r="D865" s="11"/>
      <c r="F865" s="7" t="s">
        <v>414</v>
      </c>
    </row>
    <row r="866" spans="2:9">
      <c r="B866" s="10"/>
      <c r="C866" s="7" t="s">
        <v>480</v>
      </c>
      <c r="D866" s="11"/>
    </row>
    <row r="867" spans="2:9">
      <c r="B867" s="10"/>
      <c r="C867" s="7" t="s">
        <v>242</v>
      </c>
      <c r="D867" s="7" t="s">
        <v>474</v>
      </c>
      <c r="E867" s="7" t="s">
        <v>475</v>
      </c>
      <c r="F867" s="7" t="s">
        <v>476</v>
      </c>
      <c r="G867" s="6"/>
    </row>
    <row r="868" spans="2:9" ht="33.75">
      <c r="B868" s="10"/>
      <c r="C868" s="7" t="s">
        <v>477</v>
      </c>
      <c r="D868" s="11" t="s">
        <v>481</v>
      </c>
      <c r="E868" s="3" t="s">
        <v>681</v>
      </c>
      <c r="F868" s="7" t="s">
        <v>671</v>
      </c>
      <c r="I868" s="3"/>
    </row>
    <row r="869" spans="2:9">
      <c r="B869" s="10"/>
      <c r="C869" s="7" t="s">
        <v>481</v>
      </c>
      <c r="D869" s="11"/>
      <c r="F869" s="7" t="s">
        <v>478</v>
      </c>
    </row>
    <row r="870" spans="2:9">
      <c r="B870" s="10"/>
      <c r="C870" s="7" t="s">
        <v>479</v>
      </c>
      <c r="D870" s="11"/>
      <c r="F870" s="7" t="s">
        <v>414</v>
      </c>
    </row>
    <row r="871" spans="2:9">
      <c r="B871" s="10"/>
      <c r="C871" s="7" t="s">
        <v>539</v>
      </c>
      <c r="D871" s="11"/>
    </row>
    <row r="872" spans="2:9">
      <c r="B872" s="10"/>
      <c r="C872" s="7" t="s">
        <v>243</v>
      </c>
      <c r="D872" s="7" t="s">
        <v>474</v>
      </c>
      <c r="E872" s="7" t="s">
        <v>475</v>
      </c>
      <c r="F872" s="7" t="s">
        <v>476</v>
      </c>
      <c r="G872" s="6"/>
    </row>
    <row r="873" spans="2:9" ht="33.75">
      <c r="B873" s="10"/>
      <c r="C873" s="7" t="s">
        <v>477</v>
      </c>
      <c r="D873" s="11" t="s">
        <v>481</v>
      </c>
      <c r="E873" s="3" t="s">
        <v>682</v>
      </c>
      <c r="F873" s="7" t="s">
        <v>674</v>
      </c>
      <c r="I873" s="3"/>
    </row>
    <row r="874" spans="2:9">
      <c r="B874" s="10"/>
      <c r="C874" s="7" t="s">
        <v>481</v>
      </c>
      <c r="D874" s="11"/>
      <c r="F874" s="7" t="s">
        <v>478</v>
      </c>
    </row>
    <row r="875" spans="2:9">
      <c r="B875" s="10"/>
      <c r="C875" s="7" t="s">
        <v>479</v>
      </c>
      <c r="D875" s="11"/>
      <c r="F875" s="7" t="s">
        <v>414</v>
      </c>
    </row>
    <row r="876" spans="2:9">
      <c r="B876" s="10"/>
      <c r="C876" s="7" t="s">
        <v>539</v>
      </c>
      <c r="D876" s="11"/>
    </row>
    <row r="877" spans="2:9">
      <c r="B877" s="10"/>
      <c r="C877" s="7" t="s">
        <v>192</v>
      </c>
      <c r="D877" s="7" t="s">
        <v>474</v>
      </c>
      <c r="E877" s="7" t="s">
        <v>475</v>
      </c>
      <c r="F877" s="7" t="s">
        <v>476</v>
      </c>
      <c r="G877" s="6"/>
    </row>
    <row r="878" spans="2:9" ht="22.5">
      <c r="B878" s="10"/>
      <c r="C878" s="7" t="s">
        <v>477</v>
      </c>
      <c r="D878" s="11" t="s">
        <v>342</v>
      </c>
      <c r="E878" s="3" t="s">
        <v>463</v>
      </c>
      <c r="F878" s="7" t="s">
        <v>683</v>
      </c>
      <c r="I878" s="3"/>
    </row>
    <row r="879" spans="2:9">
      <c r="B879" s="10"/>
      <c r="C879" s="7" t="s">
        <v>484</v>
      </c>
      <c r="D879" s="11"/>
      <c r="F879" s="7" t="s">
        <v>478</v>
      </c>
    </row>
    <row r="880" spans="2:9">
      <c r="B880" s="10"/>
      <c r="C880" s="7" t="s">
        <v>479</v>
      </c>
      <c r="D880" s="11"/>
      <c r="F880" s="7" t="s">
        <v>414</v>
      </c>
    </row>
    <row r="881" spans="2:9">
      <c r="B881" s="10"/>
      <c r="C881" s="7" t="s">
        <v>517</v>
      </c>
      <c r="D881" s="11"/>
    </row>
    <row r="882" spans="2:9">
      <c r="B882" s="10"/>
      <c r="C882" s="7" t="s">
        <v>193</v>
      </c>
      <c r="D882" s="7" t="s">
        <v>474</v>
      </c>
      <c r="E882" s="7" t="s">
        <v>475</v>
      </c>
      <c r="F882" s="7" t="s">
        <v>476</v>
      </c>
      <c r="G882" s="6"/>
    </row>
    <row r="883" spans="2:9" ht="22.5">
      <c r="B883" s="10"/>
      <c r="C883" s="7" t="s">
        <v>477</v>
      </c>
      <c r="D883" s="11" t="s">
        <v>343</v>
      </c>
      <c r="E883" s="3" t="s">
        <v>464</v>
      </c>
      <c r="F883" s="7" t="s">
        <v>453</v>
      </c>
    </row>
    <row r="884" spans="2:9">
      <c r="B884" s="10"/>
      <c r="C884" s="7" t="s">
        <v>489</v>
      </c>
      <c r="D884" s="11"/>
      <c r="F884" s="7" t="s">
        <v>478</v>
      </c>
    </row>
    <row r="885" spans="2:9">
      <c r="B885" s="10"/>
      <c r="C885" s="7" t="s">
        <v>479</v>
      </c>
      <c r="D885" s="11"/>
      <c r="F885" s="7" t="s">
        <v>446</v>
      </c>
    </row>
    <row r="886" spans="2:9">
      <c r="B886" s="10"/>
      <c r="C886" s="7" t="s">
        <v>511</v>
      </c>
      <c r="D886" s="11"/>
    </row>
    <row r="887" spans="2:9">
      <c r="B887" s="10"/>
      <c r="C887" s="7" t="s">
        <v>194</v>
      </c>
      <c r="D887" s="7" t="s">
        <v>474</v>
      </c>
      <c r="E887" s="7" t="s">
        <v>475</v>
      </c>
      <c r="F887" s="7" t="s">
        <v>476</v>
      </c>
      <c r="G887" s="6"/>
    </row>
    <row r="888" spans="2:9" ht="45">
      <c r="B888" s="10"/>
      <c r="C888" s="7" t="s">
        <v>477</v>
      </c>
      <c r="D888" s="11" t="s">
        <v>344</v>
      </c>
      <c r="E888" s="3" t="s">
        <v>684</v>
      </c>
      <c r="F888" s="7" t="s">
        <v>675</v>
      </c>
      <c r="I888" s="3"/>
    </row>
    <row r="889" spans="2:9">
      <c r="B889" s="10"/>
      <c r="C889" s="7" t="s">
        <v>480</v>
      </c>
      <c r="D889" s="11"/>
      <c r="F889" s="7" t="s">
        <v>478</v>
      </c>
    </row>
    <row r="890" spans="2:9">
      <c r="B890" s="10"/>
      <c r="C890" s="7" t="s">
        <v>479</v>
      </c>
      <c r="D890" s="11"/>
      <c r="F890" s="7" t="s">
        <v>414</v>
      </c>
    </row>
    <row r="891" spans="2:9">
      <c r="B891" s="10"/>
      <c r="C891" s="7" t="s">
        <v>512</v>
      </c>
      <c r="D891" s="11"/>
    </row>
    <row r="892" spans="2:9">
      <c r="B892" s="10"/>
      <c r="C892" s="7" t="s">
        <v>259</v>
      </c>
      <c r="D892" s="7" t="s">
        <v>474</v>
      </c>
      <c r="E892" s="7" t="s">
        <v>475</v>
      </c>
      <c r="F892" s="7" t="s">
        <v>476</v>
      </c>
      <c r="G892" s="6"/>
    </row>
    <row r="893" spans="2:9">
      <c r="B893" s="10"/>
      <c r="C893" s="7" t="s">
        <v>477</v>
      </c>
      <c r="D893" s="11" t="s">
        <v>481</v>
      </c>
      <c r="E893" s="7" t="s">
        <v>465</v>
      </c>
      <c r="F893" s="7" t="s">
        <v>666</v>
      </c>
      <c r="I893" s="3"/>
    </row>
    <row r="894" spans="2:9">
      <c r="B894" s="10"/>
      <c r="C894" s="7" t="s">
        <v>481</v>
      </c>
      <c r="D894" s="11"/>
      <c r="F894" s="7" t="s">
        <v>478</v>
      </c>
    </row>
    <row r="895" spans="2:9">
      <c r="B895" s="10"/>
      <c r="C895" s="7" t="s">
        <v>479</v>
      </c>
      <c r="D895" s="11"/>
      <c r="F895" s="7" t="s">
        <v>414</v>
      </c>
    </row>
    <row r="896" spans="2:9">
      <c r="B896" s="10"/>
      <c r="C896" s="7" t="s">
        <v>512</v>
      </c>
      <c r="D896" s="11"/>
    </row>
    <row r="897" spans="2:9">
      <c r="B897" s="10"/>
      <c r="C897" s="7" t="s">
        <v>195</v>
      </c>
      <c r="D897" s="7" t="s">
        <v>474</v>
      </c>
      <c r="E897" s="7" t="s">
        <v>475</v>
      </c>
      <c r="F897" s="7" t="s">
        <v>476</v>
      </c>
      <c r="G897" s="6"/>
    </row>
    <row r="898" spans="2:9">
      <c r="B898" s="10"/>
      <c r="C898" s="7" t="s">
        <v>477</v>
      </c>
      <c r="D898" s="11" t="s">
        <v>345</v>
      </c>
      <c r="E898" s="3" t="s">
        <v>466</v>
      </c>
      <c r="F898" s="7" t="s">
        <v>666</v>
      </c>
    </row>
    <row r="899" spans="2:9">
      <c r="B899" s="10"/>
      <c r="C899" s="7" t="s">
        <v>489</v>
      </c>
      <c r="D899" s="11"/>
      <c r="F899" s="7" t="s">
        <v>478</v>
      </c>
    </row>
    <row r="900" spans="2:9">
      <c r="B900" s="10"/>
      <c r="C900" s="7" t="s">
        <v>479</v>
      </c>
      <c r="D900" s="11"/>
      <c r="F900" s="7" t="s">
        <v>414</v>
      </c>
    </row>
    <row r="901" spans="2:9">
      <c r="B901" s="10"/>
      <c r="C901" s="7" t="s">
        <v>500</v>
      </c>
      <c r="D901" s="11"/>
    </row>
    <row r="902" spans="2:9">
      <c r="B902" s="10"/>
      <c r="C902" s="7" t="s">
        <v>211</v>
      </c>
      <c r="D902" s="7" t="s">
        <v>474</v>
      </c>
      <c r="E902" s="7" t="s">
        <v>475</v>
      </c>
      <c r="F902" s="7" t="s">
        <v>476</v>
      </c>
      <c r="G902" s="6"/>
    </row>
    <row r="903" spans="2:9" ht="67.5">
      <c r="B903" s="10"/>
      <c r="C903" s="7" t="s">
        <v>477</v>
      </c>
      <c r="D903" s="11" t="s">
        <v>361</v>
      </c>
      <c r="E903" s="3" t="s">
        <v>686</v>
      </c>
      <c r="F903" s="7" t="s">
        <v>685</v>
      </c>
      <c r="I903" s="3"/>
    </row>
    <row r="904" spans="2:9">
      <c r="B904" s="10"/>
      <c r="C904" s="7" t="s">
        <v>487</v>
      </c>
      <c r="D904" s="11"/>
      <c r="F904" s="7" t="s">
        <v>478</v>
      </c>
    </row>
    <row r="905" spans="2:9">
      <c r="B905" s="10"/>
      <c r="C905" s="7" t="s">
        <v>479</v>
      </c>
      <c r="D905" s="11"/>
      <c r="F905" s="7" t="s">
        <v>414</v>
      </c>
    </row>
    <row r="906" spans="2:9">
      <c r="B906" s="10"/>
      <c r="C906" s="7" t="s">
        <v>540</v>
      </c>
      <c r="D906" s="11"/>
    </row>
    <row r="907" spans="2:9">
      <c r="B907" s="10"/>
      <c r="C907" s="7" t="s">
        <v>212</v>
      </c>
      <c r="D907" s="7" t="s">
        <v>474</v>
      </c>
      <c r="E907" s="7" t="s">
        <v>475</v>
      </c>
      <c r="F907" s="7" t="s">
        <v>476</v>
      </c>
      <c r="G907" s="6"/>
    </row>
    <row r="908" spans="2:9" ht="22.5">
      <c r="B908" s="10"/>
      <c r="C908" s="7" t="s">
        <v>477</v>
      </c>
      <c r="D908" s="11" t="s">
        <v>362</v>
      </c>
      <c r="E908" s="3" t="s">
        <v>467</v>
      </c>
      <c r="F908" s="7" t="s">
        <v>687</v>
      </c>
      <c r="I908" s="3"/>
    </row>
    <row r="909" spans="2:9">
      <c r="B909" s="10"/>
      <c r="C909" s="7" t="s">
        <v>482</v>
      </c>
      <c r="D909" s="11"/>
      <c r="F909" s="7" t="s">
        <v>478</v>
      </c>
    </row>
    <row r="910" spans="2:9">
      <c r="B910" s="10"/>
      <c r="C910" s="7" t="s">
        <v>479</v>
      </c>
      <c r="D910" s="11"/>
      <c r="F910" s="7" t="s">
        <v>414</v>
      </c>
    </row>
    <row r="911" spans="2:9">
      <c r="B911" s="10"/>
      <c r="C911" s="7" t="s">
        <v>512</v>
      </c>
      <c r="D911" s="11"/>
    </row>
    <row r="912" spans="2:9">
      <c r="B912" s="10"/>
      <c r="C912" s="7" t="s">
        <v>213</v>
      </c>
      <c r="D912" s="7" t="s">
        <v>474</v>
      </c>
      <c r="E912" s="7" t="s">
        <v>475</v>
      </c>
      <c r="F912" s="7" t="s">
        <v>476</v>
      </c>
      <c r="G912" s="6"/>
    </row>
    <row r="913" spans="2:9" ht="45">
      <c r="B913" s="10"/>
      <c r="C913" s="7" t="s">
        <v>477</v>
      </c>
      <c r="D913" s="11" t="s">
        <v>363</v>
      </c>
      <c r="E913" s="3" t="s">
        <v>689</v>
      </c>
      <c r="F913" s="7" t="s">
        <v>688</v>
      </c>
      <c r="I913" s="3"/>
    </row>
    <row r="914" spans="2:9">
      <c r="B914" s="10"/>
      <c r="C914" s="7" t="s">
        <v>485</v>
      </c>
      <c r="D914" s="11"/>
      <c r="F914" s="7" t="s">
        <v>478</v>
      </c>
    </row>
    <row r="915" spans="2:9">
      <c r="B915" s="10"/>
      <c r="C915" s="7" t="s">
        <v>479</v>
      </c>
      <c r="D915" s="11"/>
      <c r="F915" s="7" t="s">
        <v>414</v>
      </c>
    </row>
    <row r="916" spans="2:9">
      <c r="B916" s="10"/>
      <c r="C916" s="7" t="s">
        <v>541</v>
      </c>
      <c r="D916" s="11"/>
    </row>
    <row r="917" spans="2:9">
      <c r="B917" s="10"/>
      <c r="C917" s="7" t="s">
        <v>214</v>
      </c>
      <c r="D917" s="7" t="s">
        <v>474</v>
      </c>
      <c r="E917" s="7" t="s">
        <v>475</v>
      </c>
      <c r="F917" s="7" t="s">
        <v>476</v>
      </c>
      <c r="G917" s="6"/>
    </row>
    <row r="918" spans="2:9" ht="90">
      <c r="B918" s="10"/>
      <c r="C918" s="7" t="s">
        <v>477</v>
      </c>
      <c r="D918" s="11" t="s">
        <v>364</v>
      </c>
      <c r="E918" s="3" t="s">
        <v>691</v>
      </c>
      <c r="F918" s="7" t="s">
        <v>690</v>
      </c>
      <c r="I918" s="3"/>
    </row>
    <row r="919" spans="2:9">
      <c r="B919" s="10"/>
      <c r="C919" s="7" t="s">
        <v>484</v>
      </c>
      <c r="D919" s="11"/>
      <c r="F919" s="7" t="s">
        <v>478</v>
      </c>
    </row>
    <row r="920" spans="2:9">
      <c r="B920" s="10"/>
      <c r="C920" s="7" t="s">
        <v>479</v>
      </c>
      <c r="D920" s="11"/>
      <c r="F920" s="7" t="s">
        <v>414</v>
      </c>
    </row>
    <row r="921" spans="2:9">
      <c r="B921" s="10"/>
      <c r="C921" s="7" t="s">
        <v>542</v>
      </c>
      <c r="D921" s="11"/>
    </row>
    <row r="922" spans="2:9">
      <c r="B922" s="10"/>
      <c r="C922" s="7" t="s">
        <v>215</v>
      </c>
      <c r="D922" s="7" t="s">
        <v>474</v>
      </c>
      <c r="E922" s="7" t="s">
        <v>475</v>
      </c>
      <c r="F922" s="7" t="s">
        <v>476</v>
      </c>
      <c r="G922" s="6"/>
    </row>
    <row r="923" spans="2:9" ht="56.25">
      <c r="B923" s="10"/>
      <c r="C923" s="7" t="s">
        <v>477</v>
      </c>
      <c r="D923" s="11" t="s">
        <v>365</v>
      </c>
      <c r="E923" s="3" t="s">
        <v>693</v>
      </c>
      <c r="F923" s="7" t="s">
        <v>692</v>
      </c>
      <c r="I923" s="3"/>
    </row>
    <row r="924" spans="2:9">
      <c r="B924" s="10"/>
      <c r="C924" s="7" t="s">
        <v>485</v>
      </c>
      <c r="D924" s="11"/>
      <c r="F924" s="7" t="s">
        <v>478</v>
      </c>
    </row>
    <row r="925" spans="2:9">
      <c r="B925" s="10"/>
      <c r="C925" s="7" t="s">
        <v>479</v>
      </c>
      <c r="D925" s="11"/>
      <c r="F925" s="7" t="s">
        <v>414</v>
      </c>
    </row>
    <row r="926" spans="2:9">
      <c r="B926" s="10"/>
      <c r="C926" s="7" t="s">
        <v>533</v>
      </c>
      <c r="D926" s="11"/>
    </row>
    <row r="927" spans="2:9">
      <c r="B927" s="10"/>
      <c r="C927" s="7" t="s">
        <v>216</v>
      </c>
      <c r="D927" s="7" t="s">
        <v>474</v>
      </c>
      <c r="E927" s="7" t="s">
        <v>475</v>
      </c>
      <c r="F927" s="7" t="s">
        <v>476</v>
      </c>
      <c r="G927" s="6"/>
    </row>
    <row r="928" spans="2:9" ht="33.75">
      <c r="B928" s="10"/>
      <c r="C928" s="7" t="s">
        <v>477</v>
      </c>
      <c r="D928" s="11" t="s">
        <v>366</v>
      </c>
      <c r="E928" s="3" t="s">
        <v>695</v>
      </c>
      <c r="F928" s="7" t="s">
        <v>694</v>
      </c>
      <c r="I928" s="3"/>
    </row>
    <row r="929" spans="2:9">
      <c r="B929" s="10"/>
      <c r="C929" s="7" t="s">
        <v>484</v>
      </c>
      <c r="D929" s="11"/>
      <c r="F929" s="7" t="s">
        <v>478</v>
      </c>
    </row>
    <row r="930" spans="2:9">
      <c r="B930" s="10"/>
      <c r="C930" s="7" t="s">
        <v>479</v>
      </c>
      <c r="D930" s="11"/>
      <c r="F930" s="7" t="s">
        <v>414</v>
      </c>
    </row>
    <row r="931" spans="2:9">
      <c r="B931" s="10"/>
      <c r="C931" s="7" t="s">
        <v>500</v>
      </c>
      <c r="D931" s="11"/>
    </row>
    <row r="932" spans="2:9">
      <c r="B932" s="10"/>
      <c r="C932" s="7" t="s">
        <v>217</v>
      </c>
      <c r="D932" s="7" t="s">
        <v>474</v>
      </c>
      <c r="E932" s="7" t="s">
        <v>475</v>
      </c>
      <c r="F932" s="7" t="s">
        <v>476</v>
      </c>
      <c r="G932" s="6"/>
    </row>
    <row r="933" spans="2:9" ht="56.25">
      <c r="B933" s="10"/>
      <c r="C933" s="7" t="s">
        <v>477</v>
      </c>
      <c r="D933" s="11" t="s">
        <v>367</v>
      </c>
      <c r="E933" s="3" t="s">
        <v>697</v>
      </c>
      <c r="F933" s="7" t="s">
        <v>696</v>
      </c>
      <c r="I933" s="3"/>
    </row>
    <row r="934" spans="2:9">
      <c r="B934" s="10"/>
      <c r="C934" s="7" t="s">
        <v>482</v>
      </c>
      <c r="D934" s="11"/>
      <c r="F934" s="7" t="s">
        <v>478</v>
      </c>
    </row>
    <row r="935" spans="2:9">
      <c r="B935" s="10"/>
      <c r="C935" s="7" t="s">
        <v>479</v>
      </c>
      <c r="D935" s="11"/>
      <c r="F935" s="7" t="s">
        <v>414</v>
      </c>
    </row>
    <row r="936" spans="2:9">
      <c r="B936" s="10"/>
      <c r="C936" s="7" t="s">
        <v>480</v>
      </c>
      <c r="D936" s="11"/>
    </row>
    <row r="937" spans="2:9">
      <c r="B937" s="10"/>
      <c r="C937" s="7" t="s">
        <v>218</v>
      </c>
      <c r="D937" s="7" t="s">
        <v>474</v>
      </c>
      <c r="E937" s="7" t="s">
        <v>475</v>
      </c>
      <c r="F937" s="7" t="s">
        <v>476</v>
      </c>
      <c r="G937" s="6"/>
    </row>
    <row r="938" spans="2:9" ht="33.75">
      <c r="B938" s="10"/>
      <c r="C938" s="7" t="s">
        <v>477</v>
      </c>
      <c r="D938" s="11" t="s">
        <v>368</v>
      </c>
      <c r="E938" s="3" t="s">
        <v>468</v>
      </c>
      <c r="F938" s="7" t="s">
        <v>698</v>
      </c>
      <c r="I938" s="3"/>
    </row>
    <row r="939" spans="2:9">
      <c r="B939" s="10"/>
      <c r="C939" s="7" t="s">
        <v>484</v>
      </c>
      <c r="D939" s="11"/>
      <c r="F939" s="7" t="s">
        <v>478</v>
      </c>
    </row>
    <row r="940" spans="2:9">
      <c r="B940" s="10"/>
      <c r="C940" s="7" t="s">
        <v>479</v>
      </c>
      <c r="D940" s="11"/>
      <c r="F940" s="7" t="s">
        <v>414</v>
      </c>
    </row>
    <row r="941" spans="2:9">
      <c r="B941" s="10"/>
      <c r="C941" s="7" t="s">
        <v>480</v>
      </c>
      <c r="D941" s="11"/>
    </row>
    <row r="942" spans="2:9">
      <c r="B942" s="10"/>
      <c r="C942" s="7" t="s">
        <v>219</v>
      </c>
      <c r="D942" s="7" t="s">
        <v>474</v>
      </c>
      <c r="E942" s="7" t="s">
        <v>475</v>
      </c>
      <c r="F942" s="7" t="s">
        <v>476</v>
      </c>
      <c r="G942" s="6"/>
    </row>
    <row r="943" spans="2:9" ht="78.75">
      <c r="B943" s="10"/>
      <c r="C943" s="7" t="s">
        <v>477</v>
      </c>
      <c r="D943" s="11" t="s">
        <v>369</v>
      </c>
      <c r="E943" s="3" t="s">
        <v>700</v>
      </c>
      <c r="F943" s="7" t="s">
        <v>699</v>
      </c>
      <c r="I943" s="3"/>
    </row>
    <row r="944" spans="2:9">
      <c r="B944" s="10"/>
      <c r="C944" s="7" t="s">
        <v>485</v>
      </c>
      <c r="D944" s="11"/>
      <c r="F944" s="7" t="s">
        <v>478</v>
      </c>
    </row>
    <row r="945" spans="2:9">
      <c r="B945" s="10"/>
      <c r="C945" s="7" t="s">
        <v>479</v>
      </c>
      <c r="D945" s="11"/>
      <c r="F945" s="7" t="s">
        <v>414</v>
      </c>
    </row>
    <row r="946" spans="2:9">
      <c r="B946" s="10"/>
      <c r="C946" s="7" t="s">
        <v>543</v>
      </c>
      <c r="D946" s="11"/>
    </row>
    <row r="947" spans="2:9">
      <c r="B947" s="10"/>
      <c r="C947" s="7" t="s">
        <v>220</v>
      </c>
      <c r="D947" s="7" t="s">
        <v>474</v>
      </c>
      <c r="E947" s="7" t="s">
        <v>475</v>
      </c>
      <c r="F947" s="7" t="s">
        <v>476</v>
      </c>
      <c r="G947" s="6"/>
    </row>
    <row r="948" spans="2:9">
      <c r="B948" s="10"/>
      <c r="C948" s="7" t="s">
        <v>477</v>
      </c>
      <c r="D948" s="11" t="s">
        <v>370</v>
      </c>
      <c r="E948" s="3" t="s">
        <v>481</v>
      </c>
      <c r="F948" s="7" t="s">
        <v>481</v>
      </c>
      <c r="I948" s="3"/>
    </row>
    <row r="949" spans="2:9">
      <c r="B949" s="10"/>
      <c r="C949" s="7" t="s">
        <v>483</v>
      </c>
      <c r="D949" s="11"/>
      <c r="F949" s="7" t="s">
        <v>478</v>
      </c>
    </row>
    <row r="950" spans="2:9">
      <c r="B950" s="10"/>
      <c r="C950" s="7" t="s">
        <v>479</v>
      </c>
      <c r="D950" s="11"/>
      <c r="F950" s="7" t="s">
        <v>481</v>
      </c>
    </row>
    <row r="951" spans="2:9">
      <c r="B951" s="10"/>
      <c r="C951" s="7" t="s">
        <v>494</v>
      </c>
      <c r="D951" s="11"/>
    </row>
    <row r="952" spans="2:9">
      <c r="B952" s="10"/>
      <c r="C952" s="7" t="s">
        <v>226</v>
      </c>
      <c r="D952" s="7" t="s">
        <v>474</v>
      </c>
      <c r="E952" s="7" t="s">
        <v>475</v>
      </c>
      <c r="F952" s="7" t="s">
        <v>476</v>
      </c>
      <c r="G952" s="6"/>
    </row>
    <row r="953" spans="2:9" ht="56.25">
      <c r="B953" s="10"/>
      <c r="C953" s="7" t="s">
        <v>477</v>
      </c>
      <c r="D953" s="11" t="s">
        <v>481</v>
      </c>
      <c r="E953" s="3" t="s">
        <v>702</v>
      </c>
      <c r="F953" s="7" t="s">
        <v>701</v>
      </c>
      <c r="I953" s="3"/>
    </row>
    <row r="954" spans="2:9">
      <c r="B954" s="10"/>
      <c r="C954" s="7" t="s">
        <v>481</v>
      </c>
      <c r="D954" s="11"/>
      <c r="F954" s="7" t="s">
        <v>478</v>
      </c>
    </row>
    <row r="955" spans="2:9">
      <c r="B955" s="10"/>
      <c r="C955" s="7" t="s">
        <v>479</v>
      </c>
      <c r="D955" s="11"/>
      <c r="F955" s="7" t="s">
        <v>414</v>
      </c>
    </row>
    <row r="956" spans="2:9">
      <c r="B956" s="10"/>
      <c r="C956" s="7" t="s">
        <v>498</v>
      </c>
      <c r="D956" s="11"/>
    </row>
    <row r="957" spans="2:9">
      <c r="B957" s="10"/>
      <c r="C957" s="7" t="s">
        <v>258</v>
      </c>
      <c r="D957" s="7" t="s">
        <v>474</v>
      </c>
      <c r="E957" s="7" t="s">
        <v>475</v>
      </c>
      <c r="F957" s="7" t="s">
        <v>476</v>
      </c>
      <c r="G957" s="6"/>
    </row>
    <row r="958" spans="2:9" ht="33.75">
      <c r="B958" s="10"/>
      <c r="C958" s="7" t="s">
        <v>477</v>
      </c>
      <c r="D958" s="11" t="s">
        <v>481</v>
      </c>
      <c r="E958" s="3" t="s">
        <v>703</v>
      </c>
      <c r="F958" s="7" t="s">
        <v>488</v>
      </c>
      <c r="I958" s="3"/>
    </row>
    <row r="959" spans="2:9">
      <c r="B959" s="10"/>
      <c r="C959" s="7" t="s">
        <v>481</v>
      </c>
      <c r="D959" s="11"/>
      <c r="F959" s="7" t="s">
        <v>478</v>
      </c>
    </row>
    <row r="960" spans="2:9">
      <c r="B960" s="10"/>
      <c r="C960" s="7" t="s">
        <v>479</v>
      </c>
      <c r="D960" s="11"/>
      <c r="F960" s="7" t="s">
        <v>375</v>
      </c>
    </row>
    <row r="961" spans="2:9">
      <c r="B961" s="10"/>
      <c r="C961" s="7" t="s">
        <v>480</v>
      </c>
      <c r="D961" s="11"/>
    </row>
    <row r="962" spans="2:9">
      <c r="B962" s="10"/>
      <c r="C962" s="7" t="s">
        <v>241</v>
      </c>
      <c r="D962" s="7" t="s">
        <v>474</v>
      </c>
      <c r="E962" s="7" t="s">
        <v>475</v>
      </c>
      <c r="F962" s="7" t="s">
        <v>476</v>
      </c>
      <c r="G962" s="6"/>
    </row>
    <row r="963" spans="2:9" ht="56.25">
      <c r="B963" s="10"/>
      <c r="C963" s="7" t="s">
        <v>477</v>
      </c>
      <c r="D963" s="11" t="s">
        <v>481</v>
      </c>
      <c r="E963" s="3" t="s">
        <v>704</v>
      </c>
      <c r="F963" s="7" t="s">
        <v>716</v>
      </c>
      <c r="I963" s="3"/>
    </row>
    <row r="964" spans="2:9">
      <c r="B964" s="10"/>
      <c r="C964" s="7" t="s">
        <v>481</v>
      </c>
      <c r="D964" s="11"/>
      <c r="F964" s="7" t="s">
        <v>478</v>
      </c>
    </row>
    <row r="965" spans="2:9">
      <c r="B965" s="10"/>
      <c r="C965" s="7" t="s">
        <v>479</v>
      </c>
      <c r="D965" s="11"/>
      <c r="F965" s="7" t="s">
        <v>375</v>
      </c>
    </row>
    <row r="966" spans="2:9">
      <c r="B966" s="10"/>
      <c r="C966" s="7" t="s">
        <v>493</v>
      </c>
      <c r="D966" s="11"/>
    </row>
    <row r="967" spans="2:9">
      <c r="B967" s="10"/>
      <c r="C967" s="7" t="s">
        <v>253</v>
      </c>
      <c r="D967" s="7" t="s">
        <v>474</v>
      </c>
      <c r="E967" s="7" t="s">
        <v>475</v>
      </c>
      <c r="F967" s="7" t="s">
        <v>476</v>
      </c>
      <c r="G967" s="6"/>
    </row>
    <row r="968" spans="2:9" ht="33.75">
      <c r="B968" s="10"/>
      <c r="C968" s="7" t="s">
        <v>477</v>
      </c>
      <c r="D968" s="11" t="s">
        <v>481</v>
      </c>
      <c r="E968" s="3" t="s">
        <v>705</v>
      </c>
      <c r="F968" s="7" t="s">
        <v>718</v>
      </c>
      <c r="I968" s="3"/>
    </row>
    <row r="969" spans="2:9">
      <c r="B969" s="10"/>
      <c r="C969" s="7" t="s">
        <v>481</v>
      </c>
      <c r="D969" s="11"/>
      <c r="F969" s="7" t="s">
        <v>478</v>
      </c>
    </row>
    <row r="970" spans="2:9">
      <c r="B970" s="10"/>
      <c r="C970" s="7" t="s">
        <v>479</v>
      </c>
      <c r="D970" s="11"/>
      <c r="F970" s="7" t="s">
        <v>375</v>
      </c>
    </row>
    <row r="971" spans="2:9">
      <c r="B971" s="10"/>
      <c r="C971" s="7" t="s">
        <v>480</v>
      </c>
      <c r="D971" s="11"/>
    </row>
    <row r="972" spans="2:9">
      <c r="B972" s="10"/>
      <c r="C972" s="7" t="s">
        <v>205</v>
      </c>
      <c r="D972" s="7" t="s">
        <v>474</v>
      </c>
      <c r="E972" s="7" t="s">
        <v>475</v>
      </c>
      <c r="F972" s="7" t="s">
        <v>476</v>
      </c>
      <c r="G972" s="6"/>
    </row>
    <row r="973" spans="2:9">
      <c r="B973" s="10"/>
      <c r="C973" s="7" t="s">
        <v>477</v>
      </c>
      <c r="D973" s="11" t="s">
        <v>355</v>
      </c>
      <c r="E973" s="7" t="s">
        <v>488</v>
      </c>
      <c r="F973" s="7" t="s">
        <v>718</v>
      </c>
      <c r="I973" s="3"/>
    </row>
    <row r="974" spans="2:9">
      <c r="B974" s="10"/>
      <c r="C974" s="7" t="s">
        <v>489</v>
      </c>
      <c r="D974" s="11"/>
      <c r="F974" s="7" t="s">
        <v>478</v>
      </c>
    </row>
    <row r="975" spans="2:9">
      <c r="B975" s="10"/>
      <c r="C975" s="7" t="s">
        <v>479</v>
      </c>
      <c r="D975" s="11"/>
      <c r="F975" s="7" t="s">
        <v>375</v>
      </c>
    </row>
    <row r="976" spans="2:9">
      <c r="B976" s="10"/>
      <c r="C976" s="7" t="s">
        <v>480</v>
      </c>
      <c r="D976" s="11"/>
    </row>
    <row r="977" spans="2:9">
      <c r="B977" s="10"/>
      <c r="C977" s="7" t="s">
        <v>206</v>
      </c>
      <c r="D977" s="7" t="s">
        <v>474</v>
      </c>
      <c r="E977" s="7" t="s">
        <v>475</v>
      </c>
      <c r="F977" s="7" t="s">
        <v>476</v>
      </c>
      <c r="G977" s="6"/>
    </row>
    <row r="978" spans="2:9">
      <c r="B978" s="10"/>
      <c r="C978" s="7" t="s">
        <v>477</v>
      </c>
      <c r="D978" s="11" t="s">
        <v>356</v>
      </c>
      <c r="E978" s="3" t="s">
        <v>469</v>
      </c>
      <c r="F978" s="7" t="s">
        <v>719</v>
      </c>
    </row>
    <row r="979" spans="2:9">
      <c r="B979" s="10"/>
      <c r="C979" s="7" t="s">
        <v>482</v>
      </c>
      <c r="D979" s="11"/>
      <c r="F979" s="7" t="s">
        <v>478</v>
      </c>
    </row>
    <row r="980" spans="2:9">
      <c r="B980" s="10"/>
      <c r="C980" s="7" t="s">
        <v>479</v>
      </c>
      <c r="D980" s="11"/>
      <c r="F980" s="7" t="s">
        <v>375</v>
      </c>
    </row>
    <row r="981" spans="2:9">
      <c r="B981" s="10"/>
      <c r="C981" s="7" t="s">
        <v>480</v>
      </c>
      <c r="D981" s="11"/>
    </row>
    <row r="982" spans="2:9">
      <c r="B982" s="10"/>
      <c r="C982" s="7" t="s">
        <v>207</v>
      </c>
      <c r="D982" s="7" t="s">
        <v>474</v>
      </c>
      <c r="E982" s="7" t="s">
        <v>475</v>
      </c>
      <c r="F982" s="7" t="s">
        <v>476</v>
      </c>
      <c r="G982" s="6"/>
    </row>
    <row r="983" spans="2:9">
      <c r="B983" s="10"/>
      <c r="C983" s="7" t="s">
        <v>477</v>
      </c>
      <c r="D983" s="11" t="s">
        <v>357</v>
      </c>
      <c r="E983" s="7" t="s">
        <v>470</v>
      </c>
      <c r="F983" s="7" t="s">
        <v>718</v>
      </c>
    </row>
    <row r="984" spans="2:9">
      <c r="B984" s="10"/>
      <c r="C984" s="7" t="s">
        <v>486</v>
      </c>
      <c r="D984" s="11"/>
      <c r="F984" s="7" t="s">
        <v>478</v>
      </c>
    </row>
    <row r="985" spans="2:9">
      <c r="B985" s="10"/>
      <c r="C985" s="7" t="s">
        <v>479</v>
      </c>
      <c r="D985" s="11"/>
      <c r="F985" s="7" t="s">
        <v>375</v>
      </c>
    </row>
    <row r="986" spans="2:9">
      <c r="B986" s="10"/>
      <c r="C986" s="7" t="s">
        <v>512</v>
      </c>
      <c r="D986" s="11"/>
    </row>
    <row r="987" spans="2:9">
      <c r="B987" s="10"/>
      <c r="C987" s="7" t="s">
        <v>256</v>
      </c>
      <c r="D987" s="7" t="s">
        <v>474</v>
      </c>
      <c r="E987" s="7" t="s">
        <v>475</v>
      </c>
      <c r="F987" s="7" t="s">
        <v>476</v>
      </c>
      <c r="G987" s="6"/>
    </row>
    <row r="988" spans="2:9" ht="33.75">
      <c r="B988" s="10"/>
      <c r="C988" s="7" t="s">
        <v>477</v>
      </c>
      <c r="D988" s="11" t="s">
        <v>481</v>
      </c>
      <c r="E988" s="3" t="s">
        <v>706</v>
      </c>
      <c r="F988" s="7" t="s">
        <v>716</v>
      </c>
      <c r="I988" s="3"/>
    </row>
    <row r="989" spans="2:9">
      <c r="B989" s="10"/>
      <c r="C989" s="7" t="s">
        <v>481</v>
      </c>
      <c r="D989" s="11"/>
      <c r="F989" s="7" t="s">
        <v>478</v>
      </c>
    </row>
    <row r="990" spans="2:9">
      <c r="B990" s="10"/>
      <c r="C990" s="7" t="s">
        <v>479</v>
      </c>
      <c r="D990" s="11"/>
      <c r="F990" s="7" t="s">
        <v>375</v>
      </c>
    </row>
    <row r="991" spans="2:9">
      <c r="B991" s="10"/>
      <c r="C991" s="7" t="s">
        <v>480</v>
      </c>
      <c r="D991" s="11"/>
    </row>
    <row r="992" spans="2:9">
      <c r="B992" s="10"/>
      <c r="C992" s="7" t="s">
        <v>208</v>
      </c>
      <c r="D992" s="7" t="s">
        <v>474</v>
      </c>
      <c r="E992" s="7" t="s">
        <v>475</v>
      </c>
      <c r="F992" s="7" t="s">
        <v>476</v>
      </c>
      <c r="G992" s="6"/>
    </row>
    <row r="993" spans="2:9">
      <c r="B993" s="10"/>
      <c r="C993" s="7" t="s">
        <v>477</v>
      </c>
      <c r="D993" s="11" t="s">
        <v>358</v>
      </c>
      <c r="E993" s="7" t="s">
        <v>471</v>
      </c>
      <c r="F993" s="7" t="s">
        <v>716</v>
      </c>
      <c r="I993" s="3"/>
    </row>
    <row r="994" spans="2:9">
      <c r="B994" s="10"/>
      <c r="C994" s="7" t="s">
        <v>480</v>
      </c>
      <c r="D994" s="11"/>
      <c r="F994" s="7" t="s">
        <v>478</v>
      </c>
    </row>
    <row r="995" spans="2:9">
      <c r="B995" s="10"/>
      <c r="C995" s="7" t="s">
        <v>479</v>
      </c>
      <c r="D995" s="11"/>
      <c r="F995" s="7" t="s">
        <v>375</v>
      </c>
    </row>
    <row r="996" spans="2:9">
      <c r="B996" s="10"/>
      <c r="C996" s="7" t="s">
        <v>523</v>
      </c>
      <c r="D996" s="11"/>
    </row>
    <row r="997" spans="2:9">
      <c r="B997" s="10"/>
      <c r="C997" s="7" t="s">
        <v>236</v>
      </c>
      <c r="D997" s="7" t="s">
        <v>474</v>
      </c>
      <c r="E997" s="7" t="s">
        <v>475</v>
      </c>
      <c r="F997" s="7" t="s">
        <v>476</v>
      </c>
      <c r="G997" s="6"/>
    </row>
    <row r="998" spans="2:9" ht="67.5">
      <c r="B998" s="10"/>
      <c r="C998" s="7" t="s">
        <v>477</v>
      </c>
      <c r="D998" s="11" t="s">
        <v>481</v>
      </c>
      <c r="E998" s="3" t="s">
        <v>707</v>
      </c>
      <c r="F998" s="7" t="s">
        <v>720</v>
      </c>
      <c r="I998" s="3"/>
    </row>
    <row r="999" spans="2:9">
      <c r="B999" s="10"/>
      <c r="C999" s="7" t="s">
        <v>481</v>
      </c>
      <c r="D999" s="11"/>
      <c r="F999" s="7" t="s">
        <v>478</v>
      </c>
    </row>
    <row r="1000" spans="2:9">
      <c r="B1000" s="10"/>
      <c r="C1000" s="7" t="s">
        <v>479</v>
      </c>
      <c r="D1000" s="11"/>
      <c r="F1000" s="7" t="s">
        <v>375</v>
      </c>
    </row>
    <row r="1001" spans="2:9">
      <c r="B1001" s="10"/>
      <c r="C1001" s="7" t="s">
        <v>482</v>
      </c>
      <c r="D1001" s="11"/>
    </row>
    <row r="1002" spans="2:9">
      <c r="B1002" s="10"/>
      <c r="C1002" s="7" t="s">
        <v>209</v>
      </c>
      <c r="D1002" s="7" t="s">
        <v>474</v>
      </c>
      <c r="E1002" s="7" t="s">
        <v>475</v>
      </c>
      <c r="F1002" s="7" t="s">
        <v>476</v>
      </c>
      <c r="G1002" s="6"/>
    </row>
    <row r="1003" spans="2:9" ht="56.25">
      <c r="B1003" s="10"/>
      <c r="C1003" s="7" t="s">
        <v>477</v>
      </c>
      <c r="D1003" s="11" t="s">
        <v>359</v>
      </c>
      <c r="E1003" s="3" t="s">
        <v>708</v>
      </c>
      <c r="F1003" s="7" t="s">
        <v>720</v>
      </c>
      <c r="I1003" s="3"/>
    </row>
    <row r="1004" spans="2:9">
      <c r="B1004" s="10"/>
      <c r="C1004" s="7" t="s">
        <v>489</v>
      </c>
      <c r="D1004" s="11"/>
      <c r="F1004" s="7" t="s">
        <v>478</v>
      </c>
    </row>
    <row r="1005" spans="2:9">
      <c r="B1005" s="10"/>
      <c r="C1005" s="7" t="s">
        <v>479</v>
      </c>
      <c r="D1005" s="11"/>
      <c r="F1005" s="7" t="s">
        <v>375</v>
      </c>
    </row>
    <row r="1006" spans="2:9">
      <c r="B1006" s="10"/>
      <c r="C1006" s="7" t="s">
        <v>480</v>
      </c>
      <c r="D1006" s="11"/>
    </row>
    <row r="1007" spans="2:9">
      <c r="B1007" s="10"/>
      <c r="C1007" s="7" t="s">
        <v>210</v>
      </c>
      <c r="D1007" s="7" t="s">
        <v>474</v>
      </c>
      <c r="E1007" s="7" t="s">
        <v>475</v>
      </c>
      <c r="F1007" s="7" t="s">
        <v>476</v>
      </c>
      <c r="G1007" s="6"/>
    </row>
    <row r="1008" spans="2:9" ht="56.25">
      <c r="B1008" s="10"/>
      <c r="C1008" s="7" t="s">
        <v>477</v>
      </c>
      <c r="D1008" s="11" t="s">
        <v>360</v>
      </c>
      <c r="E1008" s="3" t="s">
        <v>709</v>
      </c>
      <c r="F1008" s="7" t="s">
        <v>716</v>
      </c>
      <c r="I1008" s="3"/>
    </row>
    <row r="1009" spans="2:9">
      <c r="B1009" s="10"/>
      <c r="C1009" s="7" t="s">
        <v>489</v>
      </c>
      <c r="D1009" s="11"/>
      <c r="F1009" s="7" t="s">
        <v>478</v>
      </c>
    </row>
    <row r="1010" spans="2:9">
      <c r="B1010" s="10"/>
      <c r="C1010" s="7" t="s">
        <v>479</v>
      </c>
      <c r="D1010" s="11"/>
      <c r="F1010" s="7" t="s">
        <v>375</v>
      </c>
    </row>
    <row r="1011" spans="2:9">
      <c r="B1011" s="10"/>
      <c r="C1011" s="7" t="s">
        <v>512</v>
      </c>
      <c r="D1011" s="11"/>
    </row>
    <row r="1012" spans="2:9">
      <c r="B1012" s="10"/>
      <c r="C1012" s="7" t="s">
        <v>221</v>
      </c>
      <c r="D1012" s="7" t="s">
        <v>474</v>
      </c>
      <c r="E1012" s="7" t="s">
        <v>475</v>
      </c>
      <c r="F1012" s="7" t="s">
        <v>476</v>
      </c>
      <c r="G1012" s="6"/>
    </row>
    <row r="1013" spans="2:9" ht="22.5">
      <c r="B1013" s="10"/>
      <c r="C1013" s="7" t="s">
        <v>477</v>
      </c>
      <c r="D1013" s="11" t="s">
        <v>371</v>
      </c>
      <c r="E1013" s="3" t="s">
        <v>710</v>
      </c>
      <c r="F1013" s="7" t="s">
        <v>488</v>
      </c>
      <c r="I1013" s="3"/>
    </row>
    <row r="1014" spans="2:9">
      <c r="B1014" s="10"/>
      <c r="C1014" s="7" t="s">
        <v>480</v>
      </c>
      <c r="D1014" s="11"/>
      <c r="F1014" s="7" t="s">
        <v>478</v>
      </c>
    </row>
    <row r="1015" spans="2:9">
      <c r="B1015" s="10"/>
      <c r="C1015" s="7" t="s">
        <v>479</v>
      </c>
      <c r="D1015" s="11"/>
      <c r="F1015" s="7" t="s">
        <v>472</v>
      </c>
    </row>
    <row r="1016" spans="2:9">
      <c r="B1016" s="10"/>
      <c r="C1016" s="7" t="s">
        <v>480</v>
      </c>
      <c r="D1016" s="11"/>
    </row>
    <row r="1017" spans="2:9">
      <c r="B1017" s="10"/>
      <c r="C1017" s="7" t="s">
        <v>239</v>
      </c>
      <c r="D1017" s="7" t="s">
        <v>474</v>
      </c>
      <c r="E1017" s="7" t="s">
        <v>475</v>
      </c>
      <c r="F1017" s="7" t="s">
        <v>476</v>
      </c>
      <c r="G1017" s="6"/>
    </row>
    <row r="1018" spans="2:9" ht="67.5">
      <c r="B1018" s="10"/>
      <c r="C1018" s="7" t="s">
        <v>477</v>
      </c>
      <c r="D1018" s="11" t="s">
        <v>481</v>
      </c>
      <c r="E1018" s="3" t="s">
        <v>711</v>
      </c>
      <c r="F1018" s="7" t="s">
        <v>488</v>
      </c>
      <c r="I1018" s="3"/>
    </row>
    <row r="1019" spans="2:9">
      <c r="B1019" s="10"/>
      <c r="C1019" s="7" t="s">
        <v>481</v>
      </c>
      <c r="D1019" s="11"/>
      <c r="F1019" s="7" t="s">
        <v>478</v>
      </c>
    </row>
    <row r="1020" spans="2:9">
      <c r="B1020" s="10"/>
      <c r="C1020" s="7" t="s">
        <v>479</v>
      </c>
      <c r="D1020" s="11"/>
      <c r="F1020" s="7" t="s">
        <v>472</v>
      </c>
    </row>
    <row r="1021" spans="2:9">
      <c r="B1021" s="10"/>
      <c r="C1021" s="7" t="s">
        <v>486</v>
      </c>
      <c r="D1021" s="11"/>
    </row>
    <row r="1022" spans="2:9">
      <c r="B1022" s="10"/>
      <c r="C1022" s="7" t="s">
        <v>222</v>
      </c>
      <c r="D1022" s="7" t="s">
        <v>474</v>
      </c>
      <c r="E1022" s="7" t="s">
        <v>475</v>
      </c>
      <c r="F1022" s="7" t="s">
        <v>476</v>
      </c>
      <c r="G1022" s="6"/>
    </row>
    <row r="1023" spans="2:9" ht="45">
      <c r="B1023" s="10"/>
      <c r="C1023" s="7" t="s">
        <v>477</v>
      </c>
      <c r="D1023" s="11" t="s">
        <v>372</v>
      </c>
      <c r="E1023" s="3" t="s">
        <v>712</v>
      </c>
      <c r="F1023" s="7" t="s">
        <v>488</v>
      </c>
      <c r="I1023" s="3"/>
    </row>
    <row r="1024" spans="2:9">
      <c r="B1024" s="10"/>
      <c r="C1024" s="7" t="s">
        <v>488</v>
      </c>
      <c r="D1024" s="11"/>
      <c r="F1024" s="7" t="s">
        <v>478</v>
      </c>
    </row>
    <row r="1025" spans="2:6">
      <c r="B1025" s="10"/>
      <c r="C1025" s="7" t="s">
        <v>479</v>
      </c>
      <c r="D1025" s="11"/>
      <c r="F1025" s="7" t="s">
        <v>472</v>
      </c>
    </row>
    <row r="1026" spans="2:6">
      <c r="B1026" s="10"/>
      <c r="C1026" s="7" t="s">
        <v>506</v>
      </c>
      <c r="D1026" s="11"/>
    </row>
    <row r="1027" spans="2:6">
      <c r="B1027" s="10"/>
    </row>
    <row r="1028" spans="2:6">
      <c r="B1028" s="10"/>
      <c r="D1028" s="11"/>
    </row>
    <row r="1029" spans="2:6">
      <c r="B1029" s="10"/>
      <c r="D1029" s="11"/>
    </row>
    <row r="1030" spans="2:6">
      <c r="B1030" s="10"/>
      <c r="D1030" s="11"/>
    </row>
    <row r="1031" spans="2:6">
      <c r="B1031" s="10"/>
      <c r="D1031" s="11"/>
    </row>
    <row r="1032" spans="2:6">
      <c r="B1032" s="10"/>
    </row>
    <row r="1033" spans="2:6">
      <c r="B1033" s="10"/>
      <c r="D1033" s="11"/>
    </row>
    <row r="1034" spans="2:6">
      <c r="B1034" s="10"/>
      <c r="D1034" s="11"/>
    </row>
    <row r="1035" spans="2:6">
      <c r="B1035" s="10"/>
      <c r="D1035" s="11"/>
    </row>
    <row r="1036" spans="2:6">
      <c r="B1036" s="10"/>
      <c r="D1036" s="11"/>
    </row>
    <row r="1037" spans="2:6">
      <c r="B1037" s="10"/>
    </row>
    <row r="1038" spans="2:6">
      <c r="B1038" s="10"/>
      <c r="D1038" s="11"/>
    </row>
    <row r="1039" spans="2:6">
      <c r="B1039" s="10"/>
      <c r="D1039" s="11"/>
    </row>
    <row r="1040" spans="2:6">
      <c r="B1040" s="10"/>
      <c r="D1040" s="11"/>
    </row>
    <row r="1041" spans="2:4">
      <c r="B1041" s="10"/>
      <c r="D1041" s="11"/>
    </row>
    <row r="1042" spans="2:4">
      <c r="B1042" s="10"/>
    </row>
    <row r="1043" spans="2:4">
      <c r="B1043" s="10"/>
      <c r="D1043" s="11"/>
    </row>
    <row r="1044" spans="2:4">
      <c r="B1044" s="10"/>
      <c r="D1044" s="11"/>
    </row>
    <row r="1045" spans="2:4">
      <c r="B1045" s="10"/>
      <c r="D1045" s="11"/>
    </row>
    <row r="1046" spans="2:4">
      <c r="B1046" s="10"/>
      <c r="D1046" s="11"/>
    </row>
    <row r="1047" spans="2:4">
      <c r="B1047" s="10"/>
    </row>
    <row r="1048" spans="2:4">
      <c r="B1048" s="10"/>
      <c r="D1048" s="11"/>
    </row>
    <row r="1049" spans="2:4">
      <c r="B1049" s="10"/>
      <c r="D1049" s="11"/>
    </row>
    <row r="1050" spans="2:4">
      <c r="B1050" s="10"/>
      <c r="D1050" s="11"/>
    </row>
    <row r="1051" spans="2:4">
      <c r="B1051" s="10"/>
      <c r="D1051" s="11"/>
    </row>
    <row r="1052" spans="2:4">
      <c r="B1052" s="10"/>
    </row>
    <row r="1053" spans="2:4">
      <c r="B1053" s="10"/>
      <c r="D1053" s="11"/>
    </row>
    <row r="1054" spans="2:4">
      <c r="B1054" s="10"/>
      <c r="D1054" s="11"/>
    </row>
    <row r="1055" spans="2:4">
      <c r="B1055" s="10"/>
      <c r="D1055" s="11"/>
    </row>
    <row r="1056" spans="2:4">
      <c r="B1056" s="10"/>
      <c r="D1056" s="11"/>
    </row>
    <row r="1057" spans="2:4">
      <c r="B1057" s="10"/>
    </row>
    <row r="1058" spans="2:4">
      <c r="B1058" s="10"/>
      <c r="D1058" s="11"/>
    </row>
    <row r="1059" spans="2:4">
      <c r="B1059" s="10"/>
      <c r="D1059" s="11"/>
    </row>
    <row r="1060" spans="2:4">
      <c r="B1060" s="10"/>
      <c r="D1060" s="11"/>
    </row>
    <row r="1061" spans="2:4">
      <c r="B1061" s="10"/>
      <c r="D1061" s="11"/>
    </row>
    <row r="1062" spans="2:4">
      <c r="B1062" s="10"/>
    </row>
    <row r="1063" spans="2:4">
      <c r="B1063" s="10"/>
      <c r="D1063" s="11"/>
    </row>
    <row r="1064" spans="2:4">
      <c r="B1064" s="10"/>
      <c r="D1064" s="11"/>
    </row>
    <row r="1065" spans="2:4">
      <c r="B1065" s="10"/>
      <c r="D1065" s="11"/>
    </row>
    <row r="1066" spans="2:4">
      <c r="B1066" s="10"/>
      <c r="D1066" s="11"/>
    </row>
    <row r="1067" spans="2:4">
      <c r="B1067" s="10"/>
    </row>
    <row r="1068" spans="2:4">
      <c r="B1068" s="10"/>
      <c r="D1068" s="11"/>
    </row>
    <row r="1069" spans="2:4">
      <c r="B1069" s="10"/>
      <c r="D1069" s="11"/>
    </row>
    <row r="1070" spans="2:4">
      <c r="B1070" s="10"/>
      <c r="D1070" s="11"/>
    </row>
    <row r="1071" spans="2:4">
      <c r="B1071" s="10"/>
      <c r="D1071" s="11"/>
    </row>
    <row r="1072" spans="2:4">
      <c r="B1072" s="10"/>
    </row>
    <row r="1073" spans="2:4">
      <c r="B1073" s="10"/>
      <c r="D1073" s="11"/>
    </row>
    <row r="1074" spans="2:4">
      <c r="B1074" s="10"/>
      <c r="D1074" s="11"/>
    </row>
    <row r="1075" spans="2:4">
      <c r="B1075" s="10"/>
      <c r="D1075" s="11"/>
    </row>
    <row r="1076" spans="2:4">
      <c r="B1076" s="10"/>
      <c r="D1076" s="11"/>
    </row>
    <row r="1077" spans="2:4">
      <c r="B1077" s="10"/>
    </row>
    <row r="1078" spans="2:4">
      <c r="B1078" s="10"/>
      <c r="D1078" s="11"/>
    </row>
    <row r="1079" spans="2:4">
      <c r="B1079" s="10"/>
      <c r="D1079" s="11"/>
    </row>
    <row r="1080" spans="2:4">
      <c r="B1080" s="10"/>
      <c r="D1080" s="11"/>
    </row>
    <row r="1081" spans="2:4">
      <c r="B1081" s="10"/>
      <c r="D1081" s="11"/>
    </row>
    <row r="1082" spans="2:4">
      <c r="B1082" s="10"/>
    </row>
    <row r="1083" spans="2:4">
      <c r="B1083" s="10"/>
      <c r="D1083" s="11"/>
    </row>
    <row r="1084" spans="2:4">
      <c r="B1084" s="10"/>
      <c r="D1084" s="11"/>
    </row>
    <row r="1085" spans="2:4">
      <c r="B1085" s="10"/>
      <c r="D1085" s="11"/>
    </row>
    <row r="1086" spans="2:4">
      <c r="B1086" s="10"/>
      <c r="D1086" s="11"/>
    </row>
    <row r="1087" spans="2:4">
      <c r="B1087" s="10"/>
    </row>
    <row r="1088" spans="2:4">
      <c r="B1088" s="10"/>
      <c r="D1088" s="11"/>
    </row>
    <row r="1089" spans="2:4">
      <c r="B1089" s="10"/>
      <c r="D1089" s="11"/>
    </row>
    <row r="1090" spans="2:4">
      <c r="B1090" s="10"/>
      <c r="D1090" s="11"/>
    </row>
    <row r="1091" spans="2:4">
      <c r="B1091" s="10"/>
      <c r="D1091" s="11"/>
    </row>
    <row r="1092" spans="2:4">
      <c r="B1092" s="10"/>
    </row>
    <row r="1093" spans="2:4">
      <c r="B1093" s="10"/>
      <c r="D1093" s="11"/>
    </row>
    <row r="1094" spans="2:4">
      <c r="B1094" s="10"/>
      <c r="D1094" s="11"/>
    </row>
    <row r="1095" spans="2:4">
      <c r="B1095" s="10"/>
      <c r="D1095" s="11"/>
    </row>
    <row r="1096" spans="2:4">
      <c r="B1096" s="10"/>
      <c r="D1096" s="11"/>
    </row>
    <row r="1097" spans="2:4">
      <c r="B1097" s="10"/>
    </row>
    <row r="1098" spans="2:4">
      <c r="B1098" s="10"/>
      <c r="D1098" s="11"/>
    </row>
    <row r="1099" spans="2:4">
      <c r="B1099" s="10"/>
      <c r="D1099" s="11"/>
    </row>
    <row r="1100" spans="2:4">
      <c r="B1100" s="10"/>
      <c r="D1100" s="11"/>
    </row>
    <row r="1101" spans="2:4">
      <c r="B1101" s="10"/>
      <c r="D1101" s="11"/>
    </row>
    <row r="1102" spans="2:4">
      <c r="B1102" s="10"/>
    </row>
    <row r="1103" spans="2:4">
      <c r="B1103" s="10"/>
      <c r="D1103" s="11"/>
    </row>
    <row r="1104" spans="2:4">
      <c r="B1104" s="10"/>
      <c r="D1104" s="11"/>
    </row>
    <row r="1105" spans="2:4">
      <c r="B1105" s="10"/>
      <c r="D1105" s="11"/>
    </row>
    <row r="1106" spans="2:4">
      <c r="B1106" s="10"/>
      <c r="D1106" s="11"/>
    </row>
    <row r="1107" spans="2:4">
      <c r="B1107" s="10"/>
    </row>
    <row r="1108" spans="2:4">
      <c r="B1108" s="10"/>
      <c r="D1108" s="11"/>
    </row>
    <row r="1109" spans="2:4">
      <c r="B1109" s="10"/>
      <c r="D1109" s="11"/>
    </row>
    <row r="1110" spans="2:4">
      <c r="B1110" s="10"/>
      <c r="D1110" s="11"/>
    </row>
    <row r="1111" spans="2:4">
      <c r="B1111" s="10"/>
      <c r="D1111" s="11"/>
    </row>
    <row r="1112" spans="2:4">
      <c r="B1112" s="10"/>
    </row>
    <row r="1113" spans="2:4">
      <c r="B1113" s="10"/>
      <c r="D1113" s="11"/>
    </row>
    <row r="1114" spans="2:4">
      <c r="B1114" s="10"/>
      <c r="D1114" s="11"/>
    </row>
    <row r="1115" spans="2:4">
      <c r="B1115" s="10"/>
      <c r="D1115" s="11"/>
    </row>
    <row r="1116" spans="2:4">
      <c r="B1116" s="10"/>
      <c r="D1116" s="11"/>
    </row>
    <row r="1117" spans="2:4">
      <c r="B1117" s="10"/>
    </row>
    <row r="1118" spans="2:4">
      <c r="B1118" s="10"/>
      <c r="D1118" s="11"/>
    </row>
    <row r="1119" spans="2:4">
      <c r="B1119" s="10"/>
      <c r="D1119" s="11"/>
    </row>
    <row r="1120" spans="2:4">
      <c r="B1120" s="10"/>
      <c r="D1120" s="11"/>
    </row>
    <row r="1121" spans="2:4">
      <c r="B1121" s="10"/>
      <c r="D1121" s="11"/>
    </row>
    <row r="1122" spans="2:4">
      <c r="B1122" s="10"/>
    </row>
    <row r="1123" spans="2:4">
      <c r="B1123" s="10"/>
      <c r="D1123" s="11"/>
    </row>
    <row r="1124" spans="2:4">
      <c r="B1124" s="10"/>
      <c r="D1124" s="11"/>
    </row>
    <row r="1125" spans="2:4">
      <c r="B1125" s="10"/>
      <c r="D1125" s="11"/>
    </row>
    <row r="1126" spans="2:4">
      <c r="B1126" s="10"/>
      <c r="D1126" s="11"/>
    </row>
    <row r="1127" spans="2:4">
      <c r="B1127" s="10"/>
      <c r="C1127" s="8"/>
      <c r="D1127" s="8"/>
    </row>
    <row r="1128" spans="2:4">
      <c r="B1128" s="10"/>
      <c r="C1128" s="8"/>
      <c r="D1128" s="10"/>
    </row>
    <row r="1129" spans="2:4">
      <c r="B1129" s="10"/>
      <c r="C1129" s="8"/>
      <c r="D1129" s="10"/>
    </row>
    <row r="1130" spans="2:4">
      <c r="B1130" s="10"/>
      <c r="C1130" s="8"/>
      <c r="D1130" s="10"/>
    </row>
    <row r="1131" spans="2:4">
      <c r="B1131" s="10"/>
      <c r="C1131" s="8"/>
      <c r="D1131" s="10"/>
    </row>
    <row r="1132" spans="2:4">
      <c r="B1132" s="10"/>
      <c r="C1132" s="8"/>
      <c r="D1132" s="8"/>
    </row>
    <row r="1133" spans="2:4">
      <c r="B1133" s="10"/>
      <c r="C1133" s="8"/>
      <c r="D1133" s="10"/>
    </row>
    <row r="1134" spans="2:4">
      <c r="B1134" s="10"/>
      <c r="C1134" s="8"/>
      <c r="D1134" s="10"/>
    </row>
    <row r="1135" spans="2:4">
      <c r="B1135" s="10"/>
      <c r="C1135" s="8"/>
      <c r="D1135" s="10"/>
    </row>
    <row r="1136" spans="2:4">
      <c r="B1136" s="10"/>
      <c r="C1136" s="8"/>
      <c r="D1136" s="10"/>
    </row>
    <row r="1137" spans="2:4">
      <c r="B1137" s="10"/>
      <c r="C1137" s="8"/>
      <c r="D1137" s="8"/>
    </row>
    <row r="1138" spans="2:4">
      <c r="B1138" s="10"/>
      <c r="C1138" s="8"/>
      <c r="D1138" s="10"/>
    </row>
    <row r="1139" spans="2:4">
      <c r="B1139" s="10"/>
      <c r="C1139" s="8"/>
      <c r="D1139" s="10"/>
    </row>
    <row r="1140" spans="2:4">
      <c r="B1140" s="10"/>
      <c r="C1140" s="8"/>
      <c r="D1140" s="10"/>
    </row>
    <row r="1141" spans="2:4">
      <c r="B1141" s="10"/>
      <c r="C1141" s="8"/>
      <c r="D1141" s="10"/>
    </row>
    <row r="1142" spans="2:4">
      <c r="B1142" s="10"/>
      <c r="C1142" s="8"/>
      <c r="D1142" s="8"/>
    </row>
    <row r="1143" spans="2:4">
      <c r="B1143" s="10"/>
      <c r="C1143" s="8"/>
      <c r="D1143" s="10"/>
    </row>
    <row r="1144" spans="2:4">
      <c r="B1144" s="10"/>
      <c r="C1144" s="8"/>
      <c r="D1144" s="10"/>
    </row>
    <row r="1145" spans="2:4">
      <c r="B1145" s="10"/>
      <c r="C1145" s="8"/>
      <c r="D1145" s="10"/>
    </row>
    <row r="1146" spans="2:4">
      <c r="B1146" s="10"/>
      <c r="C1146" s="8"/>
      <c r="D1146" s="10"/>
    </row>
    <row r="1147" spans="2:4">
      <c r="B1147" s="10"/>
      <c r="C1147" s="8"/>
      <c r="D1147" s="8"/>
    </row>
    <row r="1148" spans="2:4">
      <c r="B1148" s="10"/>
      <c r="C1148" s="8"/>
      <c r="D1148" s="10"/>
    </row>
    <row r="1149" spans="2:4">
      <c r="B1149" s="10"/>
      <c r="C1149" s="8"/>
      <c r="D1149" s="10"/>
    </row>
    <row r="1150" spans="2:4">
      <c r="B1150" s="10"/>
      <c r="C1150" s="8"/>
      <c r="D1150" s="10"/>
    </row>
    <row r="1151" spans="2:4">
      <c r="B1151" s="10"/>
      <c r="C1151" s="8"/>
      <c r="D1151" s="10"/>
    </row>
    <row r="1152" spans="2:4">
      <c r="B1152" s="10"/>
      <c r="C1152" s="8"/>
      <c r="D1152" s="8"/>
    </row>
    <row r="1153" spans="2:4">
      <c r="B1153" s="10"/>
      <c r="C1153" s="8"/>
      <c r="D1153" s="10"/>
    </row>
    <row r="1154" spans="2:4">
      <c r="B1154" s="10"/>
      <c r="C1154" s="8"/>
      <c r="D1154" s="10"/>
    </row>
    <row r="1155" spans="2:4">
      <c r="B1155" s="10"/>
      <c r="C1155" s="8"/>
      <c r="D1155" s="10"/>
    </row>
    <row r="1156" spans="2:4">
      <c r="B1156" s="10"/>
      <c r="C1156" s="8"/>
      <c r="D1156" s="10"/>
    </row>
    <row r="1157" spans="2:4">
      <c r="B1157" s="10"/>
      <c r="C1157" s="8"/>
      <c r="D1157" s="8"/>
    </row>
    <row r="1158" spans="2:4">
      <c r="B1158" s="10"/>
      <c r="C1158" s="8"/>
      <c r="D1158" s="10"/>
    </row>
    <row r="1159" spans="2:4">
      <c r="B1159" s="10"/>
      <c r="C1159" s="8"/>
      <c r="D1159" s="10"/>
    </row>
    <row r="1160" spans="2:4">
      <c r="B1160" s="10"/>
      <c r="C1160" s="8"/>
      <c r="D1160" s="10"/>
    </row>
    <row r="1161" spans="2:4">
      <c r="B1161" s="10"/>
      <c r="C1161" s="8"/>
      <c r="D1161" s="10"/>
    </row>
    <row r="1162" spans="2:4">
      <c r="B1162" s="10"/>
      <c r="C1162" s="8"/>
      <c r="D1162" s="8"/>
    </row>
    <row r="1163" spans="2:4">
      <c r="B1163" s="10"/>
      <c r="C1163" s="8"/>
      <c r="D1163" s="10"/>
    </row>
    <row r="1164" spans="2:4">
      <c r="B1164" s="10"/>
      <c r="C1164" s="8"/>
      <c r="D1164" s="10"/>
    </row>
    <row r="1165" spans="2:4">
      <c r="B1165" s="10"/>
      <c r="C1165" s="8"/>
      <c r="D1165" s="10"/>
    </row>
    <row r="1166" spans="2:4">
      <c r="B1166" s="10"/>
      <c r="C1166" s="8"/>
      <c r="D1166" s="10"/>
    </row>
    <row r="1167" spans="2:4">
      <c r="B1167" s="10"/>
      <c r="C1167" s="8"/>
      <c r="D1167" s="8"/>
    </row>
    <row r="1168" spans="2:4">
      <c r="B1168" s="10"/>
      <c r="C1168" s="8"/>
      <c r="D1168" s="10"/>
    </row>
    <row r="1169" spans="2:4">
      <c r="B1169" s="10"/>
      <c r="C1169" s="8"/>
      <c r="D1169" s="10"/>
    </row>
    <row r="1170" spans="2:4">
      <c r="B1170" s="10"/>
      <c r="C1170" s="8"/>
      <c r="D1170" s="10"/>
    </row>
    <row r="1171" spans="2:4">
      <c r="B1171" s="10"/>
      <c r="C1171" s="8"/>
      <c r="D1171" s="10"/>
    </row>
    <row r="1172" spans="2:4">
      <c r="B1172" s="10"/>
      <c r="C1172" s="8"/>
      <c r="D1172" s="8"/>
    </row>
    <row r="1173" spans="2:4">
      <c r="B1173" s="10"/>
      <c r="C1173" s="8"/>
      <c r="D1173" s="10"/>
    </row>
    <row r="1174" spans="2:4">
      <c r="B1174" s="10"/>
      <c r="C1174" s="8"/>
      <c r="D1174" s="10"/>
    </row>
    <row r="1175" spans="2:4">
      <c r="B1175" s="10"/>
      <c r="C1175" s="8"/>
      <c r="D1175" s="10"/>
    </row>
    <row r="1176" spans="2:4">
      <c r="B1176" s="10"/>
      <c r="C1176" s="8"/>
      <c r="D1176" s="10"/>
    </row>
    <row r="1177" spans="2:4">
      <c r="B1177" s="10"/>
      <c r="C1177" s="8"/>
      <c r="D1177" s="8"/>
    </row>
    <row r="1178" spans="2:4">
      <c r="B1178" s="10"/>
      <c r="C1178" s="8"/>
      <c r="D1178" s="10"/>
    </row>
    <row r="1179" spans="2:4">
      <c r="B1179" s="10"/>
      <c r="C1179" s="8"/>
      <c r="D1179" s="10"/>
    </row>
    <row r="1180" spans="2:4">
      <c r="B1180" s="10"/>
      <c r="C1180" s="8"/>
      <c r="D1180" s="10"/>
    </row>
    <row r="1181" spans="2:4">
      <c r="B1181" s="10"/>
      <c r="C1181" s="8"/>
      <c r="D1181" s="10"/>
    </row>
    <row r="1182" spans="2:4">
      <c r="B1182" s="10"/>
      <c r="C1182" s="8"/>
      <c r="D1182" s="8"/>
    </row>
    <row r="1183" spans="2:4">
      <c r="B1183" s="10"/>
      <c r="C1183" s="8"/>
      <c r="D1183" s="10"/>
    </row>
    <row r="1184" spans="2:4">
      <c r="B1184" s="10"/>
      <c r="C1184" s="8"/>
      <c r="D1184" s="10"/>
    </row>
    <row r="1185" spans="2:4">
      <c r="B1185" s="10"/>
      <c r="C1185" s="8"/>
      <c r="D1185" s="10"/>
    </row>
    <row r="1186" spans="2:4">
      <c r="B1186" s="10"/>
      <c r="C1186" s="8"/>
      <c r="D1186" s="10"/>
    </row>
    <row r="1187" spans="2:4">
      <c r="B1187" s="10"/>
      <c r="C1187" s="8"/>
      <c r="D1187" s="8"/>
    </row>
    <row r="1188" spans="2:4">
      <c r="B1188" s="10"/>
      <c r="C1188" s="8"/>
      <c r="D1188" s="10"/>
    </row>
    <row r="1189" spans="2:4">
      <c r="B1189" s="10"/>
      <c r="C1189" s="8"/>
      <c r="D1189" s="10"/>
    </row>
    <row r="1190" spans="2:4">
      <c r="B1190" s="10"/>
      <c r="C1190" s="8"/>
      <c r="D1190" s="10"/>
    </row>
    <row r="1191" spans="2:4">
      <c r="B1191" s="10"/>
      <c r="C1191" s="8"/>
      <c r="D1191" s="10"/>
    </row>
    <row r="1192" spans="2:4">
      <c r="B1192" s="10"/>
      <c r="C1192" s="8"/>
      <c r="D1192" s="8"/>
    </row>
    <row r="1193" spans="2:4">
      <c r="B1193" s="10"/>
      <c r="C1193" s="8"/>
      <c r="D1193" s="10"/>
    </row>
    <row r="1194" spans="2:4">
      <c r="B1194" s="10"/>
      <c r="C1194" s="8"/>
      <c r="D1194" s="10"/>
    </row>
    <row r="1195" spans="2:4">
      <c r="B1195" s="10"/>
      <c r="C1195" s="8"/>
      <c r="D1195" s="10"/>
    </row>
    <row r="1196" spans="2:4">
      <c r="B1196" s="10"/>
      <c r="C1196" s="8"/>
      <c r="D1196" s="10"/>
    </row>
    <row r="1197" spans="2:4">
      <c r="B1197" s="10"/>
      <c r="C1197" s="8"/>
      <c r="D1197" s="8"/>
    </row>
    <row r="1198" spans="2:4">
      <c r="B1198" s="10"/>
      <c r="C1198" s="8"/>
      <c r="D1198" s="10"/>
    </row>
    <row r="1199" spans="2:4">
      <c r="B1199" s="10"/>
      <c r="C1199" s="8"/>
      <c r="D1199" s="10"/>
    </row>
    <row r="1200" spans="2:4">
      <c r="B1200" s="10"/>
      <c r="C1200" s="8"/>
      <c r="D1200" s="10"/>
    </row>
    <row r="1201" spans="2:4">
      <c r="B1201" s="10"/>
      <c r="C1201" s="8"/>
      <c r="D1201" s="10"/>
    </row>
    <row r="1202" spans="2:4">
      <c r="B1202" s="10"/>
      <c r="C1202" s="8"/>
      <c r="D1202" s="8"/>
    </row>
    <row r="1203" spans="2:4">
      <c r="B1203" s="10"/>
      <c r="C1203" s="8"/>
      <c r="D1203" s="10"/>
    </row>
    <row r="1204" spans="2:4">
      <c r="B1204" s="10"/>
      <c r="C1204" s="8"/>
      <c r="D1204" s="10"/>
    </row>
    <row r="1205" spans="2:4">
      <c r="B1205" s="10"/>
      <c r="C1205" s="8"/>
      <c r="D1205" s="10"/>
    </row>
    <row r="1206" spans="2:4">
      <c r="B1206" s="10"/>
      <c r="C1206" s="8"/>
      <c r="D1206" s="10"/>
    </row>
    <row r="1207" spans="2:4">
      <c r="B1207" s="10"/>
      <c r="C1207" s="8"/>
      <c r="D1207" s="8"/>
    </row>
    <row r="1208" spans="2:4">
      <c r="B1208" s="10"/>
      <c r="C1208" s="8"/>
      <c r="D1208" s="10"/>
    </row>
    <row r="1209" spans="2:4">
      <c r="B1209" s="10"/>
      <c r="C1209" s="8"/>
      <c r="D1209" s="10"/>
    </row>
    <row r="1210" spans="2:4">
      <c r="B1210" s="10"/>
      <c r="C1210" s="8"/>
      <c r="D1210" s="10"/>
    </row>
    <row r="1211" spans="2:4">
      <c r="B1211" s="10"/>
      <c r="C1211" s="8"/>
      <c r="D1211" s="10"/>
    </row>
    <row r="1212" spans="2:4">
      <c r="B1212" s="10"/>
      <c r="C1212" s="8"/>
      <c r="D1212" s="8"/>
    </row>
    <row r="1213" spans="2:4">
      <c r="B1213" s="10"/>
      <c r="C1213" s="8"/>
      <c r="D1213" s="10"/>
    </row>
    <row r="1214" spans="2:4">
      <c r="B1214" s="10"/>
      <c r="C1214" s="8"/>
      <c r="D1214" s="10"/>
    </row>
    <row r="1215" spans="2:4">
      <c r="B1215" s="10"/>
      <c r="C1215" s="8"/>
      <c r="D1215" s="10"/>
    </row>
    <row r="1216" spans="2:4">
      <c r="B1216" s="10"/>
      <c r="C1216" s="8"/>
      <c r="D1216" s="10"/>
    </row>
    <row r="1217" spans="2:4">
      <c r="B1217" s="10"/>
      <c r="C1217" s="8"/>
      <c r="D1217" s="8"/>
    </row>
    <row r="1218" spans="2:4">
      <c r="B1218" s="10"/>
      <c r="C1218" s="8"/>
      <c r="D1218" s="10"/>
    </row>
    <row r="1219" spans="2:4">
      <c r="B1219" s="10"/>
      <c r="C1219" s="8"/>
      <c r="D1219" s="10"/>
    </row>
    <row r="1220" spans="2:4">
      <c r="B1220" s="10"/>
      <c r="C1220" s="8"/>
      <c r="D1220" s="10"/>
    </row>
    <row r="1221" spans="2:4">
      <c r="B1221" s="10"/>
      <c r="C1221" s="8"/>
      <c r="D1221" s="10"/>
    </row>
    <row r="1222" spans="2:4">
      <c r="B1222" s="10"/>
      <c r="C1222" s="8"/>
      <c r="D1222" s="8"/>
    </row>
    <row r="1223" spans="2:4">
      <c r="B1223" s="10"/>
      <c r="C1223" s="8"/>
      <c r="D1223" s="10"/>
    </row>
    <row r="1224" spans="2:4">
      <c r="B1224" s="10"/>
      <c r="C1224" s="8"/>
      <c r="D1224" s="10"/>
    </row>
    <row r="1225" spans="2:4">
      <c r="B1225" s="10"/>
      <c r="C1225" s="8"/>
      <c r="D1225" s="10"/>
    </row>
    <row r="1226" spans="2:4">
      <c r="B1226" s="10"/>
      <c r="C1226" s="8"/>
      <c r="D1226" s="10"/>
    </row>
    <row r="1227" spans="2:4">
      <c r="B1227" s="10"/>
      <c r="C1227" s="8"/>
      <c r="D1227" s="8"/>
    </row>
    <row r="1228" spans="2:4">
      <c r="B1228" s="10"/>
      <c r="C1228" s="8"/>
      <c r="D1228" s="10"/>
    </row>
    <row r="1229" spans="2:4">
      <c r="B1229" s="10"/>
      <c r="C1229" s="8"/>
      <c r="D1229" s="10"/>
    </row>
    <row r="1230" spans="2:4">
      <c r="B1230" s="10"/>
      <c r="C1230" s="8"/>
      <c r="D1230" s="10"/>
    </row>
    <row r="1231" spans="2:4">
      <c r="B1231" s="10"/>
      <c r="C1231" s="8"/>
      <c r="D1231" s="10"/>
    </row>
    <row r="1232" spans="2:4">
      <c r="B1232" s="10"/>
      <c r="C1232" s="8"/>
      <c r="D1232" s="8"/>
    </row>
    <row r="1233" spans="2:4">
      <c r="B1233" s="10"/>
      <c r="C1233" s="8"/>
      <c r="D1233" s="10"/>
    </row>
    <row r="1234" spans="2:4">
      <c r="B1234" s="10"/>
      <c r="C1234" s="8"/>
      <c r="D1234" s="10"/>
    </row>
    <row r="1235" spans="2:4">
      <c r="B1235" s="10"/>
      <c r="C1235" s="8"/>
      <c r="D1235" s="10"/>
    </row>
    <row r="1236" spans="2:4">
      <c r="B1236" s="10"/>
      <c r="C1236" s="8"/>
      <c r="D1236" s="10"/>
    </row>
    <row r="1237" spans="2:4">
      <c r="B1237" s="10"/>
      <c r="C1237" s="8"/>
      <c r="D1237" s="8"/>
    </row>
    <row r="1238" spans="2:4">
      <c r="B1238" s="10"/>
      <c r="C1238" s="8"/>
      <c r="D1238" s="10"/>
    </row>
    <row r="1239" spans="2:4">
      <c r="B1239" s="10"/>
      <c r="C1239" s="8"/>
      <c r="D1239" s="10"/>
    </row>
    <row r="1240" spans="2:4">
      <c r="B1240" s="10"/>
      <c r="C1240" s="8"/>
      <c r="D1240" s="10"/>
    </row>
    <row r="1241" spans="2:4">
      <c r="B1241" s="10"/>
      <c r="C1241" s="8"/>
      <c r="D1241" s="10"/>
    </row>
    <row r="1242" spans="2:4">
      <c r="B1242" s="10"/>
      <c r="C1242" s="8"/>
      <c r="D1242" s="8"/>
    </row>
    <row r="1243" spans="2:4">
      <c r="B1243" s="10"/>
      <c r="C1243" s="8"/>
      <c r="D1243" s="10"/>
    </row>
    <row r="1244" spans="2:4">
      <c r="B1244" s="10"/>
      <c r="C1244" s="8"/>
      <c r="D1244" s="10"/>
    </row>
    <row r="1245" spans="2:4">
      <c r="B1245" s="10"/>
      <c r="C1245" s="8"/>
      <c r="D1245" s="10"/>
    </row>
    <row r="1246" spans="2:4">
      <c r="B1246" s="10"/>
      <c r="C1246" s="8"/>
      <c r="D1246" s="10"/>
    </row>
    <row r="1247" spans="2:4">
      <c r="B1247" s="10"/>
      <c r="C1247" s="8"/>
      <c r="D1247" s="8"/>
    </row>
    <row r="1248" spans="2:4">
      <c r="B1248" s="10"/>
      <c r="C1248" s="8"/>
      <c r="D1248" s="10"/>
    </row>
    <row r="1249" spans="2:4">
      <c r="B1249" s="10"/>
      <c r="C1249" s="8"/>
      <c r="D1249" s="10"/>
    </row>
    <row r="1250" spans="2:4">
      <c r="B1250" s="10"/>
      <c r="C1250" s="8"/>
      <c r="D1250" s="10"/>
    </row>
    <row r="1251" spans="2:4">
      <c r="B1251" s="10"/>
      <c r="C1251" s="8"/>
      <c r="D1251" s="10"/>
    </row>
    <row r="1252" spans="2:4">
      <c r="B1252" s="10"/>
      <c r="C1252" s="8"/>
      <c r="D1252" s="8"/>
    </row>
    <row r="1253" spans="2:4">
      <c r="B1253" s="10"/>
      <c r="C1253" s="8"/>
      <c r="D1253" s="10"/>
    </row>
    <row r="1254" spans="2:4">
      <c r="B1254" s="10"/>
      <c r="C1254" s="8"/>
      <c r="D1254" s="10"/>
    </row>
    <row r="1255" spans="2:4">
      <c r="B1255" s="10"/>
      <c r="C1255" s="8"/>
      <c r="D1255" s="10"/>
    </row>
    <row r="1256" spans="2:4">
      <c r="B1256" s="10"/>
      <c r="C1256" s="8"/>
      <c r="D1256" s="10"/>
    </row>
    <row r="1257" spans="2:4">
      <c r="B1257" s="10"/>
      <c r="C1257" s="8"/>
      <c r="D1257" s="8"/>
    </row>
    <row r="1258" spans="2:4">
      <c r="B1258" s="10"/>
      <c r="C1258" s="8"/>
      <c r="D1258" s="10"/>
    </row>
    <row r="1259" spans="2:4">
      <c r="B1259" s="10"/>
      <c r="C1259" s="8"/>
      <c r="D1259" s="10"/>
    </row>
    <row r="1260" spans="2:4">
      <c r="B1260" s="10"/>
      <c r="C1260" s="8"/>
      <c r="D1260" s="10"/>
    </row>
    <row r="1261" spans="2:4">
      <c r="B1261" s="10"/>
      <c r="C1261" s="8"/>
      <c r="D1261" s="10"/>
    </row>
    <row r="1262" spans="2:4">
      <c r="B1262" s="10"/>
      <c r="C1262" s="8"/>
      <c r="D1262" s="8"/>
    </row>
    <row r="1263" spans="2:4">
      <c r="B1263" s="10"/>
      <c r="C1263" s="8"/>
      <c r="D1263" s="10"/>
    </row>
    <row r="1264" spans="2:4">
      <c r="B1264" s="10"/>
      <c r="C1264" s="8"/>
      <c r="D1264" s="10"/>
    </row>
    <row r="1265" spans="2:4">
      <c r="B1265" s="10"/>
      <c r="C1265" s="8"/>
      <c r="D1265" s="10"/>
    </row>
    <row r="1266" spans="2:4">
      <c r="B1266" s="10"/>
      <c r="C1266" s="8"/>
      <c r="D1266" s="10"/>
    </row>
    <row r="1267" spans="2:4">
      <c r="B1267" s="10"/>
      <c r="C1267" s="8"/>
      <c r="D1267" s="8"/>
    </row>
    <row r="1268" spans="2:4">
      <c r="B1268" s="10"/>
      <c r="C1268" s="8"/>
      <c r="D1268" s="10"/>
    </row>
    <row r="1269" spans="2:4">
      <c r="B1269" s="10"/>
      <c r="C1269" s="8"/>
      <c r="D1269" s="10"/>
    </row>
    <row r="1270" spans="2:4">
      <c r="B1270" s="10"/>
      <c r="C1270" s="8"/>
      <c r="D1270" s="10"/>
    </row>
    <row r="1271" spans="2:4">
      <c r="B1271" s="10"/>
      <c r="C1271" s="8"/>
      <c r="D1271" s="10"/>
    </row>
    <row r="1272" spans="2:4">
      <c r="B1272" s="10"/>
      <c r="C1272" s="8"/>
      <c r="D1272" s="8"/>
    </row>
    <row r="1273" spans="2:4">
      <c r="B1273" s="10"/>
      <c r="C1273" s="8"/>
      <c r="D1273" s="10"/>
    </row>
    <row r="1274" spans="2:4">
      <c r="B1274" s="10"/>
      <c r="C1274" s="8"/>
      <c r="D1274" s="10"/>
    </row>
    <row r="1275" spans="2:4">
      <c r="B1275" s="10"/>
      <c r="C1275" s="8"/>
      <c r="D1275" s="10"/>
    </row>
    <row r="1276" spans="2:4">
      <c r="B1276" s="10"/>
      <c r="C1276" s="8"/>
      <c r="D1276" s="10"/>
    </row>
    <row r="1277" spans="2:4">
      <c r="B1277" s="10"/>
      <c r="C1277" s="8"/>
      <c r="D1277" s="8"/>
    </row>
    <row r="1278" spans="2:4">
      <c r="B1278" s="10"/>
      <c r="C1278" s="8"/>
      <c r="D1278" s="10"/>
    </row>
    <row r="1279" spans="2:4">
      <c r="B1279" s="10"/>
      <c r="C1279" s="8"/>
      <c r="D1279" s="10"/>
    </row>
    <row r="1280" spans="2:4">
      <c r="B1280" s="10"/>
      <c r="C1280" s="8"/>
      <c r="D1280" s="10"/>
    </row>
    <row r="1281" spans="2:4">
      <c r="B1281" s="10"/>
      <c r="C1281" s="8"/>
      <c r="D1281" s="10"/>
    </row>
    <row r="1282" spans="2:4">
      <c r="B1282" s="10"/>
      <c r="C1282" s="8"/>
      <c r="D1282" s="8"/>
    </row>
    <row r="1283" spans="2:4">
      <c r="B1283" s="10"/>
      <c r="C1283" s="8"/>
      <c r="D1283" s="10"/>
    </row>
    <row r="1284" spans="2:4">
      <c r="B1284" s="10"/>
      <c r="C1284" s="8"/>
      <c r="D1284" s="10"/>
    </row>
    <row r="1285" spans="2:4">
      <c r="B1285" s="10"/>
      <c r="C1285" s="8"/>
      <c r="D1285" s="10"/>
    </row>
    <row r="1286" spans="2:4">
      <c r="B1286" s="10"/>
      <c r="C1286" s="8"/>
      <c r="D1286" s="10"/>
    </row>
    <row r="1287" spans="2:4">
      <c r="B1287" s="10"/>
      <c r="C1287" s="8"/>
      <c r="D1287" s="8"/>
    </row>
    <row r="1288" spans="2:4">
      <c r="B1288" s="10"/>
      <c r="C1288" s="8"/>
      <c r="D1288" s="10"/>
    </row>
    <row r="1289" spans="2:4">
      <c r="B1289" s="10"/>
      <c r="C1289" s="8"/>
      <c r="D1289" s="10"/>
    </row>
    <row r="1290" spans="2:4">
      <c r="B1290" s="10"/>
      <c r="C1290" s="8"/>
      <c r="D1290" s="10"/>
    </row>
    <row r="1291" spans="2:4">
      <c r="B1291" s="10"/>
      <c r="C1291" s="8"/>
      <c r="D1291" s="10"/>
    </row>
    <row r="1292" spans="2:4">
      <c r="B1292" s="10"/>
      <c r="C1292" s="8"/>
      <c r="D1292" s="8"/>
    </row>
    <row r="1293" spans="2:4">
      <c r="B1293" s="10"/>
      <c r="C1293" s="8"/>
      <c r="D1293" s="10"/>
    </row>
    <row r="1294" spans="2:4">
      <c r="B1294" s="10"/>
      <c r="C1294" s="8"/>
      <c r="D1294" s="10"/>
    </row>
    <row r="1295" spans="2:4">
      <c r="B1295" s="10"/>
      <c r="C1295" s="8"/>
      <c r="D1295" s="10"/>
    </row>
    <row r="1296" spans="2:4">
      <c r="B1296" s="10"/>
      <c r="C1296" s="8"/>
      <c r="D1296" s="10"/>
    </row>
    <row r="1297" spans="2:4">
      <c r="B1297" s="10"/>
      <c r="C1297" s="8"/>
      <c r="D1297" s="8"/>
    </row>
    <row r="1298" spans="2:4">
      <c r="B1298" s="10"/>
      <c r="C1298" s="8"/>
      <c r="D1298" s="10"/>
    </row>
    <row r="1299" spans="2:4">
      <c r="B1299" s="10"/>
      <c r="C1299" s="8"/>
      <c r="D1299" s="10"/>
    </row>
    <row r="1300" spans="2:4">
      <c r="B1300" s="10"/>
      <c r="C1300" s="8"/>
      <c r="D1300" s="10"/>
    </row>
    <row r="1301" spans="2:4">
      <c r="B1301" s="10"/>
      <c r="C1301" s="8"/>
      <c r="D1301" s="10"/>
    </row>
    <row r="1302" spans="2:4">
      <c r="B1302" s="10"/>
      <c r="C1302" s="8"/>
      <c r="D1302" s="8"/>
    </row>
    <row r="1303" spans="2:4">
      <c r="B1303" s="10"/>
      <c r="C1303" s="8"/>
      <c r="D1303" s="10"/>
    </row>
    <row r="1304" spans="2:4">
      <c r="B1304" s="10"/>
      <c r="C1304" s="8"/>
      <c r="D1304" s="10"/>
    </row>
    <row r="1305" spans="2:4">
      <c r="B1305" s="10"/>
      <c r="C1305" s="8"/>
      <c r="D1305" s="10"/>
    </row>
    <row r="1306" spans="2:4">
      <c r="B1306" s="10"/>
      <c r="C1306" s="8"/>
      <c r="D1306" s="10"/>
    </row>
    <row r="1307" spans="2:4">
      <c r="B1307" s="10"/>
      <c r="C1307" s="8"/>
      <c r="D1307" s="8"/>
    </row>
    <row r="1308" spans="2:4">
      <c r="B1308" s="10"/>
      <c r="C1308" s="8"/>
      <c r="D1308" s="10"/>
    </row>
    <row r="1309" spans="2:4">
      <c r="B1309" s="10"/>
      <c r="C1309" s="8"/>
      <c r="D1309" s="10"/>
    </row>
    <row r="1310" spans="2:4">
      <c r="B1310" s="10"/>
      <c r="C1310" s="8"/>
      <c r="D1310" s="10"/>
    </row>
    <row r="1311" spans="2:4">
      <c r="B1311" s="10"/>
      <c r="C1311" s="8"/>
      <c r="D1311" s="10"/>
    </row>
    <row r="1312" spans="2:4">
      <c r="B1312" s="10"/>
      <c r="C1312" s="8"/>
      <c r="D1312" s="8"/>
    </row>
    <row r="1313" spans="2:4">
      <c r="B1313" s="10"/>
      <c r="C1313" s="8"/>
      <c r="D1313" s="10"/>
    </row>
    <row r="1314" spans="2:4">
      <c r="B1314" s="10"/>
      <c r="C1314" s="8"/>
      <c r="D1314" s="10"/>
    </row>
    <row r="1315" spans="2:4">
      <c r="B1315" s="10"/>
      <c r="C1315" s="8"/>
      <c r="D1315" s="10"/>
    </row>
    <row r="1316" spans="2:4">
      <c r="B1316" s="10"/>
      <c r="C1316" s="8"/>
      <c r="D1316" s="10"/>
    </row>
    <row r="1317" spans="2:4">
      <c r="B1317" s="10"/>
      <c r="C1317" s="8"/>
      <c r="D1317" s="8"/>
    </row>
    <row r="1318" spans="2:4">
      <c r="B1318" s="10"/>
      <c r="C1318" s="8"/>
      <c r="D1318" s="10"/>
    </row>
    <row r="1319" spans="2:4">
      <c r="B1319" s="10"/>
      <c r="C1319" s="8"/>
      <c r="D1319" s="10"/>
    </row>
    <row r="1320" spans="2:4">
      <c r="B1320" s="10"/>
      <c r="C1320" s="8"/>
      <c r="D1320" s="10"/>
    </row>
    <row r="1321" spans="2:4">
      <c r="B1321" s="10"/>
      <c r="C1321" s="8"/>
      <c r="D1321" s="10"/>
    </row>
    <row r="1322" spans="2:4">
      <c r="B1322" s="10"/>
      <c r="C1322" s="8"/>
      <c r="D1322" s="8"/>
    </row>
    <row r="1323" spans="2:4">
      <c r="B1323" s="10"/>
      <c r="C1323" s="8"/>
      <c r="D1323" s="10"/>
    </row>
    <row r="1324" spans="2:4">
      <c r="B1324" s="10"/>
      <c r="C1324" s="8"/>
      <c r="D1324" s="10"/>
    </row>
    <row r="1325" spans="2:4">
      <c r="B1325" s="10"/>
      <c r="C1325" s="8"/>
      <c r="D1325" s="10"/>
    </row>
    <row r="1326" spans="2:4">
      <c r="B1326" s="10"/>
      <c r="C1326" s="8"/>
      <c r="D1326" s="10"/>
    </row>
    <row r="1327" spans="2:4">
      <c r="B1327" s="10"/>
      <c r="C1327" s="8"/>
      <c r="D1327" s="8"/>
    </row>
    <row r="1328" spans="2:4">
      <c r="B1328" s="10"/>
      <c r="C1328" s="8"/>
      <c r="D1328" s="10"/>
    </row>
    <row r="1329" spans="2:4">
      <c r="B1329" s="10"/>
      <c r="C1329" s="8"/>
      <c r="D1329" s="10"/>
    </row>
    <row r="1330" spans="2:4">
      <c r="B1330" s="10"/>
      <c r="C1330" s="8"/>
      <c r="D1330" s="10"/>
    </row>
    <row r="1331" spans="2:4">
      <c r="B1331" s="10"/>
      <c r="C1331" s="8"/>
      <c r="D1331" s="10"/>
    </row>
    <row r="1332" spans="2:4">
      <c r="B1332" s="10"/>
      <c r="C1332" s="8"/>
      <c r="D1332" s="8"/>
    </row>
    <row r="1333" spans="2:4">
      <c r="B1333" s="10"/>
      <c r="C1333" s="8"/>
      <c r="D1333" s="10"/>
    </row>
    <row r="1334" spans="2:4">
      <c r="B1334" s="10"/>
      <c r="C1334" s="8"/>
      <c r="D1334" s="10"/>
    </row>
    <row r="1335" spans="2:4">
      <c r="B1335" s="10"/>
      <c r="C1335" s="8"/>
      <c r="D1335" s="10"/>
    </row>
    <row r="1336" spans="2:4">
      <c r="B1336" s="10"/>
      <c r="C1336" s="8"/>
      <c r="D1336" s="10"/>
    </row>
    <row r="1337" spans="2:4">
      <c r="B1337" s="10"/>
      <c r="C1337" s="8"/>
      <c r="D1337" s="8"/>
    </row>
    <row r="1338" spans="2:4">
      <c r="B1338" s="10"/>
      <c r="C1338" s="8"/>
      <c r="D1338" s="10"/>
    </row>
    <row r="1339" spans="2:4">
      <c r="B1339" s="10"/>
      <c r="C1339" s="8"/>
      <c r="D1339" s="10"/>
    </row>
    <row r="1340" spans="2:4">
      <c r="B1340" s="10"/>
      <c r="C1340" s="8"/>
      <c r="D1340" s="10"/>
    </row>
    <row r="1341" spans="2:4">
      <c r="B1341" s="10"/>
      <c r="C1341" s="8"/>
      <c r="D1341" s="10"/>
    </row>
    <row r="1342" spans="2:4">
      <c r="B1342" s="10"/>
      <c r="C1342" s="8"/>
      <c r="D1342" s="8"/>
    </row>
    <row r="1343" spans="2:4">
      <c r="B1343" s="10"/>
      <c r="C1343" s="8"/>
      <c r="D1343" s="10"/>
    </row>
    <row r="1344" spans="2:4">
      <c r="B1344" s="10"/>
      <c r="C1344" s="8"/>
      <c r="D1344" s="10"/>
    </row>
    <row r="1345" spans="2:4">
      <c r="B1345" s="10"/>
      <c r="C1345" s="8"/>
      <c r="D1345" s="10"/>
    </row>
    <row r="1346" spans="2:4">
      <c r="B1346" s="10"/>
      <c r="C1346" s="8"/>
      <c r="D1346" s="10"/>
    </row>
    <row r="1347" spans="2:4">
      <c r="B1347" s="10"/>
      <c r="C1347" s="8"/>
      <c r="D1347" s="8"/>
    </row>
    <row r="1348" spans="2:4">
      <c r="B1348" s="10"/>
      <c r="C1348" s="8"/>
      <c r="D1348" s="10"/>
    </row>
    <row r="1349" spans="2:4">
      <c r="B1349" s="10"/>
      <c r="C1349" s="8"/>
      <c r="D1349" s="10"/>
    </row>
    <row r="1350" spans="2:4">
      <c r="B1350" s="10"/>
      <c r="C1350" s="8"/>
      <c r="D1350" s="10"/>
    </row>
    <row r="1351" spans="2:4">
      <c r="B1351" s="10"/>
      <c r="C1351" s="8"/>
      <c r="D1351" s="10"/>
    </row>
    <row r="1352" spans="2:4">
      <c r="B1352" s="10"/>
      <c r="C1352" s="8"/>
      <c r="D1352" s="8"/>
    </row>
    <row r="1353" spans="2:4">
      <c r="B1353" s="10"/>
      <c r="C1353" s="8"/>
      <c r="D1353" s="10"/>
    </row>
    <row r="1354" spans="2:4">
      <c r="B1354" s="10"/>
      <c r="C1354" s="8"/>
      <c r="D1354" s="10"/>
    </row>
    <row r="1355" spans="2:4">
      <c r="B1355" s="10"/>
      <c r="C1355" s="8"/>
      <c r="D1355" s="10"/>
    </row>
    <row r="1356" spans="2:4">
      <c r="B1356" s="10"/>
      <c r="C1356" s="8"/>
      <c r="D1356" s="10"/>
    </row>
    <row r="1357" spans="2:4">
      <c r="B1357" s="10"/>
      <c r="C1357" s="8"/>
      <c r="D1357" s="8"/>
    </row>
    <row r="1358" spans="2:4">
      <c r="B1358" s="10"/>
      <c r="C1358" s="8"/>
      <c r="D1358" s="10"/>
    </row>
    <row r="1359" spans="2:4">
      <c r="B1359" s="10"/>
      <c r="C1359" s="8"/>
      <c r="D1359" s="10"/>
    </row>
    <row r="1360" spans="2:4">
      <c r="B1360" s="10"/>
      <c r="C1360" s="8"/>
      <c r="D1360" s="10"/>
    </row>
    <row r="1361" spans="2:4">
      <c r="B1361" s="10"/>
      <c r="C1361" s="8"/>
      <c r="D1361" s="10"/>
    </row>
    <row r="1362" spans="2:4">
      <c r="B1362" s="10"/>
      <c r="C1362" s="8"/>
      <c r="D1362" s="8"/>
    </row>
    <row r="1363" spans="2:4">
      <c r="B1363" s="10"/>
      <c r="C1363" s="8"/>
      <c r="D1363" s="10"/>
    </row>
    <row r="1364" spans="2:4">
      <c r="B1364" s="10"/>
      <c r="C1364" s="8"/>
      <c r="D1364" s="10"/>
    </row>
    <row r="1365" spans="2:4">
      <c r="B1365" s="10"/>
      <c r="C1365" s="8"/>
      <c r="D1365" s="10"/>
    </row>
    <row r="1366" spans="2:4">
      <c r="B1366" s="10"/>
      <c r="C1366" s="8"/>
      <c r="D1366" s="10"/>
    </row>
    <row r="1367" spans="2:4">
      <c r="B1367" s="10"/>
      <c r="C1367" s="8"/>
      <c r="D1367" s="8"/>
    </row>
    <row r="1368" spans="2:4">
      <c r="B1368" s="10"/>
      <c r="C1368" s="8"/>
      <c r="D1368" s="10"/>
    </row>
    <row r="1369" spans="2:4">
      <c r="B1369" s="10"/>
      <c r="C1369" s="8"/>
      <c r="D1369" s="10"/>
    </row>
    <row r="1370" spans="2:4">
      <c r="B1370" s="10"/>
      <c r="C1370" s="8"/>
      <c r="D1370" s="10"/>
    </row>
    <row r="1371" spans="2:4">
      <c r="B1371" s="10"/>
      <c r="C1371" s="8"/>
      <c r="D1371" s="10"/>
    </row>
    <row r="1372" spans="2:4">
      <c r="B1372" s="10"/>
      <c r="C1372" s="8"/>
      <c r="D1372" s="8"/>
    </row>
    <row r="1373" spans="2:4">
      <c r="B1373" s="10"/>
      <c r="C1373" s="8"/>
      <c r="D1373" s="10"/>
    </row>
    <row r="1374" spans="2:4">
      <c r="B1374" s="10"/>
      <c r="C1374" s="8"/>
      <c r="D1374" s="10"/>
    </row>
    <row r="1375" spans="2:4">
      <c r="B1375" s="10"/>
      <c r="C1375" s="8"/>
      <c r="D1375" s="10"/>
    </row>
    <row r="1376" spans="2:4">
      <c r="B1376" s="10"/>
      <c r="C1376" s="8"/>
      <c r="D1376" s="10"/>
    </row>
    <row r="1377" spans="2:4">
      <c r="B1377" s="10"/>
      <c r="C1377" s="8"/>
      <c r="D1377" s="8"/>
    </row>
    <row r="1378" spans="2:4">
      <c r="B1378" s="10"/>
      <c r="C1378" s="8"/>
      <c r="D1378" s="10"/>
    </row>
    <row r="1379" spans="2:4">
      <c r="B1379" s="10"/>
      <c r="C1379" s="8"/>
      <c r="D1379" s="10"/>
    </row>
    <row r="1380" spans="2:4">
      <c r="B1380" s="10"/>
      <c r="C1380" s="8"/>
      <c r="D1380" s="10"/>
    </row>
    <row r="1381" spans="2:4">
      <c r="B1381" s="10"/>
      <c r="C1381" s="8"/>
      <c r="D1381" s="10"/>
    </row>
    <row r="1382" spans="2:4">
      <c r="B1382" s="10"/>
      <c r="C1382" s="8"/>
      <c r="D1382" s="8"/>
    </row>
    <row r="1383" spans="2:4">
      <c r="B1383" s="10"/>
      <c r="C1383" s="8"/>
      <c r="D1383" s="10"/>
    </row>
    <row r="1384" spans="2:4">
      <c r="B1384" s="10"/>
      <c r="C1384" s="8"/>
      <c r="D1384" s="10"/>
    </row>
    <row r="1385" spans="2:4">
      <c r="B1385" s="10"/>
      <c r="C1385" s="8"/>
      <c r="D1385" s="10"/>
    </row>
    <row r="1386" spans="2:4">
      <c r="B1386" s="10"/>
      <c r="C1386" s="8"/>
      <c r="D1386" s="10"/>
    </row>
    <row r="1387" spans="2:4">
      <c r="B1387" s="10"/>
      <c r="C1387" s="8"/>
      <c r="D1387" s="8"/>
    </row>
    <row r="1388" spans="2:4">
      <c r="B1388" s="10"/>
      <c r="C1388" s="8"/>
      <c r="D1388" s="10"/>
    </row>
    <row r="1389" spans="2:4">
      <c r="B1389" s="10"/>
      <c r="C1389" s="8"/>
      <c r="D1389" s="10"/>
    </row>
    <row r="1390" spans="2:4">
      <c r="B1390" s="10"/>
      <c r="C1390" s="8"/>
      <c r="D1390" s="10"/>
    </row>
    <row r="1391" spans="2:4">
      <c r="B1391" s="10"/>
      <c r="C1391" s="8"/>
      <c r="D1391" s="10"/>
    </row>
    <row r="1392" spans="2:4">
      <c r="B1392" s="10"/>
      <c r="C1392" s="8"/>
      <c r="D1392" s="8"/>
    </row>
    <row r="1393" spans="2:4">
      <c r="B1393" s="10"/>
      <c r="C1393" s="8"/>
      <c r="D1393" s="10"/>
    </row>
    <row r="1394" spans="2:4">
      <c r="B1394" s="10"/>
      <c r="C1394" s="8"/>
      <c r="D1394" s="10"/>
    </row>
    <row r="1395" spans="2:4">
      <c r="B1395" s="10"/>
      <c r="C1395" s="8"/>
      <c r="D1395" s="10"/>
    </row>
    <row r="1396" spans="2:4">
      <c r="B1396" s="10"/>
      <c r="C1396" s="8"/>
      <c r="D1396" s="10"/>
    </row>
    <row r="1397" spans="2:4">
      <c r="B1397" s="10"/>
      <c r="C1397" s="8"/>
      <c r="D1397" s="8"/>
    </row>
    <row r="1398" spans="2:4">
      <c r="B1398" s="10"/>
      <c r="C1398" s="8"/>
      <c r="D1398" s="10"/>
    </row>
    <row r="1399" spans="2:4">
      <c r="B1399" s="10"/>
      <c r="C1399" s="8"/>
      <c r="D1399" s="10"/>
    </row>
    <row r="1400" spans="2:4">
      <c r="B1400" s="10"/>
      <c r="C1400" s="8"/>
      <c r="D1400" s="10"/>
    </row>
    <row r="1401" spans="2:4">
      <c r="B1401" s="10"/>
      <c r="C1401" s="8"/>
      <c r="D1401" s="10"/>
    </row>
    <row r="1402" spans="2:4">
      <c r="B1402" s="10"/>
      <c r="C1402" s="8"/>
      <c r="D1402" s="8"/>
    </row>
    <row r="1403" spans="2:4">
      <c r="B1403" s="10"/>
      <c r="C1403" s="8"/>
      <c r="D1403" s="10"/>
    </row>
    <row r="1404" spans="2:4">
      <c r="B1404" s="10"/>
      <c r="C1404" s="8"/>
      <c r="D1404" s="10"/>
    </row>
    <row r="1405" spans="2:4">
      <c r="B1405" s="10"/>
      <c r="C1405" s="8"/>
      <c r="D1405" s="10"/>
    </row>
    <row r="1406" spans="2:4">
      <c r="B1406" s="10"/>
      <c r="C1406" s="8"/>
      <c r="D1406" s="10"/>
    </row>
    <row r="1407" spans="2:4">
      <c r="B1407" s="10"/>
      <c r="C1407" s="8"/>
      <c r="D1407" s="8"/>
    </row>
    <row r="1408" spans="2:4">
      <c r="B1408" s="10"/>
      <c r="C1408" s="8"/>
      <c r="D1408" s="10"/>
    </row>
    <row r="1409" spans="2:4">
      <c r="B1409" s="10"/>
      <c r="C1409" s="8"/>
      <c r="D1409" s="10"/>
    </row>
    <row r="1410" spans="2:4">
      <c r="B1410" s="10"/>
      <c r="C1410" s="8"/>
      <c r="D1410" s="10"/>
    </row>
    <row r="1411" spans="2:4">
      <c r="B1411" s="10"/>
      <c r="C1411" s="8"/>
      <c r="D1411" s="10"/>
    </row>
    <row r="1412" spans="2:4">
      <c r="B1412" s="10"/>
      <c r="C1412" s="8"/>
      <c r="D1412" s="8"/>
    </row>
    <row r="1413" spans="2:4">
      <c r="B1413" s="10"/>
      <c r="C1413" s="8"/>
      <c r="D1413" s="10"/>
    </row>
    <row r="1414" spans="2:4">
      <c r="B1414" s="10"/>
      <c r="C1414" s="8"/>
      <c r="D1414" s="10"/>
    </row>
    <row r="1415" spans="2:4">
      <c r="B1415" s="10"/>
      <c r="C1415" s="8"/>
      <c r="D1415" s="10"/>
    </row>
    <row r="1416" spans="2:4">
      <c r="B1416" s="10"/>
      <c r="C1416" s="8"/>
      <c r="D1416" s="10"/>
    </row>
    <row r="1417" spans="2:4">
      <c r="B1417" s="10"/>
      <c r="C1417" s="8"/>
      <c r="D1417" s="8"/>
    </row>
    <row r="1418" spans="2:4">
      <c r="B1418" s="10"/>
      <c r="C1418" s="8"/>
      <c r="D1418" s="10"/>
    </row>
    <row r="1419" spans="2:4">
      <c r="B1419" s="10"/>
      <c r="C1419" s="8"/>
      <c r="D1419" s="10"/>
    </row>
    <row r="1420" spans="2:4">
      <c r="B1420" s="10"/>
      <c r="C1420" s="8"/>
      <c r="D1420" s="10"/>
    </row>
    <row r="1421" spans="2:4">
      <c r="B1421" s="10"/>
      <c r="C1421" s="8"/>
      <c r="D1421" s="10"/>
    </row>
    <row r="1422" spans="2:4">
      <c r="B1422" s="10"/>
      <c r="C1422" s="8"/>
      <c r="D1422" s="8"/>
    </row>
    <row r="1423" spans="2:4">
      <c r="B1423" s="10"/>
      <c r="C1423" s="8"/>
      <c r="D1423" s="10"/>
    </row>
    <row r="1424" spans="2:4">
      <c r="B1424" s="10"/>
      <c r="C1424" s="8"/>
      <c r="D1424" s="10"/>
    </row>
    <row r="1425" spans="2:4">
      <c r="B1425" s="10"/>
      <c r="C1425" s="8"/>
      <c r="D1425" s="10"/>
    </row>
    <row r="1426" spans="2:4">
      <c r="B1426" s="10"/>
      <c r="C1426" s="8"/>
      <c r="D1426" s="10"/>
    </row>
    <row r="1427" spans="2:4">
      <c r="B1427" s="10"/>
      <c r="C1427" s="8"/>
      <c r="D1427" s="8"/>
    </row>
    <row r="1428" spans="2:4">
      <c r="B1428" s="10"/>
      <c r="C1428" s="8"/>
      <c r="D1428" s="10"/>
    </row>
    <row r="1429" spans="2:4">
      <c r="B1429" s="10"/>
      <c r="C1429" s="8"/>
      <c r="D1429" s="10"/>
    </row>
    <row r="1430" spans="2:4">
      <c r="B1430" s="10"/>
      <c r="C1430" s="8"/>
      <c r="D1430" s="10"/>
    </row>
    <row r="1431" spans="2:4">
      <c r="B1431" s="10"/>
      <c r="C1431" s="8"/>
      <c r="D1431" s="10"/>
    </row>
    <row r="1432" spans="2:4">
      <c r="B1432" s="10"/>
      <c r="C1432" s="8"/>
      <c r="D1432" s="8"/>
    </row>
    <row r="1433" spans="2:4">
      <c r="B1433" s="10"/>
      <c r="C1433" s="8"/>
      <c r="D1433" s="10"/>
    </row>
    <row r="1434" spans="2:4">
      <c r="B1434" s="10"/>
      <c r="C1434" s="8"/>
      <c r="D1434" s="10"/>
    </row>
    <row r="1435" spans="2:4">
      <c r="B1435" s="10"/>
      <c r="C1435" s="8"/>
      <c r="D1435" s="10"/>
    </row>
    <row r="1436" spans="2:4">
      <c r="B1436" s="10"/>
      <c r="C1436" s="8"/>
      <c r="D1436" s="10"/>
    </row>
    <row r="1437" spans="2:4">
      <c r="B1437" s="10"/>
      <c r="C1437" s="8"/>
      <c r="D1437" s="8"/>
    </row>
    <row r="1438" spans="2:4">
      <c r="B1438" s="10"/>
      <c r="C1438" s="8"/>
      <c r="D1438" s="10"/>
    </row>
    <row r="1439" spans="2:4">
      <c r="B1439" s="10"/>
      <c r="C1439" s="8"/>
      <c r="D1439" s="10"/>
    </row>
    <row r="1440" spans="2:4">
      <c r="B1440" s="10"/>
      <c r="C1440" s="8"/>
      <c r="D1440" s="10"/>
    </row>
    <row r="1441" spans="2:4">
      <c r="B1441" s="10"/>
      <c r="C1441" s="8"/>
      <c r="D1441" s="10"/>
    </row>
    <row r="1442" spans="2:4">
      <c r="B1442" s="10"/>
      <c r="C1442" s="8"/>
      <c r="D1442" s="8"/>
    </row>
    <row r="1443" spans="2:4">
      <c r="B1443" s="10"/>
      <c r="C1443" s="8"/>
      <c r="D1443" s="10"/>
    </row>
    <row r="1444" spans="2:4">
      <c r="B1444" s="10"/>
      <c r="C1444" s="8"/>
      <c r="D1444" s="10"/>
    </row>
    <row r="1445" spans="2:4">
      <c r="B1445" s="10"/>
      <c r="C1445" s="8"/>
      <c r="D1445" s="10"/>
    </row>
    <row r="1446" spans="2:4">
      <c r="B1446" s="10"/>
      <c r="C1446" s="8"/>
      <c r="D1446" s="10"/>
    </row>
    <row r="1447" spans="2:4">
      <c r="B1447" s="10"/>
      <c r="C1447" s="8"/>
      <c r="D1447" s="8"/>
    </row>
    <row r="1448" spans="2:4">
      <c r="B1448" s="10"/>
      <c r="C1448" s="8"/>
      <c r="D1448" s="10"/>
    </row>
    <row r="1449" spans="2:4">
      <c r="B1449" s="10"/>
      <c r="C1449" s="8"/>
      <c r="D1449" s="10"/>
    </row>
    <row r="1450" spans="2:4">
      <c r="B1450" s="10"/>
      <c r="C1450" s="8"/>
      <c r="D1450" s="10"/>
    </row>
    <row r="1451" spans="2:4">
      <c r="B1451" s="10"/>
      <c r="C1451" s="8"/>
      <c r="D1451" s="10"/>
    </row>
    <row r="1452" spans="2:4">
      <c r="B1452" s="10"/>
      <c r="C1452" s="8"/>
      <c r="D1452" s="8"/>
    </row>
    <row r="1453" spans="2:4">
      <c r="B1453" s="10"/>
      <c r="C1453" s="8"/>
      <c r="D1453" s="10"/>
    </row>
    <row r="1454" spans="2:4">
      <c r="B1454" s="10"/>
      <c r="C1454" s="8"/>
      <c r="D1454" s="10"/>
    </row>
    <row r="1455" spans="2:4">
      <c r="B1455" s="10"/>
      <c r="C1455" s="8"/>
      <c r="D1455" s="10"/>
    </row>
    <row r="1456" spans="2:4">
      <c r="B1456" s="10"/>
      <c r="C1456" s="8"/>
      <c r="D1456" s="10"/>
    </row>
    <row r="1457" spans="2:4">
      <c r="B1457" s="10"/>
      <c r="C1457" s="8"/>
      <c r="D1457" s="8"/>
    </row>
    <row r="1458" spans="2:4">
      <c r="B1458" s="10"/>
      <c r="C1458" s="8"/>
      <c r="D1458" s="10"/>
    </row>
    <row r="1459" spans="2:4">
      <c r="B1459" s="10"/>
      <c r="C1459" s="8"/>
      <c r="D1459" s="10"/>
    </row>
    <row r="1460" spans="2:4">
      <c r="B1460" s="10"/>
      <c r="C1460" s="8"/>
      <c r="D1460" s="10"/>
    </row>
    <row r="1461" spans="2:4">
      <c r="B1461" s="10"/>
      <c r="C1461" s="8"/>
      <c r="D1461" s="10"/>
    </row>
    <row r="1462" spans="2:4">
      <c r="B1462" s="10"/>
      <c r="C1462" s="8"/>
      <c r="D1462" s="8"/>
    </row>
    <row r="1463" spans="2:4">
      <c r="B1463" s="10"/>
      <c r="C1463" s="8"/>
      <c r="D1463" s="10"/>
    </row>
    <row r="1464" spans="2:4">
      <c r="B1464" s="10"/>
      <c r="C1464" s="8"/>
      <c r="D1464" s="10"/>
    </row>
    <row r="1465" spans="2:4">
      <c r="B1465" s="10"/>
      <c r="C1465" s="8"/>
      <c r="D1465" s="10"/>
    </row>
    <row r="1466" spans="2:4">
      <c r="B1466" s="10"/>
      <c r="C1466" s="8"/>
      <c r="D1466" s="10"/>
    </row>
    <row r="1467" spans="2:4">
      <c r="B1467" s="10"/>
      <c r="C1467" s="8"/>
      <c r="D1467" s="8"/>
    </row>
    <row r="1468" spans="2:4">
      <c r="B1468" s="10"/>
      <c r="C1468" s="8"/>
      <c r="D1468" s="10"/>
    </row>
    <row r="1469" spans="2:4">
      <c r="B1469" s="10"/>
      <c r="C1469" s="8"/>
      <c r="D1469" s="10"/>
    </row>
    <row r="1470" spans="2:4">
      <c r="B1470" s="10"/>
      <c r="C1470" s="8"/>
      <c r="D1470" s="10"/>
    </row>
    <row r="1471" spans="2:4">
      <c r="B1471" s="10"/>
      <c r="C1471" s="8"/>
      <c r="D1471" s="10"/>
    </row>
    <row r="1472" spans="2:4">
      <c r="B1472" s="10"/>
      <c r="C1472" s="8"/>
      <c r="D1472" s="8"/>
    </row>
    <row r="1473" spans="2:4">
      <c r="B1473" s="10"/>
      <c r="C1473" s="8"/>
      <c r="D1473" s="10"/>
    </row>
    <row r="1474" spans="2:4">
      <c r="B1474" s="10"/>
      <c r="C1474" s="8"/>
      <c r="D1474" s="10"/>
    </row>
    <row r="1475" spans="2:4">
      <c r="B1475" s="10"/>
      <c r="C1475" s="8"/>
      <c r="D1475" s="10"/>
    </row>
    <row r="1476" spans="2:4">
      <c r="B1476" s="10"/>
      <c r="C1476" s="8"/>
      <c r="D1476" s="10"/>
    </row>
    <row r="1477" spans="2:4">
      <c r="B1477" s="10"/>
      <c r="C1477" s="8"/>
      <c r="D1477" s="8"/>
    </row>
    <row r="1478" spans="2:4">
      <c r="B1478" s="10"/>
      <c r="C1478" s="8"/>
      <c r="D1478" s="10"/>
    </row>
    <row r="1479" spans="2:4">
      <c r="B1479" s="10"/>
      <c r="C1479" s="8"/>
      <c r="D1479" s="10"/>
    </row>
    <row r="1480" spans="2:4">
      <c r="B1480" s="10"/>
      <c r="C1480" s="8"/>
      <c r="D1480" s="10"/>
    </row>
    <row r="1481" spans="2:4">
      <c r="B1481" s="10"/>
      <c r="C1481" s="8"/>
      <c r="D1481" s="10"/>
    </row>
    <row r="1482" spans="2:4">
      <c r="B1482" s="10"/>
      <c r="C1482" s="8"/>
      <c r="D1482" s="8"/>
    </row>
    <row r="1483" spans="2:4">
      <c r="B1483" s="10"/>
      <c r="C1483" s="8"/>
      <c r="D1483" s="10"/>
    </row>
    <row r="1484" spans="2:4">
      <c r="B1484" s="10"/>
      <c r="C1484" s="8"/>
      <c r="D1484" s="10"/>
    </row>
    <row r="1485" spans="2:4">
      <c r="B1485" s="10"/>
      <c r="C1485" s="8"/>
      <c r="D1485" s="10"/>
    </row>
    <row r="1486" spans="2:4">
      <c r="B1486" s="10"/>
      <c r="C1486" s="8"/>
      <c r="D1486" s="10"/>
    </row>
    <row r="1487" spans="2:4">
      <c r="B1487" s="10"/>
      <c r="C1487" s="8"/>
      <c r="D1487" s="8"/>
    </row>
    <row r="1488" spans="2:4">
      <c r="B1488" s="10"/>
      <c r="C1488" s="8"/>
      <c r="D1488" s="10"/>
    </row>
    <row r="1489" spans="2:4">
      <c r="B1489" s="10"/>
      <c r="C1489" s="8"/>
      <c r="D1489" s="10"/>
    </row>
    <row r="1490" spans="2:4">
      <c r="B1490" s="10"/>
      <c r="C1490" s="8"/>
      <c r="D1490" s="10"/>
    </row>
    <row r="1491" spans="2:4">
      <c r="B1491" s="10"/>
      <c r="C1491" s="8"/>
      <c r="D1491" s="10"/>
    </row>
    <row r="1492" spans="2:4">
      <c r="B1492" s="10"/>
      <c r="C1492" s="8"/>
      <c r="D1492" s="8"/>
    </row>
    <row r="1493" spans="2:4">
      <c r="B1493" s="10"/>
      <c r="C1493" s="8"/>
      <c r="D1493" s="10"/>
    </row>
    <row r="1494" spans="2:4">
      <c r="B1494" s="10"/>
      <c r="C1494" s="8"/>
      <c r="D1494" s="10"/>
    </row>
    <row r="1495" spans="2:4">
      <c r="B1495" s="10"/>
      <c r="C1495" s="8"/>
      <c r="D1495" s="10"/>
    </row>
    <row r="1496" spans="2:4">
      <c r="B1496" s="10"/>
      <c r="C1496" s="8"/>
      <c r="D1496" s="10"/>
    </row>
    <row r="1497" spans="2:4">
      <c r="B1497" s="10"/>
      <c r="C1497" s="8"/>
      <c r="D1497" s="8"/>
    </row>
    <row r="1498" spans="2:4">
      <c r="B1498" s="10"/>
      <c r="C1498" s="8"/>
      <c r="D1498" s="10"/>
    </row>
    <row r="1499" spans="2:4">
      <c r="B1499" s="10"/>
      <c r="C1499" s="8"/>
      <c r="D1499" s="10"/>
    </row>
    <row r="1500" spans="2:4">
      <c r="B1500" s="10"/>
      <c r="C1500" s="8"/>
      <c r="D1500" s="10"/>
    </row>
    <row r="1501" spans="2:4">
      <c r="B1501" s="10"/>
      <c r="C1501" s="8"/>
      <c r="D1501" s="10"/>
    </row>
    <row r="1502" spans="2:4">
      <c r="B1502" s="10"/>
      <c r="C1502" s="8"/>
      <c r="D1502" s="8"/>
    </row>
    <row r="1503" spans="2:4">
      <c r="B1503" s="10"/>
      <c r="C1503" s="8"/>
      <c r="D1503" s="10"/>
    </row>
    <row r="1504" spans="2:4">
      <c r="B1504" s="10"/>
      <c r="C1504" s="8"/>
      <c r="D1504" s="10"/>
    </row>
    <row r="1505" spans="2:4">
      <c r="B1505" s="10"/>
      <c r="C1505" s="8"/>
      <c r="D1505" s="10"/>
    </row>
    <row r="1506" spans="2:4">
      <c r="B1506" s="10"/>
      <c r="C1506" s="8"/>
      <c r="D1506" s="10"/>
    </row>
    <row r="1507" spans="2:4">
      <c r="B1507" s="10"/>
      <c r="C1507" s="8"/>
      <c r="D1507" s="8"/>
    </row>
    <row r="1508" spans="2:4">
      <c r="B1508" s="10"/>
      <c r="C1508" s="8"/>
      <c r="D1508" s="10"/>
    </row>
    <row r="1509" spans="2:4">
      <c r="B1509" s="10"/>
      <c r="C1509" s="8"/>
      <c r="D1509" s="10"/>
    </row>
    <row r="1510" spans="2:4">
      <c r="B1510" s="10"/>
      <c r="C1510" s="8"/>
      <c r="D1510" s="10"/>
    </row>
    <row r="1511" spans="2:4">
      <c r="B1511" s="10"/>
      <c r="C1511" s="8"/>
      <c r="D1511" s="10"/>
    </row>
    <row r="1512" spans="2:4">
      <c r="B1512" s="10"/>
      <c r="C1512" s="8"/>
      <c r="D1512" s="8"/>
    </row>
    <row r="1513" spans="2:4">
      <c r="B1513" s="10"/>
      <c r="C1513" s="8"/>
      <c r="D1513" s="10"/>
    </row>
    <row r="1514" spans="2:4">
      <c r="B1514" s="10"/>
      <c r="C1514" s="8"/>
      <c r="D1514" s="10"/>
    </row>
    <row r="1515" spans="2:4">
      <c r="B1515" s="10"/>
      <c r="C1515" s="8"/>
      <c r="D1515" s="10"/>
    </row>
    <row r="1516" spans="2:4">
      <c r="B1516" s="10"/>
      <c r="C1516" s="8"/>
      <c r="D1516" s="10"/>
    </row>
    <row r="1517" spans="2:4">
      <c r="B1517" s="10"/>
      <c r="C1517" s="8"/>
      <c r="D1517" s="8"/>
    </row>
    <row r="1518" spans="2:4">
      <c r="B1518" s="10"/>
      <c r="C1518" s="8"/>
      <c r="D1518" s="10"/>
    </row>
    <row r="1519" spans="2:4">
      <c r="B1519" s="10"/>
      <c r="C1519" s="8"/>
      <c r="D1519" s="10"/>
    </row>
    <row r="1520" spans="2:4">
      <c r="B1520" s="10"/>
      <c r="C1520" s="8"/>
      <c r="D1520" s="10"/>
    </row>
    <row r="1521" spans="2:4">
      <c r="B1521" s="10"/>
      <c r="C1521" s="8"/>
      <c r="D1521" s="10"/>
    </row>
    <row r="1522" spans="2:4">
      <c r="B1522" s="10"/>
      <c r="C1522" s="8"/>
      <c r="D1522" s="8"/>
    </row>
    <row r="1523" spans="2:4">
      <c r="B1523" s="10"/>
      <c r="C1523" s="8"/>
      <c r="D1523" s="10"/>
    </row>
    <row r="1524" spans="2:4">
      <c r="B1524" s="10"/>
      <c r="C1524" s="8"/>
      <c r="D1524" s="10"/>
    </row>
    <row r="1525" spans="2:4">
      <c r="B1525" s="10"/>
      <c r="C1525" s="8"/>
      <c r="D1525" s="10"/>
    </row>
    <row r="1526" spans="2:4">
      <c r="B1526" s="10"/>
      <c r="C1526" s="8"/>
      <c r="D1526" s="10"/>
    </row>
    <row r="1527" spans="2:4">
      <c r="B1527" s="10"/>
      <c r="C1527" s="8"/>
      <c r="D1527" s="8"/>
    </row>
    <row r="1528" spans="2:4">
      <c r="B1528" s="10"/>
      <c r="C1528" s="8"/>
      <c r="D1528" s="10"/>
    </row>
    <row r="1529" spans="2:4">
      <c r="B1529" s="10"/>
      <c r="C1529" s="8"/>
      <c r="D1529" s="10"/>
    </row>
    <row r="1530" spans="2:4">
      <c r="B1530" s="10"/>
      <c r="C1530" s="8"/>
      <c r="D1530" s="10"/>
    </row>
    <row r="1531" spans="2:4">
      <c r="B1531" s="10"/>
      <c r="C1531" s="8"/>
      <c r="D1531" s="10"/>
    </row>
    <row r="1532" spans="2:4">
      <c r="B1532" s="10"/>
      <c r="C1532" s="8"/>
      <c r="D1532" s="8"/>
    </row>
    <row r="1533" spans="2:4">
      <c r="B1533" s="10"/>
      <c r="C1533" s="8"/>
      <c r="D1533" s="10"/>
    </row>
    <row r="1534" spans="2:4">
      <c r="B1534" s="10"/>
      <c r="C1534" s="8"/>
      <c r="D1534" s="10"/>
    </row>
    <row r="1535" spans="2:4">
      <c r="B1535" s="10"/>
      <c r="C1535" s="8"/>
      <c r="D1535" s="10"/>
    </row>
    <row r="1536" spans="2:4">
      <c r="B1536" s="10"/>
      <c r="C1536" s="8"/>
      <c r="D1536" s="10"/>
    </row>
    <row r="1537" spans="2:4">
      <c r="B1537" s="10"/>
      <c r="C1537" s="8"/>
      <c r="D1537" s="8"/>
    </row>
    <row r="1538" spans="2:4">
      <c r="B1538" s="10"/>
      <c r="C1538" s="8"/>
      <c r="D1538" s="10"/>
    </row>
    <row r="1539" spans="2:4">
      <c r="B1539" s="10"/>
      <c r="C1539" s="8"/>
      <c r="D1539" s="10"/>
    </row>
    <row r="1540" spans="2:4">
      <c r="B1540" s="10"/>
      <c r="C1540" s="8"/>
      <c r="D1540" s="10"/>
    </row>
    <row r="1541" spans="2:4">
      <c r="B1541" s="10"/>
      <c r="C1541" s="8"/>
      <c r="D1541" s="10"/>
    </row>
    <row r="1542" spans="2:4">
      <c r="B1542" s="10"/>
      <c r="C1542" s="8"/>
      <c r="D1542" s="8"/>
    </row>
    <row r="1543" spans="2:4">
      <c r="B1543" s="10"/>
      <c r="C1543" s="8"/>
      <c r="D1543" s="10"/>
    </row>
    <row r="1544" spans="2:4">
      <c r="B1544" s="10"/>
      <c r="C1544" s="8"/>
      <c r="D1544" s="10"/>
    </row>
    <row r="1545" spans="2:4">
      <c r="B1545" s="10"/>
      <c r="C1545" s="8"/>
      <c r="D1545" s="10"/>
    </row>
    <row r="1546" spans="2:4">
      <c r="B1546" s="10"/>
      <c r="C1546" s="8"/>
      <c r="D1546" s="10"/>
    </row>
    <row r="1547" spans="2:4">
      <c r="B1547" s="10"/>
      <c r="C1547" s="8"/>
      <c r="D1547" s="8"/>
    </row>
    <row r="1548" spans="2:4">
      <c r="B1548" s="10"/>
      <c r="C1548" s="8"/>
      <c r="D1548" s="10"/>
    </row>
    <row r="1549" spans="2:4">
      <c r="B1549" s="10"/>
      <c r="C1549" s="8"/>
      <c r="D1549" s="10"/>
    </row>
    <row r="1550" spans="2:4">
      <c r="B1550" s="10"/>
      <c r="C1550" s="8"/>
      <c r="D1550" s="10"/>
    </row>
    <row r="1551" spans="2:4">
      <c r="B1551" s="10"/>
      <c r="C1551" s="8"/>
      <c r="D1551" s="10"/>
    </row>
    <row r="1552" spans="2:4">
      <c r="B1552" s="10"/>
      <c r="C1552" s="8"/>
      <c r="D1552" s="8"/>
    </row>
    <row r="1553" spans="2:4">
      <c r="B1553" s="10"/>
      <c r="C1553" s="8"/>
      <c r="D1553" s="10"/>
    </row>
    <row r="1554" spans="2:4">
      <c r="B1554" s="10"/>
      <c r="C1554" s="8"/>
      <c r="D1554" s="10"/>
    </row>
    <row r="1555" spans="2:4">
      <c r="B1555" s="10"/>
      <c r="C1555" s="8"/>
      <c r="D1555" s="10"/>
    </row>
    <row r="1556" spans="2:4">
      <c r="B1556" s="10"/>
      <c r="C1556" s="8"/>
      <c r="D1556" s="10"/>
    </row>
    <row r="1557" spans="2:4">
      <c r="B1557" s="10"/>
      <c r="C1557" s="8"/>
      <c r="D1557" s="8"/>
    </row>
    <row r="1558" spans="2:4">
      <c r="B1558" s="10"/>
      <c r="C1558" s="8"/>
      <c r="D1558" s="10"/>
    </row>
    <row r="1559" spans="2:4">
      <c r="B1559" s="10"/>
      <c r="C1559" s="8"/>
      <c r="D1559" s="10"/>
    </row>
    <row r="1560" spans="2:4">
      <c r="B1560" s="10"/>
      <c r="C1560" s="8"/>
      <c r="D1560" s="10"/>
    </row>
    <row r="1561" spans="2:4">
      <c r="B1561" s="10"/>
      <c r="C1561" s="8"/>
      <c r="D1561" s="10"/>
    </row>
    <row r="1562" spans="2:4">
      <c r="B1562" s="10"/>
      <c r="C1562" s="8"/>
      <c r="D1562" s="8"/>
    </row>
    <row r="1563" spans="2:4">
      <c r="B1563" s="10"/>
      <c r="C1563" s="8"/>
      <c r="D1563" s="10"/>
    </row>
    <row r="1564" spans="2:4">
      <c r="B1564" s="10"/>
      <c r="C1564" s="8"/>
      <c r="D1564" s="10"/>
    </row>
    <row r="1565" spans="2:4">
      <c r="B1565" s="10"/>
      <c r="C1565" s="8"/>
      <c r="D1565" s="10"/>
    </row>
    <row r="1566" spans="2:4">
      <c r="B1566" s="10"/>
      <c r="C1566" s="8"/>
      <c r="D1566" s="10"/>
    </row>
    <row r="1567" spans="2:4">
      <c r="B1567" s="10"/>
      <c r="C1567" s="8"/>
      <c r="D1567" s="8"/>
    </row>
    <row r="1568" spans="2:4">
      <c r="B1568" s="10"/>
      <c r="C1568" s="8"/>
      <c r="D1568" s="10"/>
    </row>
    <row r="1569" spans="2:4">
      <c r="B1569" s="10"/>
      <c r="C1569" s="8"/>
      <c r="D1569" s="10"/>
    </row>
    <row r="1570" spans="2:4">
      <c r="B1570" s="10"/>
      <c r="C1570" s="8"/>
      <c r="D1570" s="10"/>
    </row>
    <row r="1571" spans="2:4">
      <c r="B1571" s="10"/>
      <c r="C1571" s="8"/>
      <c r="D1571" s="10"/>
    </row>
    <row r="1572" spans="2:4">
      <c r="B1572" s="10"/>
      <c r="C1572" s="8"/>
      <c r="D1572" s="8"/>
    </row>
    <row r="1573" spans="2:4">
      <c r="B1573" s="10"/>
      <c r="C1573" s="8"/>
      <c r="D1573" s="10"/>
    </row>
    <row r="1574" spans="2:4">
      <c r="B1574" s="10"/>
      <c r="C1574" s="8"/>
      <c r="D1574" s="10"/>
    </row>
    <row r="1575" spans="2:4">
      <c r="B1575" s="10"/>
      <c r="C1575" s="8"/>
      <c r="D1575" s="10"/>
    </row>
    <row r="1576" spans="2:4">
      <c r="B1576" s="10"/>
      <c r="C1576" s="8"/>
      <c r="D1576" s="10"/>
    </row>
    <row r="1577" spans="2:4">
      <c r="B1577" s="10"/>
      <c r="C1577" s="8"/>
      <c r="D1577" s="8"/>
    </row>
    <row r="1578" spans="2:4">
      <c r="B1578" s="10"/>
      <c r="C1578" s="8"/>
      <c r="D1578" s="10"/>
    </row>
    <row r="1579" spans="2:4">
      <c r="B1579" s="10"/>
      <c r="C1579" s="8"/>
      <c r="D1579" s="10"/>
    </row>
    <row r="1580" spans="2:4">
      <c r="B1580" s="10"/>
      <c r="C1580" s="8"/>
      <c r="D1580" s="10"/>
    </row>
    <row r="1581" spans="2:4">
      <c r="B1581" s="10"/>
      <c r="C1581" s="8"/>
      <c r="D1581" s="10"/>
    </row>
    <row r="1582" spans="2:4">
      <c r="B1582" s="10"/>
      <c r="C1582" s="8"/>
      <c r="D1582" s="8"/>
    </row>
    <row r="1583" spans="2:4">
      <c r="B1583" s="10"/>
      <c r="C1583" s="8"/>
      <c r="D1583" s="10"/>
    </row>
    <row r="1584" spans="2:4">
      <c r="B1584" s="10"/>
      <c r="C1584" s="8"/>
      <c r="D1584" s="10"/>
    </row>
    <row r="1585" spans="2:4">
      <c r="B1585" s="10"/>
      <c r="C1585" s="8"/>
      <c r="D1585" s="10"/>
    </row>
    <row r="1586" spans="2:4">
      <c r="B1586" s="10"/>
      <c r="C1586" s="8"/>
      <c r="D1586" s="10"/>
    </row>
    <row r="1587" spans="2:4">
      <c r="B1587" s="10"/>
      <c r="C1587" s="8"/>
      <c r="D1587" s="8"/>
    </row>
    <row r="1588" spans="2:4">
      <c r="B1588" s="10"/>
      <c r="C1588" s="8"/>
      <c r="D1588" s="10"/>
    </row>
    <row r="1589" spans="2:4">
      <c r="B1589" s="10"/>
      <c r="C1589" s="8"/>
      <c r="D1589" s="10"/>
    </row>
    <row r="1590" spans="2:4">
      <c r="B1590" s="10"/>
      <c r="C1590" s="8"/>
      <c r="D1590" s="10"/>
    </row>
    <row r="1591" spans="2:4">
      <c r="B1591" s="10"/>
      <c r="C1591" s="8"/>
      <c r="D1591" s="10"/>
    </row>
    <row r="1592" spans="2:4">
      <c r="B1592" s="10"/>
      <c r="C1592" s="8"/>
      <c r="D1592" s="8"/>
    </row>
    <row r="1593" spans="2:4">
      <c r="B1593" s="10"/>
      <c r="C1593" s="8"/>
      <c r="D1593" s="10"/>
    </row>
    <row r="1594" spans="2:4">
      <c r="B1594" s="10"/>
      <c r="C1594" s="8"/>
      <c r="D1594" s="10"/>
    </row>
    <row r="1595" spans="2:4">
      <c r="B1595" s="10"/>
      <c r="C1595" s="8"/>
      <c r="D1595" s="10"/>
    </row>
    <row r="1596" spans="2:4">
      <c r="B1596" s="10"/>
      <c r="C1596" s="8"/>
      <c r="D1596" s="10"/>
    </row>
    <row r="1597" spans="2:4">
      <c r="B1597" s="10"/>
      <c r="C1597" s="8"/>
      <c r="D1597" s="8"/>
    </row>
    <row r="1598" spans="2:4">
      <c r="B1598" s="10"/>
      <c r="C1598" s="8"/>
      <c r="D1598" s="10"/>
    </row>
    <row r="1599" spans="2:4">
      <c r="B1599" s="10"/>
      <c r="C1599" s="8"/>
      <c r="D1599" s="10"/>
    </row>
    <row r="1600" spans="2:4">
      <c r="B1600" s="10"/>
      <c r="C1600" s="8"/>
      <c r="D1600" s="10"/>
    </row>
    <row r="1601" spans="2:4">
      <c r="B1601" s="10"/>
      <c r="C1601" s="8"/>
      <c r="D1601" s="10"/>
    </row>
    <row r="1602" spans="2:4">
      <c r="B1602" s="10"/>
      <c r="C1602" s="8"/>
      <c r="D1602" s="8"/>
    </row>
    <row r="1603" spans="2:4">
      <c r="B1603" s="10"/>
      <c r="C1603" s="8"/>
      <c r="D1603" s="10"/>
    </row>
    <row r="1604" spans="2:4">
      <c r="B1604" s="10"/>
      <c r="C1604" s="8"/>
      <c r="D1604" s="10"/>
    </row>
    <row r="1605" spans="2:4">
      <c r="B1605" s="10"/>
      <c r="C1605" s="8"/>
      <c r="D1605" s="10"/>
    </row>
    <row r="1606" spans="2:4">
      <c r="B1606" s="10"/>
      <c r="C1606" s="8"/>
      <c r="D1606" s="10"/>
    </row>
    <row r="1607" spans="2:4">
      <c r="B1607" s="10"/>
      <c r="C1607" s="8"/>
      <c r="D1607" s="8"/>
    </row>
    <row r="1608" spans="2:4">
      <c r="B1608" s="10"/>
      <c r="C1608" s="8"/>
      <c r="D1608" s="10"/>
    </row>
    <row r="1609" spans="2:4">
      <c r="B1609" s="10"/>
      <c r="C1609" s="8"/>
      <c r="D1609" s="10"/>
    </row>
    <row r="1610" spans="2:4">
      <c r="B1610" s="10"/>
      <c r="C1610" s="8"/>
      <c r="D1610" s="10"/>
    </row>
    <row r="1611" spans="2:4">
      <c r="B1611" s="10"/>
      <c r="C1611" s="8"/>
      <c r="D1611" s="10"/>
    </row>
    <row r="1612" spans="2:4">
      <c r="B1612" s="10"/>
      <c r="C1612" s="8"/>
      <c r="D1612" s="8"/>
    </row>
    <row r="1613" spans="2:4">
      <c r="B1613" s="10"/>
      <c r="C1613" s="8"/>
      <c r="D1613" s="10"/>
    </row>
    <row r="1614" spans="2:4">
      <c r="B1614" s="10"/>
      <c r="C1614" s="8"/>
      <c r="D1614" s="10"/>
    </row>
    <row r="1615" spans="2:4">
      <c r="B1615" s="10"/>
      <c r="C1615" s="8"/>
      <c r="D1615" s="10"/>
    </row>
    <row r="1616" spans="2:4">
      <c r="B1616" s="10"/>
      <c r="C1616" s="8"/>
      <c r="D1616" s="10"/>
    </row>
    <row r="1617" spans="2:4">
      <c r="B1617" s="10"/>
      <c r="C1617" s="8"/>
      <c r="D1617" s="8"/>
    </row>
    <row r="1618" spans="2:4">
      <c r="B1618" s="10"/>
      <c r="C1618" s="8"/>
      <c r="D1618" s="10"/>
    </row>
    <row r="1619" spans="2:4">
      <c r="B1619" s="10"/>
      <c r="C1619" s="8"/>
      <c r="D1619" s="10"/>
    </row>
    <row r="1620" spans="2:4">
      <c r="B1620" s="10"/>
      <c r="C1620" s="8"/>
      <c r="D1620" s="10"/>
    </row>
    <row r="1621" spans="2:4">
      <c r="B1621" s="10"/>
      <c r="C1621" s="8"/>
      <c r="D1621" s="10"/>
    </row>
    <row r="1622" spans="2:4">
      <c r="B1622" s="10"/>
      <c r="C1622" s="8"/>
      <c r="D1622" s="8"/>
    </row>
    <row r="1623" spans="2:4">
      <c r="B1623" s="10"/>
      <c r="C1623" s="8"/>
      <c r="D1623" s="10"/>
    </row>
    <row r="1624" spans="2:4">
      <c r="B1624" s="10"/>
      <c r="C1624" s="8"/>
      <c r="D1624" s="10"/>
    </row>
    <row r="1625" spans="2:4">
      <c r="B1625" s="10"/>
      <c r="C1625" s="8"/>
      <c r="D1625" s="10"/>
    </row>
    <row r="1626" spans="2:4">
      <c r="B1626" s="10"/>
      <c r="C1626" s="8"/>
      <c r="D1626" s="10"/>
    </row>
    <row r="1627" spans="2:4">
      <c r="B1627" s="10"/>
      <c r="C1627" s="8"/>
      <c r="D1627" s="8"/>
    </row>
    <row r="1628" spans="2:4">
      <c r="B1628" s="10"/>
      <c r="C1628" s="8"/>
      <c r="D1628" s="10"/>
    </row>
    <row r="1629" spans="2:4">
      <c r="B1629" s="10"/>
      <c r="C1629" s="8"/>
      <c r="D1629" s="10"/>
    </row>
    <row r="1630" spans="2:4">
      <c r="B1630" s="10"/>
      <c r="C1630" s="8"/>
      <c r="D1630" s="10"/>
    </row>
    <row r="1631" spans="2:4">
      <c r="B1631" s="10"/>
      <c r="C1631" s="8"/>
      <c r="D1631" s="10"/>
    </row>
    <row r="1632" spans="2:4">
      <c r="B1632" s="10"/>
      <c r="C1632" s="8"/>
      <c r="D1632" s="8"/>
    </row>
    <row r="1633" spans="2:4">
      <c r="B1633" s="10"/>
      <c r="C1633" s="8"/>
      <c r="D1633" s="10"/>
    </row>
    <row r="1634" spans="2:4">
      <c r="B1634" s="10"/>
      <c r="C1634" s="8"/>
      <c r="D1634" s="10"/>
    </row>
    <row r="1635" spans="2:4">
      <c r="B1635" s="10"/>
      <c r="C1635" s="8"/>
      <c r="D1635" s="10"/>
    </row>
    <row r="1636" spans="2:4">
      <c r="B1636" s="10"/>
      <c r="C1636" s="8"/>
      <c r="D1636" s="10"/>
    </row>
    <row r="1637" spans="2:4">
      <c r="B1637" s="10"/>
      <c r="C1637" s="8"/>
      <c r="D1637" s="8"/>
    </row>
    <row r="1638" spans="2:4">
      <c r="B1638" s="10"/>
      <c r="C1638" s="8"/>
      <c r="D1638" s="10"/>
    </row>
    <row r="1639" spans="2:4">
      <c r="B1639" s="10"/>
      <c r="C1639" s="8"/>
      <c r="D1639" s="10"/>
    </row>
    <row r="1640" spans="2:4">
      <c r="B1640" s="10"/>
      <c r="C1640" s="8"/>
      <c r="D1640" s="10"/>
    </row>
    <row r="1641" spans="2:4">
      <c r="B1641" s="10"/>
      <c r="C1641" s="8"/>
      <c r="D1641" s="10"/>
    </row>
    <row r="1642" spans="2:4">
      <c r="B1642" s="10"/>
      <c r="C1642" s="8"/>
      <c r="D1642" s="8"/>
    </row>
    <row r="1643" spans="2:4">
      <c r="B1643" s="10"/>
      <c r="C1643" s="8"/>
      <c r="D1643" s="10"/>
    </row>
    <row r="1644" spans="2:4">
      <c r="B1644" s="10"/>
      <c r="C1644" s="8"/>
      <c r="D1644" s="10"/>
    </row>
    <row r="1645" spans="2:4">
      <c r="B1645" s="10"/>
      <c r="C1645" s="8"/>
      <c r="D1645" s="10"/>
    </row>
    <row r="1646" spans="2:4">
      <c r="B1646" s="10"/>
      <c r="C1646" s="8"/>
      <c r="D1646" s="10"/>
    </row>
    <row r="1647" spans="2:4">
      <c r="B1647" s="10"/>
      <c r="C1647" s="8"/>
      <c r="D1647" s="8"/>
    </row>
    <row r="1648" spans="2:4">
      <c r="B1648" s="10"/>
      <c r="C1648" s="8"/>
      <c r="D1648" s="10"/>
    </row>
    <row r="1649" spans="2:4">
      <c r="B1649" s="10"/>
      <c r="C1649" s="8"/>
      <c r="D1649" s="10"/>
    </row>
    <row r="1650" spans="2:4">
      <c r="B1650" s="10"/>
      <c r="C1650" s="8"/>
      <c r="D1650" s="10"/>
    </row>
    <row r="1651" spans="2:4">
      <c r="B1651" s="10"/>
      <c r="C1651" s="8"/>
      <c r="D1651" s="10"/>
    </row>
    <row r="1652" spans="2:4">
      <c r="B1652" s="10"/>
      <c r="C1652" s="8"/>
      <c r="D1652" s="8"/>
    </row>
    <row r="1653" spans="2:4">
      <c r="B1653" s="10"/>
      <c r="C1653" s="8"/>
      <c r="D1653" s="10"/>
    </row>
    <row r="1654" spans="2:4">
      <c r="B1654" s="10"/>
      <c r="C1654" s="8"/>
      <c r="D1654" s="10"/>
    </row>
    <row r="1655" spans="2:4">
      <c r="B1655" s="10"/>
      <c r="C1655" s="8"/>
      <c r="D1655" s="10"/>
    </row>
    <row r="1656" spans="2:4">
      <c r="B1656" s="10"/>
      <c r="C1656" s="8"/>
      <c r="D1656" s="10"/>
    </row>
    <row r="1657" spans="2:4">
      <c r="B1657" s="10"/>
      <c r="C1657" s="8"/>
      <c r="D1657" s="8"/>
    </row>
    <row r="1658" spans="2:4">
      <c r="B1658" s="10"/>
      <c r="C1658" s="8"/>
      <c r="D1658" s="10"/>
    </row>
    <row r="1659" spans="2:4">
      <c r="B1659" s="10"/>
      <c r="C1659" s="8"/>
      <c r="D1659" s="10"/>
    </row>
    <row r="1660" spans="2:4">
      <c r="B1660" s="10"/>
      <c r="C1660" s="8"/>
      <c r="D1660" s="10"/>
    </row>
    <row r="1661" spans="2:4">
      <c r="B1661" s="10"/>
      <c r="C1661" s="8"/>
      <c r="D1661" s="10"/>
    </row>
    <row r="1662" spans="2:4">
      <c r="B1662" s="10"/>
      <c r="C1662" s="8"/>
      <c r="D1662" s="8"/>
    </row>
    <row r="1663" spans="2:4">
      <c r="B1663" s="10"/>
      <c r="C1663" s="8"/>
      <c r="D1663" s="10"/>
    </row>
    <row r="1664" spans="2:4">
      <c r="B1664" s="10"/>
      <c r="C1664" s="8"/>
      <c r="D1664" s="10"/>
    </row>
    <row r="1665" spans="2:4">
      <c r="B1665" s="10"/>
      <c r="C1665" s="8"/>
      <c r="D1665" s="10"/>
    </row>
    <row r="1666" spans="2:4">
      <c r="B1666" s="10"/>
      <c r="C1666" s="8"/>
      <c r="D1666" s="10"/>
    </row>
    <row r="1667" spans="2:4">
      <c r="B1667" s="10"/>
      <c r="C1667" s="8"/>
      <c r="D1667" s="8"/>
    </row>
    <row r="1668" spans="2:4">
      <c r="B1668" s="10"/>
      <c r="C1668" s="8"/>
      <c r="D1668" s="10"/>
    </row>
    <row r="1669" spans="2:4">
      <c r="B1669" s="10"/>
      <c r="C1669" s="8"/>
      <c r="D1669" s="10"/>
    </row>
    <row r="1670" spans="2:4">
      <c r="B1670" s="10"/>
      <c r="C1670" s="8"/>
      <c r="D1670" s="10"/>
    </row>
    <row r="1671" spans="2:4">
      <c r="B1671" s="10"/>
      <c r="C1671" s="8"/>
      <c r="D1671" s="10"/>
    </row>
    <row r="1672" spans="2:4">
      <c r="B1672" s="10"/>
      <c r="C1672" s="8"/>
      <c r="D1672" s="8"/>
    </row>
    <row r="1673" spans="2:4">
      <c r="B1673" s="10"/>
      <c r="C1673" s="8"/>
      <c r="D1673" s="10"/>
    </row>
    <row r="1674" spans="2:4">
      <c r="B1674" s="10"/>
      <c r="C1674" s="8"/>
      <c r="D1674" s="10"/>
    </row>
    <row r="1675" spans="2:4">
      <c r="B1675" s="10"/>
      <c r="C1675" s="8"/>
      <c r="D1675" s="10"/>
    </row>
    <row r="1676" spans="2:4">
      <c r="B1676" s="10"/>
      <c r="C1676" s="8"/>
      <c r="D1676" s="10"/>
    </row>
    <row r="1677" spans="2:4">
      <c r="B1677" s="10"/>
      <c r="C1677" s="8"/>
      <c r="D1677" s="8"/>
    </row>
    <row r="1678" spans="2:4">
      <c r="B1678" s="10"/>
      <c r="C1678" s="8"/>
      <c r="D1678" s="10"/>
    </row>
    <row r="1679" spans="2:4">
      <c r="B1679" s="10"/>
      <c r="C1679" s="8"/>
      <c r="D1679" s="10"/>
    </row>
    <row r="1680" spans="2:4">
      <c r="B1680" s="10"/>
      <c r="C1680" s="8"/>
      <c r="D1680" s="10"/>
    </row>
    <row r="1681" spans="2:4">
      <c r="B1681" s="10"/>
      <c r="C1681" s="8"/>
      <c r="D1681" s="10"/>
    </row>
    <row r="1682" spans="2:4">
      <c r="B1682" s="10"/>
      <c r="C1682" s="8"/>
      <c r="D1682" s="8"/>
    </row>
    <row r="1683" spans="2:4">
      <c r="B1683" s="10"/>
      <c r="C1683" s="8"/>
      <c r="D1683" s="10"/>
    </row>
    <row r="1684" spans="2:4">
      <c r="B1684" s="10"/>
      <c r="C1684" s="8"/>
      <c r="D1684" s="10"/>
    </row>
    <row r="1685" spans="2:4">
      <c r="B1685" s="10"/>
      <c r="C1685" s="8"/>
      <c r="D1685" s="10"/>
    </row>
    <row r="1686" spans="2:4">
      <c r="B1686" s="10"/>
      <c r="C1686" s="8"/>
      <c r="D1686" s="10"/>
    </row>
    <row r="1687" spans="2:4">
      <c r="B1687" s="10"/>
      <c r="C1687" s="8"/>
      <c r="D1687" s="8"/>
    </row>
    <row r="1688" spans="2:4">
      <c r="B1688" s="10"/>
      <c r="C1688" s="8"/>
      <c r="D1688" s="10"/>
    </row>
    <row r="1689" spans="2:4">
      <c r="B1689" s="10"/>
      <c r="C1689" s="8"/>
      <c r="D1689" s="10"/>
    </row>
    <row r="1690" spans="2:4">
      <c r="B1690" s="10"/>
      <c r="C1690" s="8"/>
      <c r="D1690" s="10"/>
    </row>
    <row r="1691" spans="2:4">
      <c r="B1691" s="10"/>
      <c r="C1691" s="8"/>
      <c r="D1691" s="10"/>
    </row>
    <row r="1692" spans="2:4">
      <c r="B1692" s="10"/>
      <c r="C1692" s="8"/>
      <c r="D1692" s="8"/>
    </row>
    <row r="1693" spans="2:4">
      <c r="B1693" s="10"/>
      <c r="C1693" s="8"/>
      <c r="D1693" s="10"/>
    </row>
    <row r="1694" spans="2:4">
      <c r="B1694" s="10"/>
      <c r="C1694" s="8"/>
      <c r="D1694" s="10"/>
    </row>
    <row r="1695" spans="2:4">
      <c r="B1695" s="10"/>
      <c r="C1695" s="8"/>
      <c r="D1695" s="10"/>
    </row>
    <row r="1696" spans="2:4">
      <c r="B1696" s="10"/>
      <c r="C1696" s="8"/>
      <c r="D1696" s="10"/>
    </row>
    <row r="1697" spans="2:4">
      <c r="B1697" s="10"/>
      <c r="C1697" s="8"/>
      <c r="D1697" s="8"/>
    </row>
    <row r="1698" spans="2:4">
      <c r="B1698" s="10"/>
      <c r="C1698" s="8"/>
      <c r="D1698" s="10"/>
    </row>
    <row r="1699" spans="2:4">
      <c r="B1699" s="10"/>
      <c r="C1699" s="8"/>
      <c r="D1699" s="10"/>
    </row>
    <row r="1700" spans="2:4">
      <c r="B1700" s="10"/>
      <c r="C1700" s="8"/>
      <c r="D1700" s="10"/>
    </row>
    <row r="1701" spans="2:4">
      <c r="B1701" s="10"/>
      <c r="C1701" s="8"/>
      <c r="D1701" s="10"/>
    </row>
    <row r="1702" spans="2:4">
      <c r="B1702" s="10"/>
      <c r="C1702" s="8"/>
      <c r="D1702" s="8"/>
    </row>
    <row r="1703" spans="2:4">
      <c r="B1703" s="10"/>
      <c r="C1703" s="8"/>
      <c r="D1703" s="10"/>
    </row>
    <row r="1704" spans="2:4">
      <c r="B1704" s="10"/>
      <c r="C1704" s="8"/>
      <c r="D1704" s="10"/>
    </row>
    <row r="1705" spans="2:4">
      <c r="B1705" s="10"/>
      <c r="C1705" s="8"/>
      <c r="D1705" s="10"/>
    </row>
    <row r="1706" spans="2:4">
      <c r="B1706" s="10"/>
      <c r="C1706" s="8"/>
      <c r="D1706" s="10"/>
    </row>
    <row r="1707" spans="2:4">
      <c r="B1707" s="10"/>
      <c r="C1707" s="8"/>
      <c r="D1707" s="8"/>
    </row>
    <row r="1708" spans="2:4">
      <c r="B1708" s="10"/>
      <c r="C1708" s="8"/>
      <c r="D1708" s="10"/>
    </row>
    <row r="1709" spans="2:4">
      <c r="B1709" s="10"/>
      <c r="C1709" s="8"/>
      <c r="D1709" s="10"/>
    </row>
    <row r="1710" spans="2:4">
      <c r="B1710" s="10"/>
      <c r="C1710" s="8"/>
      <c r="D1710" s="10"/>
    </row>
    <row r="1711" spans="2:4">
      <c r="B1711" s="10"/>
      <c r="C1711" s="8"/>
      <c r="D1711" s="10"/>
    </row>
    <row r="1712" spans="2:4">
      <c r="B1712" s="10"/>
      <c r="C1712" s="8"/>
      <c r="D1712" s="8"/>
    </row>
    <row r="1713" spans="2:4">
      <c r="B1713" s="10"/>
      <c r="C1713" s="8"/>
      <c r="D1713" s="10"/>
    </row>
    <row r="1714" spans="2:4">
      <c r="B1714" s="10"/>
      <c r="C1714" s="8"/>
      <c r="D1714" s="10"/>
    </row>
    <row r="1715" spans="2:4">
      <c r="B1715" s="10"/>
      <c r="C1715" s="8"/>
      <c r="D1715" s="10"/>
    </row>
    <row r="1716" spans="2:4">
      <c r="B1716" s="10"/>
      <c r="C1716" s="8"/>
      <c r="D1716" s="10"/>
    </row>
    <row r="1717" spans="2:4">
      <c r="B1717" s="10"/>
      <c r="C1717" s="8"/>
      <c r="D1717" s="8"/>
    </row>
    <row r="1718" spans="2:4">
      <c r="B1718" s="10"/>
      <c r="C1718" s="8"/>
      <c r="D1718" s="10"/>
    </row>
    <row r="1719" spans="2:4">
      <c r="B1719" s="10"/>
      <c r="C1719" s="8"/>
      <c r="D1719" s="10"/>
    </row>
    <row r="1720" spans="2:4">
      <c r="B1720" s="10"/>
      <c r="C1720" s="8"/>
      <c r="D1720" s="10"/>
    </row>
    <row r="1721" spans="2:4">
      <c r="B1721" s="10"/>
      <c r="C1721" s="8"/>
      <c r="D1721" s="10"/>
    </row>
    <row r="1722" spans="2:4">
      <c r="B1722" s="10"/>
      <c r="C1722" s="8"/>
      <c r="D1722" s="8"/>
    </row>
    <row r="1723" spans="2:4">
      <c r="B1723" s="10"/>
      <c r="C1723" s="8"/>
      <c r="D1723" s="10"/>
    </row>
    <row r="1724" spans="2:4">
      <c r="B1724" s="10"/>
      <c r="C1724" s="8"/>
      <c r="D1724" s="10"/>
    </row>
    <row r="1725" spans="2:4">
      <c r="B1725" s="10"/>
      <c r="C1725" s="8"/>
      <c r="D1725" s="10"/>
    </row>
    <row r="1726" spans="2:4">
      <c r="B1726" s="10"/>
      <c r="C1726" s="8"/>
      <c r="D1726" s="10"/>
    </row>
    <row r="1727" spans="2:4">
      <c r="B1727" s="10"/>
      <c r="C1727" s="8"/>
      <c r="D1727" s="8"/>
    </row>
    <row r="1728" spans="2:4">
      <c r="B1728" s="10"/>
      <c r="C1728" s="8"/>
      <c r="D1728" s="10"/>
    </row>
    <row r="1729" spans="2:4">
      <c r="B1729" s="10"/>
      <c r="C1729" s="8"/>
      <c r="D1729" s="10"/>
    </row>
    <row r="1730" spans="2:4">
      <c r="B1730" s="10"/>
      <c r="C1730" s="8"/>
      <c r="D1730" s="10"/>
    </row>
    <row r="1731" spans="2:4">
      <c r="B1731" s="10"/>
      <c r="C1731" s="8"/>
      <c r="D1731" s="10"/>
    </row>
    <row r="1732" spans="2:4">
      <c r="B1732" s="10"/>
      <c r="C1732" s="8"/>
      <c r="D1732" s="8"/>
    </row>
    <row r="1733" spans="2:4">
      <c r="B1733" s="10"/>
      <c r="C1733" s="8"/>
      <c r="D1733" s="10"/>
    </row>
    <row r="1734" spans="2:4">
      <c r="B1734" s="10"/>
      <c r="C1734" s="8"/>
      <c r="D1734" s="10"/>
    </row>
    <row r="1735" spans="2:4">
      <c r="B1735" s="10"/>
      <c r="C1735" s="8"/>
      <c r="D1735" s="10"/>
    </row>
    <row r="1736" spans="2:4">
      <c r="B1736" s="10"/>
      <c r="C1736" s="8"/>
      <c r="D1736" s="10"/>
    </row>
    <row r="1737" spans="2:4">
      <c r="B1737" s="10"/>
      <c r="C1737" s="8"/>
      <c r="D1737" s="8"/>
    </row>
    <row r="1738" spans="2:4">
      <c r="B1738" s="10"/>
      <c r="C1738" s="8"/>
      <c r="D1738" s="10"/>
    </row>
    <row r="1739" spans="2:4">
      <c r="B1739" s="10"/>
      <c r="C1739" s="8"/>
      <c r="D1739" s="10"/>
    </row>
    <row r="1740" spans="2:4">
      <c r="B1740" s="10"/>
      <c r="C1740" s="8"/>
      <c r="D1740" s="10"/>
    </row>
    <row r="1741" spans="2:4">
      <c r="B1741" s="10"/>
      <c r="C1741" s="8"/>
      <c r="D1741" s="10"/>
    </row>
    <row r="1742" spans="2:4">
      <c r="B1742" s="10"/>
      <c r="C1742" s="8"/>
      <c r="D1742" s="8"/>
    </row>
    <row r="1743" spans="2:4">
      <c r="B1743" s="10"/>
      <c r="C1743" s="8"/>
      <c r="D1743" s="10"/>
    </row>
    <row r="1744" spans="2:4">
      <c r="B1744" s="10"/>
      <c r="C1744" s="8"/>
      <c r="D1744" s="10"/>
    </row>
    <row r="1745" spans="2:4">
      <c r="B1745" s="10"/>
      <c r="C1745" s="8"/>
      <c r="D1745" s="10"/>
    </row>
    <row r="1746" spans="2:4">
      <c r="B1746" s="10"/>
      <c r="C1746" s="8"/>
      <c r="D1746" s="10"/>
    </row>
    <row r="1747" spans="2:4">
      <c r="B1747" s="10"/>
      <c r="C1747" s="8"/>
      <c r="D1747" s="8"/>
    </row>
    <row r="1748" spans="2:4">
      <c r="B1748" s="10"/>
      <c r="C1748" s="8"/>
      <c r="D1748" s="10"/>
    </row>
    <row r="1749" spans="2:4">
      <c r="B1749" s="10"/>
      <c r="C1749" s="8"/>
      <c r="D1749" s="10"/>
    </row>
    <row r="1750" spans="2:4">
      <c r="B1750" s="10"/>
      <c r="C1750" s="8"/>
      <c r="D1750" s="10"/>
    </row>
    <row r="1751" spans="2:4">
      <c r="B1751" s="10"/>
      <c r="C1751" s="8"/>
      <c r="D1751" s="10"/>
    </row>
    <row r="1752" spans="2:4">
      <c r="B1752" s="10"/>
      <c r="C1752" s="8"/>
      <c r="D1752" s="8"/>
    </row>
    <row r="1753" spans="2:4">
      <c r="B1753" s="10"/>
      <c r="C1753" s="8"/>
      <c r="D1753" s="10"/>
    </row>
    <row r="1754" spans="2:4">
      <c r="B1754" s="10"/>
      <c r="C1754" s="8"/>
      <c r="D1754" s="10"/>
    </row>
    <row r="1755" spans="2:4">
      <c r="B1755" s="10"/>
      <c r="C1755" s="8"/>
      <c r="D1755" s="10"/>
    </row>
    <row r="1756" spans="2:4">
      <c r="B1756" s="10"/>
      <c r="C1756" s="8"/>
      <c r="D1756" s="10"/>
    </row>
    <row r="1757" spans="2:4">
      <c r="B1757" s="10"/>
      <c r="C1757" s="8"/>
      <c r="D1757" s="8"/>
    </row>
    <row r="1758" spans="2:4">
      <c r="B1758" s="10"/>
      <c r="C1758" s="8"/>
      <c r="D1758" s="10"/>
    </row>
    <row r="1759" spans="2:4">
      <c r="B1759" s="10"/>
      <c r="C1759" s="8"/>
      <c r="D1759" s="10"/>
    </row>
    <row r="1760" spans="2:4">
      <c r="B1760" s="10"/>
      <c r="C1760" s="8"/>
      <c r="D1760" s="10"/>
    </row>
    <row r="1761" spans="2:4">
      <c r="B1761" s="10"/>
      <c r="C1761" s="8"/>
      <c r="D1761" s="10"/>
    </row>
    <row r="1762" spans="2:4">
      <c r="B1762" s="10"/>
      <c r="C1762" s="8"/>
      <c r="D1762" s="8"/>
    </row>
    <row r="1763" spans="2:4">
      <c r="B1763" s="10"/>
      <c r="C1763" s="8"/>
      <c r="D1763" s="10"/>
    </row>
    <row r="1764" spans="2:4">
      <c r="B1764" s="10"/>
      <c r="C1764" s="8"/>
      <c r="D1764" s="10"/>
    </row>
    <row r="1765" spans="2:4">
      <c r="B1765" s="10"/>
      <c r="C1765" s="8"/>
      <c r="D1765" s="10"/>
    </row>
    <row r="1766" spans="2:4">
      <c r="B1766" s="10"/>
      <c r="C1766" s="8"/>
      <c r="D1766" s="10"/>
    </row>
    <row r="1767" spans="2:4">
      <c r="B1767" s="10"/>
      <c r="C1767" s="8"/>
      <c r="D1767" s="8"/>
    </row>
    <row r="1768" spans="2:4">
      <c r="B1768" s="10"/>
      <c r="C1768" s="8"/>
      <c r="D1768" s="10"/>
    </row>
    <row r="1769" spans="2:4">
      <c r="B1769" s="10"/>
      <c r="C1769" s="8"/>
      <c r="D1769" s="10"/>
    </row>
    <row r="1770" spans="2:4">
      <c r="B1770" s="10"/>
      <c r="C1770" s="8"/>
      <c r="D1770" s="10"/>
    </row>
    <row r="1771" spans="2:4">
      <c r="B1771" s="10"/>
      <c r="C1771" s="8"/>
      <c r="D1771" s="10"/>
    </row>
    <row r="1772" spans="2:4">
      <c r="B1772" s="10"/>
      <c r="C1772" s="8"/>
      <c r="D1772" s="8"/>
    </row>
    <row r="1773" spans="2:4">
      <c r="B1773" s="10"/>
      <c r="C1773" s="8"/>
      <c r="D1773" s="10"/>
    </row>
    <row r="1774" spans="2:4">
      <c r="B1774" s="10"/>
      <c r="C1774" s="8"/>
      <c r="D1774" s="10"/>
    </row>
    <row r="1775" spans="2:4">
      <c r="B1775" s="10"/>
      <c r="C1775" s="8"/>
      <c r="D1775" s="10"/>
    </row>
    <row r="1776" spans="2:4">
      <c r="B1776" s="10"/>
      <c r="C1776" s="8"/>
      <c r="D1776" s="10"/>
    </row>
    <row r="1777" spans="2:4">
      <c r="B1777" s="10"/>
      <c r="C1777" s="8"/>
      <c r="D1777" s="8"/>
    </row>
    <row r="1778" spans="2:4">
      <c r="B1778" s="10"/>
      <c r="C1778" s="8"/>
      <c r="D1778" s="10"/>
    </row>
    <row r="1779" spans="2:4">
      <c r="B1779" s="10"/>
      <c r="C1779" s="8"/>
      <c r="D1779" s="10"/>
    </row>
    <row r="1780" spans="2:4">
      <c r="B1780" s="10"/>
      <c r="C1780" s="8"/>
      <c r="D1780" s="10"/>
    </row>
    <row r="1781" spans="2:4">
      <c r="B1781" s="10"/>
      <c r="C1781" s="8"/>
      <c r="D1781" s="10"/>
    </row>
    <row r="1782" spans="2:4">
      <c r="B1782" s="10"/>
      <c r="C1782" s="8"/>
      <c r="D1782" s="8"/>
    </row>
    <row r="1783" spans="2:4">
      <c r="B1783" s="10"/>
      <c r="C1783" s="8"/>
      <c r="D1783" s="10"/>
    </row>
    <row r="1784" spans="2:4">
      <c r="B1784" s="10"/>
      <c r="C1784" s="8"/>
      <c r="D1784" s="10"/>
    </row>
    <row r="1785" spans="2:4">
      <c r="B1785" s="10"/>
      <c r="C1785" s="8"/>
      <c r="D1785" s="10"/>
    </row>
    <row r="1786" spans="2:4">
      <c r="B1786" s="10"/>
      <c r="C1786" s="8"/>
      <c r="D1786" s="10"/>
    </row>
  </sheetData>
  <mergeCells count="718">
    <mergeCell ref="B12:B16"/>
    <mergeCell ref="D13:D16"/>
    <mergeCell ref="B17:B21"/>
    <mergeCell ref="D3:D6"/>
    <mergeCell ref="B2:B6"/>
    <mergeCell ref="B7:B11"/>
    <mergeCell ref="D8:D11"/>
    <mergeCell ref="E3:E6"/>
    <mergeCell ref="E8:E11"/>
    <mergeCell ref="E13:E16"/>
    <mergeCell ref="E18:E21"/>
    <mergeCell ref="B87:B91"/>
    <mergeCell ref="D88:D91"/>
    <mergeCell ref="B32:B36"/>
    <mergeCell ref="D33:D36"/>
    <mergeCell ref="B37:B41"/>
    <mergeCell ref="D38:D41"/>
    <mergeCell ref="B22:B26"/>
    <mergeCell ref="D23:D26"/>
    <mergeCell ref="D18:D21"/>
    <mergeCell ref="B27:B31"/>
    <mergeCell ref="D28:D31"/>
    <mergeCell ref="B92:B96"/>
    <mergeCell ref="D93:D96"/>
    <mergeCell ref="B97:B101"/>
    <mergeCell ref="D98:D101"/>
    <mergeCell ref="B102:B106"/>
    <mergeCell ref="D103:D106"/>
    <mergeCell ref="B42:B46"/>
    <mergeCell ref="D43:D46"/>
    <mergeCell ref="B47:B51"/>
    <mergeCell ref="D48:D51"/>
    <mergeCell ref="B52:B56"/>
    <mergeCell ref="D53:D56"/>
    <mergeCell ref="B57:B61"/>
    <mergeCell ref="D58:D61"/>
    <mergeCell ref="B62:B66"/>
    <mergeCell ref="D63:D66"/>
    <mergeCell ref="B67:B71"/>
    <mergeCell ref="D68:D71"/>
    <mergeCell ref="B72:B76"/>
    <mergeCell ref="D73:D76"/>
    <mergeCell ref="B77:B81"/>
    <mergeCell ref="D78:D81"/>
    <mergeCell ref="B82:B86"/>
    <mergeCell ref="D83:D86"/>
    <mergeCell ref="B122:B126"/>
    <mergeCell ref="D123:D126"/>
    <mergeCell ref="B127:B131"/>
    <mergeCell ref="D128:D131"/>
    <mergeCell ref="B132:B136"/>
    <mergeCell ref="D133:D136"/>
    <mergeCell ref="B107:B111"/>
    <mergeCell ref="D108:D111"/>
    <mergeCell ref="B112:B116"/>
    <mergeCell ref="D113:D116"/>
    <mergeCell ref="B117:B121"/>
    <mergeCell ref="D118:D121"/>
    <mergeCell ref="B152:B156"/>
    <mergeCell ref="D153:D156"/>
    <mergeCell ref="B157:B161"/>
    <mergeCell ref="D158:D161"/>
    <mergeCell ref="B162:B166"/>
    <mergeCell ref="D163:D166"/>
    <mergeCell ref="B137:B141"/>
    <mergeCell ref="D138:D141"/>
    <mergeCell ref="B142:B146"/>
    <mergeCell ref="D143:D146"/>
    <mergeCell ref="B147:B151"/>
    <mergeCell ref="D148:D151"/>
    <mergeCell ref="B182:B186"/>
    <mergeCell ref="D183:D186"/>
    <mergeCell ref="B187:B191"/>
    <mergeCell ref="D188:D191"/>
    <mergeCell ref="B192:B196"/>
    <mergeCell ref="D193:D196"/>
    <mergeCell ref="B167:B171"/>
    <mergeCell ref="D168:D171"/>
    <mergeCell ref="B172:B176"/>
    <mergeCell ref="D173:D176"/>
    <mergeCell ref="B177:B181"/>
    <mergeCell ref="D178:D181"/>
    <mergeCell ref="B212:B216"/>
    <mergeCell ref="D213:D216"/>
    <mergeCell ref="B217:B221"/>
    <mergeCell ref="D218:D221"/>
    <mergeCell ref="B222:B226"/>
    <mergeCell ref="D223:D226"/>
    <mergeCell ref="B197:B201"/>
    <mergeCell ref="D198:D201"/>
    <mergeCell ref="B202:B206"/>
    <mergeCell ref="D203:D206"/>
    <mergeCell ref="B207:B211"/>
    <mergeCell ref="D208:D211"/>
    <mergeCell ref="B242:B246"/>
    <mergeCell ref="D243:D246"/>
    <mergeCell ref="B247:B251"/>
    <mergeCell ref="D248:D251"/>
    <mergeCell ref="B252:B256"/>
    <mergeCell ref="D253:D256"/>
    <mergeCell ref="B227:B231"/>
    <mergeCell ref="D228:D231"/>
    <mergeCell ref="B232:B236"/>
    <mergeCell ref="D233:D236"/>
    <mergeCell ref="B237:B241"/>
    <mergeCell ref="D238:D241"/>
    <mergeCell ref="B272:B276"/>
    <mergeCell ref="D273:D276"/>
    <mergeCell ref="B277:B281"/>
    <mergeCell ref="D278:D281"/>
    <mergeCell ref="B282:B286"/>
    <mergeCell ref="D283:D286"/>
    <mergeCell ref="B257:B261"/>
    <mergeCell ref="D258:D261"/>
    <mergeCell ref="B262:B266"/>
    <mergeCell ref="D263:D266"/>
    <mergeCell ref="B267:B271"/>
    <mergeCell ref="D268:D271"/>
    <mergeCell ref="B302:B306"/>
    <mergeCell ref="D303:D306"/>
    <mergeCell ref="B307:B311"/>
    <mergeCell ref="D308:D311"/>
    <mergeCell ref="B312:B316"/>
    <mergeCell ref="D313:D316"/>
    <mergeCell ref="B287:B291"/>
    <mergeCell ref="D288:D291"/>
    <mergeCell ref="B292:B296"/>
    <mergeCell ref="D293:D296"/>
    <mergeCell ref="B297:B301"/>
    <mergeCell ref="D298:D301"/>
    <mergeCell ref="B332:B336"/>
    <mergeCell ref="D333:D336"/>
    <mergeCell ref="B337:B341"/>
    <mergeCell ref="D338:D341"/>
    <mergeCell ref="B342:B346"/>
    <mergeCell ref="D343:D346"/>
    <mergeCell ref="B317:B321"/>
    <mergeCell ref="D318:D321"/>
    <mergeCell ref="B322:B326"/>
    <mergeCell ref="D323:D326"/>
    <mergeCell ref="B327:B331"/>
    <mergeCell ref="D328:D331"/>
    <mergeCell ref="B362:B366"/>
    <mergeCell ref="D363:D366"/>
    <mergeCell ref="B367:B371"/>
    <mergeCell ref="D368:D371"/>
    <mergeCell ref="B372:B376"/>
    <mergeCell ref="D373:D376"/>
    <mergeCell ref="B347:B351"/>
    <mergeCell ref="D348:D351"/>
    <mergeCell ref="B352:B356"/>
    <mergeCell ref="D353:D356"/>
    <mergeCell ref="B357:B361"/>
    <mergeCell ref="D358:D361"/>
    <mergeCell ref="B392:B396"/>
    <mergeCell ref="D393:D396"/>
    <mergeCell ref="B397:B401"/>
    <mergeCell ref="D398:D401"/>
    <mergeCell ref="B402:B406"/>
    <mergeCell ref="D403:D406"/>
    <mergeCell ref="B377:B381"/>
    <mergeCell ref="D378:D381"/>
    <mergeCell ref="B382:B386"/>
    <mergeCell ref="D383:D386"/>
    <mergeCell ref="B387:B391"/>
    <mergeCell ref="D388:D391"/>
    <mergeCell ref="B422:B426"/>
    <mergeCell ref="D423:D426"/>
    <mergeCell ref="B427:B431"/>
    <mergeCell ref="D428:D431"/>
    <mergeCell ref="B432:B436"/>
    <mergeCell ref="D433:D436"/>
    <mergeCell ref="B407:B411"/>
    <mergeCell ref="D408:D411"/>
    <mergeCell ref="B412:B416"/>
    <mergeCell ref="D413:D416"/>
    <mergeCell ref="B417:B421"/>
    <mergeCell ref="D418:D421"/>
    <mergeCell ref="B452:B456"/>
    <mergeCell ref="D453:D456"/>
    <mergeCell ref="B457:B461"/>
    <mergeCell ref="D458:D461"/>
    <mergeCell ref="B462:B466"/>
    <mergeCell ref="D463:D466"/>
    <mergeCell ref="B437:B441"/>
    <mergeCell ref="D438:D441"/>
    <mergeCell ref="B442:B446"/>
    <mergeCell ref="D443:D446"/>
    <mergeCell ref="B447:B451"/>
    <mergeCell ref="D448:D451"/>
    <mergeCell ref="B482:B486"/>
    <mergeCell ref="D483:D486"/>
    <mergeCell ref="B487:B491"/>
    <mergeCell ref="D488:D491"/>
    <mergeCell ref="B492:B496"/>
    <mergeCell ref="D493:D496"/>
    <mergeCell ref="B467:B471"/>
    <mergeCell ref="D468:D471"/>
    <mergeCell ref="B472:B476"/>
    <mergeCell ref="D473:D476"/>
    <mergeCell ref="B477:B481"/>
    <mergeCell ref="D478:D481"/>
    <mergeCell ref="B512:B516"/>
    <mergeCell ref="D513:D516"/>
    <mergeCell ref="B517:B521"/>
    <mergeCell ref="D518:D521"/>
    <mergeCell ref="B522:B526"/>
    <mergeCell ref="D523:D526"/>
    <mergeCell ref="B497:B501"/>
    <mergeCell ref="D498:D501"/>
    <mergeCell ref="B502:B506"/>
    <mergeCell ref="D503:D506"/>
    <mergeCell ref="B507:B511"/>
    <mergeCell ref="D508:D511"/>
    <mergeCell ref="B542:B546"/>
    <mergeCell ref="D543:D546"/>
    <mergeCell ref="B547:B551"/>
    <mergeCell ref="D548:D551"/>
    <mergeCell ref="B552:B556"/>
    <mergeCell ref="D553:D556"/>
    <mergeCell ref="B527:B531"/>
    <mergeCell ref="D528:D531"/>
    <mergeCell ref="B532:B536"/>
    <mergeCell ref="D533:D536"/>
    <mergeCell ref="B537:B541"/>
    <mergeCell ref="D538:D541"/>
    <mergeCell ref="B572:B576"/>
    <mergeCell ref="D573:D576"/>
    <mergeCell ref="B577:B581"/>
    <mergeCell ref="D578:D581"/>
    <mergeCell ref="B582:B586"/>
    <mergeCell ref="D583:D586"/>
    <mergeCell ref="B557:B561"/>
    <mergeCell ref="D558:D561"/>
    <mergeCell ref="B562:B566"/>
    <mergeCell ref="D563:D566"/>
    <mergeCell ref="B567:B571"/>
    <mergeCell ref="D568:D571"/>
    <mergeCell ref="B602:B606"/>
    <mergeCell ref="D603:D606"/>
    <mergeCell ref="B607:B611"/>
    <mergeCell ref="D608:D611"/>
    <mergeCell ref="B612:B616"/>
    <mergeCell ref="D613:D616"/>
    <mergeCell ref="B587:B591"/>
    <mergeCell ref="D588:D591"/>
    <mergeCell ref="B592:B596"/>
    <mergeCell ref="D593:D596"/>
    <mergeCell ref="B597:B601"/>
    <mergeCell ref="D598:D601"/>
    <mergeCell ref="B632:B636"/>
    <mergeCell ref="D633:D636"/>
    <mergeCell ref="B637:B641"/>
    <mergeCell ref="D638:D641"/>
    <mergeCell ref="B642:B646"/>
    <mergeCell ref="D643:D646"/>
    <mergeCell ref="B617:B621"/>
    <mergeCell ref="D618:D621"/>
    <mergeCell ref="B622:B626"/>
    <mergeCell ref="D623:D626"/>
    <mergeCell ref="B627:B631"/>
    <mergeCell ref="D628:D631"/>
    <mergeCell ref="B662:B666"/>
    <mergeCell ref="D663:D666"/>
    <mergeCell ref="B667:B671"/>
    <mergeCell ref="D668:D671"/>
    <mergeCell ref="B672:B676"/>
    <mergeCell ref="D673:D676"/>
    <mergeCell ref="B647:B651"/>
    <mergeCell ref="D648:D651"/>
    <mergeCell ref="B652:B656"/>
    <mergeCell ref="D653:D656"/>
    <mergeCell ref="B657:B661"/>
    <mergeCell ref="D658:D661"/>
    <mergeCell ref="B692:B696"/>
    <mergeCell ref="D693:D696"/>
    <mergeCell ref="B697:B701"/>
    <mergeCell ref="D698:D701"/>
    <mergeCell ref="B702:B706"/>
    <mergeCell ref="D703:D706"/>
    <mergeCell ref="B677:B681"/>
    <mergeCell ref="D678:D681"/>
    <mergeCell ref="B682:B686"/>
    <mergeCell ref="D683:D686"/>
    <mergeCell ref="B687:B691"/>
    <mergeCell ref="D688:D691"/>
    <mergeCell ref="B722:B726"/>
    <mergeCell ref="D723:D726"/>
    <mergeCell ref="B727:B731"/>
    <mergeCell ref="D728:D731"/>
    <mergeCell ref="B732:B736"/>
    <mergeCell ref="D733:D736"/>
    <mergeCell ref="B707:B711"/>
    <mergeCell ref="D708:D711"/>
    <mergeCell ref="B712:B716"/>
    <mergeCell ref="D713:D716"/>
    <mergeCell ref="B717:B721"/>
    <mergeCell ref="D718:D721"/>
    <mergeCell ref="B752:B756"/>
    <mergeCell ref="D753:D756"/>
    <mergeCell ref="B757:B761"/>
    <mergeCell ref="D758:D761"/>
    <mergeCell ref="B762:B766"/>
    <mergeCell ref="D763:D766"/>
    <mergeCell ref="B737:B741"/>
    <mergeCell ref="D738:D741"/>
    <mergeCell ref="B742:B746"/>
    <mergeCell ref="D743:D746"/>
    <mergeCell ref="B747:B751"/>
    <mergeCell ref="D748:D751"/>
    <mergeCell ref="B782:B786"/>
    <mergeCell ref="D783:D786"/>
    <mergeCell ref="B787:B791"/>
    <mergeCell ref="D788:D791"/>
    <mergeCell ref="B792:B796"/>
    <mergeCell ref="D793:D796"/>
    <mergeCell ref="B767:B771"/>
    <mergeCell ref="D768:D771"/>
    <mergeCell ref="B772:B776"/>
    <mergeCell ref="D773:D776"/>
    <mergeCell ref="B777:B781"/>
    <mergeCell ref="D778:D781"/>
    <mergeCell ref="B812:B816"/>
    <mergeCell ref="D813:D816"/>
    <mergeCell ref="B817:B821"/>
    <mergeCell ref="D818:D821"/>
    <mergeCell ref="B822:B826"/>
    <mergeCell ref="D823:D826"/>
    <mergeCell ref="B797:B801"/>
    <mergeCell ref="D798:D801"/>
    <mergeCell ref="B802:B806"/>
    <mergeCell ref="D803:D806"/>
    <mergeCell ref="B807:B811"/>
    <mergeCell ref="D808:D811"/>
    <mergeCell ref="B842:B846"/>
    <mergeCell ref="D843:D846"/>
    <mergeCell ref="B847:B851"/>
    <mergeCell ref="D848:D851"/>
    <mergeCell ref="B852:B856"/>
    <mergeCell ref="D853:D856"/>
    <mergeCell ref="B827:B831"/>
    <mergeCell ref="D828:D831"/>
    <mergeCell ref="B832:B836"/>
    <mergeCell ref="D833:D836"/>
    <mergeCell ref="B837:B841"/>
    <mergeCell ref="D838:D841"/>
    <mergeCell ref="B872:B876"/>
    <mergeCell ref="D873:D876"/>
    <mergeCell ref="B877:B881"/>
    <mergeCell ref="D878:D881"/>
    <mergeCell ref="B882:B886"/>
    <mergeCell ref="D883:D886"/>
    <mergeCell ref="B857:B861"/>
    <mergeCell ref="D858:D861"/>
    <mergeCell ref="B862:B866"/>
    <mergeCell ref="D863:D866"/>
    <mergeCell ref="B867:B871"/>
    <mergeCell ref="D868:D871"/>
    <mergeCell ref="B902:B906"/>
    <mergeCell ref="D903:D906"/>
    <mergeCell ref="B907:B911"/>
    <mergeCell ref="D908:D911"/>
    <mergeCell ref="B912:B916"/>
    <mergeCell ref="D913:D916"/>
    <mergeCell ref="B887:B891"/>
    <mergeCell ref="D888:D891"/>
    <mergeCell ref="B892:B896"/>
    <mergeCell ref="D893:D896"/>
    <mergeCell ref="B897:B901"/>
    <mergeCell ref="D898:D901"/>
    <mergeCell ref="B932:B936"/>
    <mergeCell ref="D933:D936"/>
    <mergeCell ref="B937:B941"/>
    <mergeCell ref="D938:D941"/>
    <mergeCell ref="B942:B946"/>
    <mergeCell ref="D943:D946"/>
    <mergeCell ref="B917:B921"/>
    <mergeCell ref="D918:D921"/>
    <mergeCell ref="B922:B926"/>
    <mergeCell ref="D923:D926"/>
    <mergeCell ref="B927:B931"/>
    <mergeCell ref="D928:D931"/>
    <mergeCell ref="B962:B966"/>
    <mergeCell ref="D963:D966"/>
    <mergeCell ref="B967:B971"/>
    <mergeCell ref="D968:D971"/>
    <mergeCell ref="B972:B976"/>
    <mergeCell ref="D973:D976"/>
    <mergeCell ref="B947:B951"/>
    <mergeCell ref="D948:D951"/>
    <mergeCell ref="B952:B956"/>
    <mergeCell ref="D953:D956"/>
    <mergeCell ref="B957:B961"/>
    <mergeCell ref="D958:D961"/>
    <mergeCell ref="B992:B996"/>
    <mergeCell ref="D993:D996"/>
    <mergeCell ref="B997:B1001"/>
    <mergeCell ref="D998:D1001"/>
    <mergeCell ref="B1002:B1006"/>
    <mergeCell ref="D1003:D1006"/>
    <mergeCell ref="B977:B981"/>
    <mergeCell ref="D978:D981"/>
    <mergeCell ref="B982:B986"/>
    <mergeCell ref="D983:D986"/>
    <mergeCell ref="B987:B991"/>
    <mergeCell ref="D988:D991"/>
    <mergeCell ref="B1022:B1026"/>
    <mergeCell ref="D1023:D1026"/>
    <mergeCell ref="B1027:B1031"/>
    <mergeCell ref="D1028:D1031"/>
    <mergeCell ref="B1032:B1036"/>
    <mergeCell ref="D1033:D1036"/>
    <mergeCell ref="B1007:B1011"/>
    <mergeCell ref="D1008:D1011"/>
    <mergeCell ref="B1012:B1016"/>
    <mergeCell ref="D1013:D1016"/>
    <mergeCell ref="B1017:B1021"/>
    <mergeCell ref="D1018:D1021"/>
    <mergeCell ref="B1052:B1056"/>
    <mergeCell ref="D1053:D1056"/>
    <mergeCell ref="B1057:B1061"/>
    <mergeCell ref="D1058:D1061"/>
    <mergeCell ref="B1062:B1066"/>
    <mergeCell ref="D1063:D1066"/>
    <mergeCell ref="B1037:B1041"/>
    <mergeCell ref="D1038:D1041"/>
    <mergeCell ref="B1042:B1046"/>
    <mergeCell ref="D1043:D1046"/>
    <mergeCell ref="B1047:B1051"/>
    <mergeCell ref="D1048:D1051"/>
    <mergeCell ref="B1082:B1086"/>
    <mergeCell ref="D1083:D1086"/>
    <mergeCell ref="B1087:B1091"/>
    <mergeCell ref="D1088:D1091"/>
    <mergeCell ref="B1092:B1096"/>
    <mergeCell ref="D1093:D1096"/>
    <mergeCell ref="B1067:B1071"/>
    <mergeCell ref="D1068:D1071"/>
    <mergeCell ref="B1072:B1076"/>
    <mergeCell ref="D1073:D1076"/>
    <mergeCell ref="B1077:B1081"/>
    <mergeCell ref="D1078:D1081"/>
    <mergeCell ref="B1112:B1116"/>
    <mergeCell ref="D1113:D1116"/>
    <mergeCell ref="B1117:B1121"/>
    <mergeCell ref="D1118:D1121"/>
    <mergeCell ref="B1122:B1126"/>
    <mergeCell ref="D1123:D1126"/>
    <mergeCell ref="B1097:B1101"/>
    <mergeCell ref="D1098:D1101"/>
    <mergeCell ref="B1102:B1106"/>
    <mergeCell ref="D1103:D1106"/>
    <mergeCell ref="B1107:B1111"/>
    <mergeCell ref="D1108:D1111"/>
    <mergeCell ref="B1142:B1146"/>
    <mergeCell ref="D1143:D1146"/>
    <mergeCell ref="B1147:B1151"/>
    <mergeCell ref="D1148:D1151"/>
    <mergeCell ref="B1152:B1156"/>
    <mergeCell ref="D1153:D1156"/>
    <mergeCell ref="B1127:B1131"/>
    <mergeCell ref="D1128:D1131"/>
    <mergeCell ref="B1132:B1136"/>
    <mergeCell ref="D1133:D1136"/>
    <mergeCell ref="B1137:B1141"/>
    <mergeCell ref="D1138:D1141"/>
    <mergeCell ref="B1172:B1176"/>
    <mergeCell ref="D1173:D1176"/>
    <mergeCell ref="B1177:B1181"/>
    <mergeCell ref="D1178:D1181"/>
    <mergeCell ref="B1182:B1186"/>
    <mergeCell ref="D1183:D1186"/>
    <mergeCell ref="B1157:B1161"/>
    <mergeCell ref="D1158:D1161"/>
    <mergeCell ref="B1162:B1166"/>
    <mergeCell ref="D1163:D1166"/>
    <mergeCell ref="B1167:B1171"/>
    <mergeCell ref="D1168:D1171"/>
    <mergeCell ref="B1202:B1206"/>
    <mergeCell ref="D1203:D1206"/>
    <mergeCell ref="B1207:B1211"/>
    <mergeCell ref="D1208:D1211"/>
    <mergeCell ref="B1212:B1216"/>
    <mergeCell ref="D1213:D1216"/>
    <mergeCell ref="B1187:B1191"/>
    <mergeCell ref="D1188:D1191"/>
    <mergeCell ref="B1192:B1196"/>
    <mergeCell ref="D1193:D1196"/>
    <mergeCell ref="B1197:B1201"/>
    <mergeCell ref="D1198:D1201"/>
    <mergeCell ref="B1232:B1236"/>
    <mergeCell ref="D1233:D1236"/>
    <mergeCell ref="B1237:B1241"/>
    <mergeCell ref="D1238:D1241"/>
    <mergeCell ref="B1242:B1246"/>
    <mergeCell ref="D1243:D1246"/>
    <mergeCell ref="B1217:B1221"/>
    <mergeCell ref="D1218:D1221"/>
    <mergeCell ref="B1222:B1226"/>
    <mergeCell ref="D1223:D1226"/>
    <mergeCell ref="B1227:B1231"/>
    <mergeCell ref="D1228:D1231"/>
    <mergeCell ref="B1262:B1266"/>
    <mergeCell ref="D1263:D1266"/>
    <mergeCell ref="B1267:B1271"/>
    <mergeCell ref="D1268:D1271"/>
    <mergeCell ref="B1272:B1276"/>
    <mergeCell ref="D1273:D1276"/>
    <mergeCell ref="B1247:B1251"/>
    <mergeCell ref="D1248:D1251"/>
    <mergeCell ref="B1252:B1256"/>
    <mergeCell ref="D1253:D1256"/>
    <mergeCell ref="B1257:B1261"/>
    <mergeCell ref="D1258:D1261"/>
    <mergeCell ref="B1292:B1296"/>
    <mergeCell ref="D1293:D1296"/>
    <mergeCell ref="B1297:B1301"/>
    <mergeCell ref="D1298:D1301"/>
    <mergeCell ref="B1302:B1306"/>
    <mergeCell ref="D1303:D1306"/>
    <mergeCell ref="B1277:B1281"/>
    <mergeCell ref="D1278:D1281"/>
    <mergeCell ref="B1282:B1286"/>
    <mergeCell ref="D1283:D1286"/>
    <mergeCell ref="B1287:B1291"/>
    <mergeCell ref="D1288:D1291"/>
    <mergeCell ref="B1322:B1326"/>
    <mergeCell ref="D1323:D1326"/>
    <mergeCell ref="B1327:B1331"/>
    <mergeCell ref="D1328:D1331"/>
    <mergeCell ref="B1332:B1336"/>
    <mergeCell ref="D1333:D1336"/>
    <mergeCell ref="B1307:B1311"/>
    <mergeCell ref="D1308:D1311"/>
    <mergeCell ref="B1312:B1316"/>
    <mergeCell ref="D1313:D1316"/>
    <mergeCell ref="B1317:B1321"/>
    <mergeCell ref="D1318:D1321"/>
    <mergeCell ref="B1352:B1356"/>
    <mergeCell ref="D1353:D1356"/>
    <mergeCell ref="B1357:B1361"/>
    <mergeCell ref="D1358:D1361"/>
    <mergeCell ref="B1362:B1366"/>
    <mergeCell ref="D1363:D1366"/>
    <mergeCell ref="B1337:B1341"/>
    <mergeCell ref="D1338:D1341"/>
    <mergeCell ref="B1342:B1346"/>
    <mergeCell ref="D1343:D1346"/>
    <mergeCell ref="B1347:B1351"/>
    <mergeCell ref="D1348:D1351"/>
    <mergeCell ref="B1382:B1386"/>
    <mergeCell ref="D1383:D1386"/>
    <mergeCell ref="B1387:B1391"/>
    <mergeCell ref="D1388:D1391"/>
    <mergeCell ref="B1392:B1396"/>
    <mergeCell ref="D1393:D1396"/>
    <mergeCell ref="B1367:B1371"/>
    <mergeCell ref="D1368:D1371"/>
    <mergeCell ref="B1372:B1376"/>
    <mergeCell ref="D1373:D1376"/>
    <mergeCell ref="B1377:B1381"/>
    <mergeCell ref="D1378:D1381"/>
    <mergeCell ref="B1412:B1416"/>
    <mergeCell ref="D1413:D1416"/>
    <mergeCell ref="B1417:B1421"/>
    <mergeCell ref="D1418:D1421"/>
    <mergeCell ref="B1422:B1426"/>
    <mergeCell ref="D1423:D1426"/>
    <mergeCell ref="B1397:B1401"/>
    <mergeCell ref="D1398:D1401"/>
    <mergeCell ref="B1402:B1406"/>
    <mergeCell ref="D1403:D1406"/>
    <mergeCell ref="B1407:B1411"/>
    <mergeCell ref="D1408:D1411"/>
    <mergeCell ref="B1442:B1446"/>
    <mergeCell ref="D1443:D1446"/>
    <mergeCell ref="B1447:B1451"/>
    <mergeCell ref="D1448:D1451"/>
    <mergeCell ref="B1452:B1456"/>
    <mergeCell ref="D1453:D1456"/>
    <mergeCell ref="B1427:B1431"/>
    <mergeCell ref="D1428:D1431"/>
    <mergeCell ref="B1432:B1436"/>
    <mergeCell ref="D1433:D1436"/>
    <mergeCell ref="B1437:B1441"/>
    <mergeCell ref="D1438:D1441"/>
    <mergeCell ref="B1472:B1476"/>
    <mergeCell ref="D1473:D1476"/>
    <mergeCell ref="B1477:B1481"/>
    <mergeCell ref="D1478:D1481"/>
    <mergeCell ref="B1482:B1486"/>
    <mergeCell ref="D1483:D1486"/>
    <mergeCell ref="B1457:B1461"/>
    <mergeCell ref="D1458:D1461"/>
    <mergeCell ref="B1462:B1466"/>
    <mergeCell ref="D1463:D1466"/>
    <mergeCell ref="B1467:B1471"/>
    <mergeCell ref="D1468:D1471"/>
    <mergeCell ref="B1502:B1506"/>
    <mergeCell ref="D1503:D1506"/>
    <mergeCell ref="B1507:B1511"/>
    <mergeCell ref="D1508:D1511"/>
    <mergeCell ref="B1512:B1516"/>
    <mergeCell ref="D1513:D1516"/>
    <mergeCell ref="B1487:B1491"/>
    <mergeCell ref="D1488:D1491"/>
    <mergeCell ref="B1492:B1496"/>
    <mergeCell ref="D1493:D1496"/>
    <mergeCell ref="B1497:B1501"/>
    <mergeCell ref="D1498:D1501"/>
    <mergeCell ref="B1532:B1536"/>
    <mergeCell ref="D1533:D1536"/>
    <mergeCell ref="B1537:B1541"/>
    <mergeCell ref="D1538:D1541"/>
    <mergeCell ref="B1542:B1546"/>
    <mergeCell ref="D1543:D1546"/>
    <mergeCell ref="B1517:B1521"/>
    <mergeCell ref="D1518:D1521"/>
    <mergeCell ref="B1522:B1526"/>
    <mergeCell ref="D1523:D1526"/>
    <mergeCell ref="B1527:B1531"/>
    <mergeCell ref="D1528:D1531"/>
    <mergeCell ref="B1562:B1566"/>
    <mergeCell ref="D1563:D1566"/>
    <mergeCell ref="B1567:B1571"/>
    <mergeCell ref="D1568:D1571"/>
    <mergeCell ref="B1572:B1576"/>
    <mergeCell ref="D1573:D1576"/>
    <mergeCell ref="B1547:B1551"/>
    <mergeCell ref="D1548:D1551"/>
    <mergeCell ref="B1552:B1556"/>
    <mergeCell ref="D1553:D1556"/>
    <mergeCell ref="B1557:B1561"/>
    <mergeCell ref="D1558:D1561"/>
    <mergeCell ref="B1592:B1596"/>
    <mergeCell ref="D1593:D1596"/>
    <mergeCell ref="B1597:B1601"/>
    <mergeCell ref="D1598:D1601"/>
    <mergeCell ref="B1602:B1606"/>
    <mergeCell ref="D1603:D1606"/>
    <mergeCell ref="B1577:B1581"/>
    <mergeCell ref="D1578:D1581"/>
    <mergeCell ref="B1582:B1586"/>
    <mergeCell ref="D1583:D1586"/>
    <mergeCell ref="B1587:B1591"/>
    <mergeCell ref="D1588:D1591"/>
    <mergeCell ref="B1622:B1626"/>
    <mergeCell ref="D1623:D1626"/>
    <mergeCell ref="B1627:B1631"/>
    <mergeCell ref="D1628:D1631"/>
    <mergeCell ref="B1632:B1636"/>
    <mergeCell ref="D1633:D1636"/>
    <mergeCell ref="B1607:B1611"/>
    <mergeCell ref="D1608:D1611"/>
    <mergeCell ref="B1612:B1616"/>
    <mergeCell ref="D1613:D1616"/>
    <mergeCell ref="B1617:B1621"/>
    <mergeCell ref="D1618:D1621"/>
    <mergeCell ref="B1652:B1656"/>
    <mergeCell ref="D1653:D1656"/>
    <mergeCell ref="B1657:B1661"/>
    <mergeCell ref="D1658:D1661"/>
    <mergeCell ref="B1662:B1666"/>
    <mergeCell ref="D1663:D1666"/>
    <mergeCell ref="B1637:B1641"/>
    <mergeCell ref="D1638:D1641"/>
    <mergeCell ref="B1642:B1646"/>
    <mergeCell ref="D1643:D1646"/>
    <mergeCell ref="B1647:B1651"/>
    <mergeCell ref="D1648:D1651"/>
    <mergeCell ref="B1682:B1686"/>
    <mergeCell ref="D1683:D1686"/>
    <mergeCell ref="B1687:B1691"/>
    <mergeCell ref="D1688:D1691"/>
    <mergeCell ref="B1692:B1696"/>
    <mergeCell ref="D1693:D1696"/>
    <mergeCell ref="B1667:B1671"/>
    <mergeCell ref="D1668:D1671"/>
    <mergeCell ref="B1672:B1676"/>
    <mergeCell ref="D1673:D1676"/>
    <mergeCell ref="B1677:B1681"/>
    <mergeCell ref="D1678:D1681"/>
    <mergeCell ref="B1712:B1716"/>
    <mergeCell ref="D1713:D1716"/>
    <mergeCell ref="B1717:B1721"/>
    <mergeCell ref="D1718:D1721"/>
    <mergeCell ref="B1722:B1726"/>
    <mergeCell ref="D1723:D1726"/>
    <mergeCell ref="B1697:B1701"/>
    <mergeCell ref="D1698:D1701"/>
    <mergeCell ref="B1702:B1706"/>
    <mergeCell ref="D1703:D1706"/>
    <mergeCell ref="B1707:B1711"/>
    <mergeCell ref="D1708:D1711"/>
    <mergeCell ref="B1742:B1746"/>
    <mergeCell ref="D1743:D1746"/>
    <mergeCell ref="B1747:B1751"/>
    <mergeCell ref="D1748:D1751"/>
    <mergeCell ref="B1752:B1756"/>
    <mergeCell ref="D1753:D1756"/>
    <mergeCell ref="B1727:B1731"/>
    <mergeCell ref="D1728:D1731"/>
    <mergeCell ref="B1732:B1736"/>
    <mergeCell ref="D1733:D1736"/>
    <mergeCell ref="B1737:B1741"/>
    <mergeCell ref="D1738:D1741"/>
    <mergeCell ref="B1772:B1776"/>
    <mergeCell ref="D1773:D1776"/>
    <mergeCell ref="B1777:B1781"/>
    <mergeCell ref="D1778:D1781"/>
    <mergeCell ref="B1782:B1786"/>
    <mergeCell ref="D1783:D1786"/>
    <mergeCell ref="B1757:B1761"/>
    <mergeCell ref="D1758:D1761"/>
    <mergeCell ref="B1762:B1766"/>
    <mergeCell ref="D1763:D1766"/>
    <mergeCell ref="B1767:B1771"/>
    <mergeCell ref="D1768:D1771"/>
  </mergeCells>
  <phoneticPr fontId="5"/>
  <conditionalFormatting sqref="B1:B1048576">
    <cfRule type="expression" dxfId="7" priority="8" stopIfTrue="1">
      <formula>OFFSET($F$1,ROW()+2,0,1,1)="White"</formula>
    </cfRule>
    <cfRule type="expression" dxfId="6" priority="7" stopIfTrue="1">
      <formula>OFFSET($F$1,ROW()+2,0,1,1)="Blue"</formula>
    </cfRule>
    <cfRule type="expression" dxfId="5" priority="6" stopIfTrue="1">
      <formula>OFFSET($F$1,ROW()+2,0,1,1)="Black"</formula>
    </cfRule>
    <cfRule type="expression" dxfId="4" priority="5" stopIfTrue="1">
      <formula>OFFSET($F$1,ROW()+2,0,1,1)="Red"</formula>
    </cfRule>
    <cfRule type="expression" dxfId="3" priority="4" stopIfTrue="1">
      <formula>OFFSET($F$1,ROW()+2,0,1,1)="Green"</formula>
    </cfRule>
    <cfRule type="expression" dxfId="2" priority="3" stopIfTrue="1">
      <formula>OFFSET($F$1,ROW()+2,0,1,1)="Colorless"</formula>
    </cfRule>
    <cfRule type="expression" dxfId="1" priority="2" stopIfTrue="1">
      <formula>OFFSET($F$1,ROW()+2,0,1,1)="Land"</formula>
    </cfRule>
    <cfRule type="expression" dxfId="0" priority="1" stopIfTrue="1">
      <formula>OFFSET($F$1,ROW()+2,0,1,1)="multi"</formula>
    </cfRule>
  </conditionalFormatting>
  <pageMargins left="0.7" right="0.7" top="0.75" bottom="0.75" header="0.3" footer="0.3"/>
  <pageSetup paperSize="9"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sheetPr codeName="Sheet5"/>
  <dimension ref="A1:I205"/>
  <sheetViews>
    <sheetView workbookViewId="0">
      <selection activeCell="D21" sqref="D21"/>
    </sheetView>
  </sheetViews>
  <sheetFormatPr defaultRowHeight="11.25"/>
  <cols>
    <col min="1" max="16384" width="9" style="1"/>
  </cols>
  <sheetData>
    <row r="1" spans="1:9">
      <c r="A1" s="1">
        <v>1</v>
      </c>
      <c r="B1" s="1" t="s">
        <v>196</v>
      </c>
      <c r="D1" s="1" t="e">
        <f>VLOOKUP(B1,channelfireball!A:C,2,FALSE)</f>
        <v>#N/A</v>
      </c>
      <c r="E1" s="1" t="e">
        <f>VLOOKUP(B1,channelfireball!A:C,3,FALSE)</f>
        <v>#N/A</v>
      </c>
      <c r="F1" s="1">
        <f>VLOOKUP(B1,smds!B:C,2,FALSE)</f>
        <v>1.9</v>
      </c>
      <c r="G1" s="1" t="e">
        <f>VLOOKUP(B1,oracle!A:D,2,FALSE)</f>
        <v>#N/A</v>
      </c>
      <c r="H1" s="1" t="e">
        <f>VLOOKUP(B1,oracle!A:D,3,FALSE)</f>
        <v>#N/A</v>
      </c>
      <c r="I1" s="1" t="e">
        <f>VLOOKUP(B1,oracle!A:D,4,FALSE)</f>
        <v>#N/A</v>
      </c>
    </row>
    <row r="2" spans="1:9">
      <c r="A2" s="1">
        <v>2</v>
      </c>
      <c r="B2" s="1" t="s">
        <v>174</v>
      </c>
      <c r="D2" s="1" t="e">
        <f>VLOOKUP(B2,channelfireball!A:C,2,FALSE)</f>
        <v>#N/A</v>
      </c>
      <c r="E2" s="1" t="e">
        <f>VLOOKUP(B2,channelfireball!A:C,3,FALSE)</f>
        <v>#N/A</v>
      </c>
      <c r="F2" s="1">
        <f>VLOOKUP(B2,smds!B:C,2,FALSE)</f>
        <v>10</v>
      </c>
      <c r="G2" s="1" t="e">
        <f>VLOOKUP(B2,oracle!A:D,2,FALSE)</f>
        <v>#N/A</v>
      </c>
      <c r="H2" s="1" t="e">
        <f>VLOOKUP(B2,oracle!A:D,3,FALSE)</f>
        <v>#N/A</v>
      </c>
      <c r="I2" s="1" t="e">
        <f>VLOOKUP(B2,oracle!A:D,4,FALSE)</f>
        <v>#N/A</v>
      </c>
    </row>
    <row r="3" spans="1:9">
      <c r="A3" s="1">
        <v>3</v>
      </c>
      <c r="B3" s="1" t="s">
        <v>197</v>
      </c>
      <c r="D3" s="1" t="e">
        <f>VLOOKUP(B3,channelfireball!A:C,2,FALSE)</f>
        <v>#N/A</v>
      </c>
      <c r="E3" s="1" t="e">
        <f>VLOOKUP(B3,channelfireball!A:C,3,FALSE)</f>
        <v>#N/A</v>
      </c>
      <c r="F3" s="1">
        <f>VLOOKUP(B3,smds!B:C,2,FALSE)</f>
        <v>9.5</v>
      </c>
      <c r="G3" s="1" t="e">
        <f>VLOOKUP(B3,oracle!A:D,2,FALSE)</f>
        <v>#N/A</v>
      </c>
      <c r="H3" s="1" t="e">
        <f>VLOOKUP(B3,oracle!A:D,3,FALSE)</f>
        <v>#N/A</v>
      </c>
      <c r="I3" s="1" t="e">
        <f>VLOOKUP(B3,oracle!A:D,4,FALSE)</f>
        <v>#N/A</v>
      </c>
    </row>
    <row r="4" spans="1:9">
      <c r="A4" s="1">
        <v>4</v>
      </c>
      <c r="B4" s="1" t="s">
        <v>198</v>
      </c>
      <c r="D4" s="1" t="e">
        <f>VLOOKUP(B4,channelfireball!A:C,2,FALSE)</f>
        <v>#N/A</v>
      </c>
      <c r="E4" s="1" t="e">
        <f>VLOOKUP(B4,channelfireball!A:C,3,FALSE)</f>
        <v>#N/A</v>
      </c>
      <c r="F4" s="1">
        <f>VLOOKUP(B4,smds!B:C,2,FALSE)</f>
        <v>1.7</v>
      </c>
      <c r="G4" s="1" t="e">
        <f>VLOOKUP(B4,oracle!A:D,2,FALSE)</f>
        <v>#N/A</v>
      </c>
      <c r="H4" s="1" t="e">
        <f>VLOOKUP(B4,oracle!A:D,3,FALSE)</f>
        <v>#N/A</v>
      </c>
      <c r="I4" s="1" t="e">
        <f>VLOOKUP(B4,oracle!A:D,4,FALSE)</f>
        <v>#N/A</v>
      </c>
    </row>
    <row r="5" spans="1:9">
      <c r="A5" s="1">
        <v>5</v>
      </c>
      <c r="B5" s="1" t="s">
        <v>199</v>
      </c>
      <c r="D5" s="1" t="e">
        <f>VLOOKUP(B5,channelfireball!A:C,2,FALSE)</f>
        <v>#N/A</v>
      </c>
      <c r="E5" s="1" t="e">
        <f>VLOOKUP(B5,channelfireball!A:C,3,FALSE)</f>
        <v>#N/A</v>
      </c>
      <c r="F5" s="1">
        <f>VLOOKUP(B5,smds!B:C,2,FALSE)</f>
        <v>9.6999999999999993</v>
      </c>
      <c r="G5" s="1" t="e">
        <f>VLOOKUP(B5,oracle!A:D,2,FALSE)</f>
        <v>#N/A</v>
      </c>
      <c r="H5" s="1" t="e">
        <f>VLOOKUP(B5,oracle!A:D,3,FALSE)</f>
        <v>#N/A</v>
      </c>
      <c r="I5" s="1" t="e">
        <f>VLOOKUP(B5,oracle!A:D,4,FALSE)</f>
        <v>#N/A</v>
      </c>
    </row>
    <row r="6" spans="1:9">
      <c r="A6" s="1">
        <v>6</v>
      </c>
      <c r="B6" s="2" t="s">
        <v>373</v>
      </c>
      <c r="D6" s="1" t="e">
        <f>VLOOKUP(B6,channelfireball!A:C,2,FALSE)</f>
        <v>#N/A</v>
      </c>
      <c r="E6" s="1" t="e">
        <f>VLOOKUP(B6,channelfireball!A:C,3,FALSE)</f>
        <v>#N/A</v>
      </c>
      <c r="F6" s="1">
        <f>VLOOKUP(B6,smds!B:C,2,FALSE)</f>
        <v>10</v>
      </c>
      <c r="G6" s="1" t="e">
        <f>VLOOKUP(B6,oracle!A:D,2,FALSE)</f>
        <v>#N/A</v>
      </c>
      <c r="H6" s="1" t="e">
        <f>VLOOKUP(B6,oracle!A:D,3,FALSE)</f>
        <v>#N/A</v>
      </c>
      <c r="I6" s="1" t="e">
        <f>VLOOKUP(B6,oracle!A:D,4,FALSE)</f>
        <v>#N/A</v>
      </c>
    </row>
    <row r="7" spans="1:9">
      <c r="A7" s="1">
        <v>7</v>
      </c>
      <c r="B7" s="1" t="s">
        <v>201</v>
      </c>
      <c r="D7" s="1" t="e">
        <f>VLOOKUP(B7,channelfireball!A:C,2,FALSE)</f>
        <v>#N/A</v>
      </c>
      <c r="E7" s="1" t="e">
        <f>VLOOKUP(B7,channelfireball!A:C,3,FALSE)</f>
        <v>#N/A</v>
      </c>
      <c r="F7" s="1">
        <f>VLOOKUP(B7,smds!B:C,2,FALSE)</f>
        <v>5.4</v>
      </c>
      <c r="G7" s="1" t="e">
        <f>VLOOKUP(B7,oracle!A:D,2,FALSE)</f>
        <v>#N/A</v>
      </c>
      <c r="H7" s="1" t="e">
        <f>VLOOKUP(B7,oracle!A:D,3,FALSE)</f>
        <v>#N/A</v>
      </c>
      <c r="I7" s="1" t="e">
        <f>VLOOKUP(B7,oracle!A:D,4,FALSE)</f>
        <v>#N/A</v>
      </c>
    </row>
    <row r="8" spans="1:9">
      <c r="A8" s="1">
        <v>8</v>
      </c>
      <c r="B8" s="1" t="s">
        <v>181</v>
      </c>
      <c r="D8" s="1" t="e">
        <f>VLOOKUP(B8,channelfireball!A:C,2,FALSE)</f>
        <v>#N/A</v>
      </c>
      <c r="E8" s="1" t="e">
        <f>VLOOKUP(B8,channelfireball!A:C,3,FALSE)</f>
        <v>#N/A</v>
      </c>
      <c r="F8" s="1">
        <f>VLOOKUP(B8,smds!B:C,2,FALSE)</f>
        <v>1</v>
      </c>
      <c r="G8" s="1" t="e">
        <f>VLOOKUP(B8,oracle!A:D,2,FALSE)</f>
        <v>#N/A</v>
      </c>
      <c r="H8" s="1" t="e">
        <f>VLOOKUP(B8,oracle!A:D,3,FALSE)</f>
        <v>#N/A</v>
      </c>
      <c r="I8" s="1" t="e">
        <f>VLOOKUP(B8,oracle!A:D,4,FALSE)</f>
        <v>#N/A</v>
      </c>
    </row>
    <row r="9" spans="1:9">
      <c r="A9" s="1">
        <v>9</v>
      </c>
      <c r="B9" s="1" t="s">
        <v>202</v>
      </c>
      <c r="D9" s="1" t="e">
        <f>VLOOKUP(B9,channelfireball!A:C,2,FALSE)</f>
        <v>#N/A</v>
      </c>
      <c r="E9" s="1" t="e">
        <f>VLOOKUP(B9,channelfireball!A:C,3,FALSE)</f>
        <v>#N/A</v>
      </c>
      <c r="F9" s="1">
        <f>VLOOKUP(B9,smds!B:C,2,FALSE)</f>
        <v>1.1000000000000001</v>
      </c>
      <c r="G9" s="1" t="e">
        <f>VLOOKUP(B9,oracle!A:D,2,FALSE)</f>
        <v>#N/A</v>
      </c>
      <c r="H9" s="1" t="e">
        <f>VLOOKUP(B9,oracle!A:D,3,FALSE)</f>
        <v>#N/A</v>
      </c>
      <c r="I9" s="1" t="e">
        <f>VLOOKUP(B9,oracle!A:D,4,FALSE)</f>
        <v>#N/A</v>
      </c>
    </row>
    <row r="10" spans="1:9">
      <c r="A10" s="1">
        <v>10</v>
      </c>
      <c r="B10" s="1" t="s">
        <v>182</v>
      </c>
      <c r="D10" s="1" t="e">
        <f>VLOOKUP(B10,channelfireball!A:C,2,FALSE)</f>
        <v>#N/A</v>
      </c>
      <c r="E10" s="1" t="e">
        <f>VLOOKUP(B10,channelfireball!A:C,3,FALSE)</f>
        <v>#N/A</v>
      </c>
      <c r="F10" s="1">
        <f>VLOOKUP(B10,smds!B:C,2,FALSE)</f>
        <v>1.2</v>
      </c>
      <c r="G10" s="1" t="e">
        <f>VLOOKUP(B10,oracle!A:D,2,FALSE)</f>
        <v>#N/A</v>
      </c>
      <c r="H10" s="1" t="e">
        <f>VLOOKUP(B10,oracle!A:D,3,FALSE)</f>
        <v>#N/A</v>
      </c>
      <c r="I10" s="1" t="e">
        <f>VLOOKUP(B10,oracle!A:D,4,FALSE)</f>
        <v>#N/A</v>
      </c>
    </row>
    <row r="11" spans="1:9">
      <c r="A11" s="1">
        <v>11</v>
      </c>
      <c r="B11" s="1" t="s">
        <v>203</v>
      </c>
      <c r="D11" s="1" t="e">
        <f>VLOOKUP(B11,channelfireball!A:C,2,FALSE)</f>
        <v>#N/A</v>
      </c>
      <c r="E11" s="1" t="e">
        <f>VLOOKUP(B11,channelfireball!A:C,3,FALSE)</f>
        <v>#N/A</v>
      </c>
      <c r="F11" s="1">
        <f>VLOOKUP(B11,smds!B:C,2,FALSE)</f>
        <v>1.7</v>
      </c>
      <c r="G11" s="1" t="e">
        <f>VLOOKUP(B11,oracle!A:D,2,FALSE)</f>
        <v>#N/A</v>
      </c>
      <c r="H11" s="1" t="e">
        <f>VLOOKUP(B11,oracle!A:D,3,FALSE)</f>
        <v>#N/A</v>
      </c>
      <c r="I11" s="1" t="e">
        <f>VLOOKUP(B11,oracle!A:D,4,FALSE)</f>
        <v>#N/A</v>
      </c>
    </row>
    <row r="12" spans="1:9">
      <c r="A12" s="1">
        <v>12</v>
      </c>
      <c r="B12" s="1" t="s">
        <v>204</v>
      </c>
      <c r="D12" s="1" t="e">
        <f>VLOOKUP(B12,channelfireball!A:C,2,FALSE)</f>
        <v>#N/A</v>
      </c>
      <c r="E12" s="1" t="e">
        <f>VLOOKUP(B12,channelfireball!A:C,3,FALSE)</f>
        <v>#N/A</v>
      </c>
      <c r="F12" s="1">
        <f>VLOOKUP(B12,smds!B:C,2,FALSE)</f>
        <v>1.4</v>
      </c>
      <c r="G12" s="1" t="e">
        <f>VLOOKUP(B12,oracle!A:D,2,FALSE)</f>
        <v>#N/A</v>
      </c>
      <c r="H12" s="1" t="e">
        <f>VLOOKUP(B12,oracle!A:D,3,FALSE)</f>
        <v>#N/A</v>
      </c>
      <c r="I12" s="1" t="e">
        <f>VLOOKUP(B12,oracle!A:D,4,FALSE)</f>
        <v>#N/A</v>
      </c>
    </row>
    <row r="13" spans="1:9">
      <c r="A13" s="1">
        <v>13</v>
      </c>
      <c r="B13" s="1" t="s">
        <v>1</v>
      </c>
      <c r="D13" s="1" t="e">
        <f>VLOOKUP(B13,channelfireball!A:C,2,FALSE)</f>
        <v>#N/A</v>
      </c>
      <c r="E13" s="1" t="e">
        <f>VLOOKUP(B13,channelfireball!A:C,3,FALSE)</f>
        <v>#N/A</v>
      </c>
      <c r="F13" s="1">
        <f>VLOOKUP(B13,smds!B:C,2,FALSE)</f>
        <v>2.5</v>
      </c>
      <c r="G13" s="1" t="e">
        <f>VLOOKUP(B13,oracle!A:D,2,FALSE)</f>
        <v>#N/A</v>
      </c>
      <c r="H13" s="1" t="e">
        <f>VLOOKUP(B13,oracle!A:D,3,FALSE)</f>
        <v>#N/A</v>
      </c>
      <c r="I13" s="1" t="e">
        <f>VLOOKUP(B13,oracle!A:D,4,FALSE)</f>
        <v>#N/A</v>
      </c>
    </row>
    <row r="14" spans="1:9">
      <c r="A14" s="1">
        <v>14</v>
      </c>
      <c r="B14" s="1" t="s">
        <v>3</v>
      </c>
      <c r="D14" s="1" t="e">
        <f>VLOOKUP(B14,channelfireball!A:C,2,FALSE)</f>
        <v>#N/A</v>
      </c>
      <c r="E14" s="1" t="e">
        <f>VLOOKUP(B14,channelfireball!A:C,3,FALSE)</f>
        <v>#N/A</v>
      </c>
      <c r="F14" s="1">
        <f>VLOOKUP(B14,smds!B:C,2,FALSE)</f>
        <v>1</v>
      </c>
      <c r="G14" s="1" t="e">
        <f>VLOOKUP(B14,oracle!A:D,2,FALSE)</f>
        <v>#N/A</v>
      </c>
      <c r="H14" s="1" t="e">
        <f>VLOOKUP(B14,oracle!A:D,3,FALSE)</f>
        <v>#N/A</v>
      </c>
      <c r="I14" s="1" t="e">
        <f>VLOOKUP(B14,oracle!A:D,4,FALSE)</f>
        <v>#N/A</v>
      </c>
    </row>
    <row r="15" spans="1:9">
      <c r="A15" s="1">
        <v>15</v>
      </c>
      <c r="B15" s="1" t="s">
        <v>228</v>
      </c>
      <c r="D15" s="1" t="e">
        <f>VLOOKUP(B15,channelfireball!A:C,2,FALSE)</f>
        <v>#N/A</v>
      </c>
      <c r="E15" s="1" t="e">
        <f>VLOOKUP(B15,channelfireball!A:C,3,FALSE)</f>
        <v>#N/A</v>
      </c>
      <c r="F15" s="1">
        <f>VLOOKUP(B15,smds!B:C,2,FALSE)</f>
        <v>8.8000000000000007</v>
      </c>
      <c r="G15" s="1" t="e">
        <f>VLOOKUP(B15,oracle!A:D,2,FALSE)</f>
        <v>#N/A</v>
      </c>
      <c r="H15" s="1" t="e">
        <f>VLOOKUP(B15,oracle!A:D,3,FALSE)</f>
        <v>#N/A</v>
      </c>
      <c r="I15" s="1" t="e">
        <f>VLOOKUP(B15,oracle!A:D,4,FALSE)</f>
        <v>#N/A</v>
      </c>
    </row>
    <row r="16" spans="1:9">
      <c r="A16" s="1">
        <v>16</v>
      </c>
      <c r="B16" s="1" t="s">
        <v>5</v>
      </c>
      <c r="D16" s="1" t="e">
        <f>VLOOKUP(B16,channelfireball!A:C,2,FALSE)</f>
        <v>#N/A</v>
      </c>
      <c r="E16" s="1" t="e">
        <f>VLOOKUP(B16,channelfireball!A:C,3,FALSE)</f>
        <v>#N/A</v>
      </c>
      <c r="F16" s="1">
        <f>VLOOKUP(B16,smds!B:C,2,FALSE)</f>
        <v>1.9</v>
      </c>
      <c r="G16" s="1" t="e">
        <f>VLOOKUP(B16,oracle!A:D,2,FALSE)</f>
        <v>#N/A</v>
      </c>
      <c r="H16" s="1" t="e">
        <f>VLOOKUP(B16,oracle!A:D,3,FALSE)</f>
        <v>#N/A</v>
      </c>
      <c r="I16" s="1" t="e">
        <f>VLOOKUP(B16,oracle!A:D,4,FALSE)</f>
        <v>#N/A</v>
      </c>
    </row>
    <row r="17" spans="1:9">
      <c r="A17" s="1">
        <v>17</v>
      </c>
      <c r="B17" s="1" t="s">
        <v>225</v>
      </c>
      <c r="D17" s="1" t="e">
        <f>VLOOKUP(B17,channelfireball!A:C,2,FALSE)</f>
        <v>#N/A</v>
      </c>
      <c r="E17" s="1" t="e">
        <f>VLOOKUP(B17,channelfireball!A:C,3,FALSE)</f>
        <v>#N/A</v>
      </c>
      <c r="F17" s="1">
        <f>VLOOKUP(B17,smds!B:C,2,FALSE)</f>
        <v>9.6999999999999993</v>
      </c>
      <c r="G17" s="1" t="e">
        <f>VLOOKUP(B17,oracle!A:D,2,FALSE)</f>
        <v>#N/A</v>
      </c>
      <c r="H17" s="1" t="e">
        <f>VLOOKUP(B17,oracle!A:D,3,FALSE)</f>
        <v>#N/A</v>
      </c>
      <c r="I17" s="1" t="e">
        <f>VLOOKUP(B17,oracle!A:D,4,FALSE)</f>
        <v>#N/A</v>
      </c>
    </row>
    <row r="18" spans="1:9">
      <c r="A18" s="1">
        <v>18</v>
      </c>
      <c r="B18" s="1" t="s">
        <v>7</v>
      </c>
      <c r="D18" s="1" t="e">
        <f>VLOOKUP(B18,channelfireball!A:C,2,FALSE)</f>
        <v>#N/A</v>
      </c>
      <c r="E18" s="1" t="e">
        <f>VLOOKUP(B18,channelfireball!A:C,3,FALSE)</f>
        <v>#N/A</v>
      </c>
      <c r="F18" s="1">
        <f>VLOOKUP(B18,smds!B:C,2,FALSE)</f>
        <v>2.2999999999999998</v>
      </c>
      <c r="G18" s="1" t="e">
        <f>VLOOKUP(B18,oracle!A:D,2,FALSE)</f>
        <v>#N/A</v>
      </c>
      <c r="H18" s="1" t="e">
        <f>VLOOKUP(B18,oracle!A:D,3,FALSE)</f>
        <v>#N/A</v>
      </c>
      <c r="I18" s="1" t="e">
        <f>VLOOKUP(B18,oracle!A:D,4,FALSE)</f>
        <v>#N/A</v>
      </c>
    </row>
    <row r="19" spans="1:9">
      <c r="A19" s="1">
        <v>19</v>
      </c>
      <c r="B19" s="1" t="s">
        <v>9</v>
      </c>
      <c r="D19" s="1" t="e">
        <f>VLOOKUP(B19,channelfireball!A:C,2,FALSE)</f>
        <v>#N/A</v>
      </c>
      <c r="E19" s="1" t="e">
        <f>VLOOKUP(B19,channelfireball!A:C,3,FALSE)</f>
        <v>#N/A</v>
      </c>
      <c r="F19" s="1">
        <f>VLOOKUP(B19,smds!B:C,2,FALSE)</f>
        <v>1.2</v>
      </c>
      <c r="G19" s="1" t="e">
        <f>VLOOKUP(B19,oracle!A:D,2,FALSE)</f>
        <v>#N/A</v>
      </c>
      <c r="H19" s="1" t="e">
        <f>VLOOKUP(B19,oracle!A:D,3,FALSE)</f>
        <v>#N/A</v>
      </c>
      <c r="I19" s="1" t="e">
        <f>VLOOKUP(B19,oracle!A:D,4,FALSE)</f>
        <v>#N/A</v>
      </c>
    </row>
    <row r="20" spans="1:9">
      <c r="A20" s="1">
        <v>20</v>
      </c>
      <c r="B20" s="1" t="s">
        <v>11</v>
      </c>
      <c r="D20" s="1" t="e">
        <f>VLOOKUP(B20,channelfireball!A:C,2,FALSE)</f>
        <v>#N/A</v>
      </c>
      <c r="E20" s="1" t="e">
        <f>VLOOKUP(B20,channelfireball!A:C,3,FALSE)</f>
        <v>#N/A</v>
      </c>
      <c r="F20" s="1">
        <f>VLOOKUP(B20,smds!B:C,2,FALSE)</f>
        <v>0.6</v>
      </c>
      <c r="G20" s="1" t="e">
        <f>VLOOKUP(B20,oracle!A:D,2,FALSE)</f>
        <v>#N/A</v>
      </c>
      <c r="H20" s="1" t="e">
        <f>VLOOKUP(B20,oracle!A:D,3,FALSE)</f>
        <v>#N/A</v>
      </c>
      <c r="I20" s="1" t="e">
        <f>VLOOKUP(B20,oracle!A:D,4,FALSE)</f>
        <v>#N/A</v>
      </c>
    </row>
    <row r="21" spans="1:9">
      <c r="A21" s="1">
        <v>21</v>
      </c>
      <c r="B21" s="1" t="s">
        <v>13</v>
      </c>
      <c r="D21" s="1" t="e">
        <f>VLOOKUP(B21,channelfireball!A:C,2,FALSE)</f>
        <v>#N/A</v>
      </c>
      <c r="E21" s="1" t="e">
        <f>VLOOKUP(B21,channelfireball!A:C,3,FALSE)</f>
        <v>#N/A</v>
      </c>
      <c r="F21" s="1">
        <f>VLOOKUP(B21,smds!B:C,2,FALSE)</f>
        <v>1.4</v>
      </c>
      <c r="G21" s="1" t="e">
        <f>VLOOKUP(B21,oracle!A:D,2,FALSE)</f>
        <v>#N/A</v>
      </c>
      <c r="H21" s="1" t="e">
        <f>VLOOKUP(B21,oracle!A:D,3,FALSE)</f>
        <v>#N/A</v>
      </c>
      <c r="I21" s="1" t="e">
        <f>VLOOKUP(B21,oracle!A:D,4,FALSE)</f>
        <v>#N/A</v>
      </c>
    </row>
    <row r="22" spans="1:9">
      <c r="A22" s="1">
        <v>22</v>
      </c>
      <c r="B22" s="1" t="s">
        <v>15</v>
      </c>
      <c r="D22" s="1" t="e">
        <f>VLOOKUP(B22,channelfireball!A:C,2,FALSE)</f>
        <v>#N/A</v>
      </c>
      <c r="E22" s="1" t="e">
        <f>VLOOKUP(B22,channelfireball!A:C,3,FALSE)</f>
        <v>#N/A</v>
      </c>
      <c r="F22" s="1">
        <f>VLOOKUP(B22,smds!B:C,2,FALSE)</f>
        <v>2.2000000000000002</v>
      </c>
      <c r="G22" s="1" t="e">
        <f>VLOOKUP(B22,oracle!A:D,2,FALSE)</f>
        <v>#N/A</v>
      </c>
      <c r="H22" s="1" t="e">
        <f>VLOOKUP(B22,oracle!A:D,3,FALSE)</f>
        <v>#N/A</v>
      </c>
      <c r="I22" s="1" t="e">
        <f>VLOOKUP(B22,oracle!A:D,4,FALSE)</f>
        <v>#N/A</v>
      </c>
    </row>
    <row r="23" spans="1:9">
      <c r="A23" s="1">
        <v>23</v>
      </c>
      <c r="B23" s="1" t="s">
        <v>234</v>
      </c>
      <c r="D23" s="1" t="e">
        <f>VLOOKUP(B23,channelfireball!A:C,2,FALSE)</f>
        <v>#N/A</v>
      </c>
      <c r="E23" s="1" t="e">
        <f>VLOOKUP(B23,channelfireball!A:C,3,FALSE)</f>
        <v>#N/A</v>
      </c>
      <c r="F23" s="1">
        <f>VLOOKUP(B23,smds!B:C,2,FALSE)</f>
        <v>2.8</v>
      </c>
      <c r="G23" s="1" t="e">
        <f>VLOOKUP(B23,oracle!A:D,2,FALSE)</f>
        <v>#N/A</v>
      </c>
      <c r="H23" s="1" t="e">
        <f>VLOOKUP(B23,oracle!A:D,3,FALSE)</f>
        <v>#N/A</v>
      </c>
      <c r="I23" s="1" t="e">
        <f>VLOOKUP(B23,oracle!A:D,4,FALSE)</f>
        <v>#N/A</v>
      </c>
    </row>
    <row r="24" spans="1:9">
      <c r="A24" s="1">
        <v>24</v>
      </c>
      <c r="B24" s="1" t="s">
        <v>17</v>
      </c>
      <c r="D24" s="1" t="e">
        <f>VLOOKUP(B24,channelfireball!A:C,2,FALSE)</f>
        <v>#N/A</v>
      </c>
      <c r="E24" s="1" t="e">
        <f>VLOOKUP(B24,channelfireball!A:C,3,FALSE)</f>
        <v>#N/A</v>
      </c>
      <c r="F24" s="1">
        <f>VLOOKUP(B24,smds!B:C,2,FALSE)</f>
        <v>3.4</v>
      </c>
      <c r="G24" s="1" t="e">
        <f>VLOOKUP(B24,oracle!A:D,2,FALSE)</f>
        <v>#N/A</v>
      </c>
      <c r="H24" s="1" t="e">
        <f>VLOOKUP(B24,oracle!A:D,3,FALSE)</f>
        <v>#N/A</v>
      </c>
      <c r="I24" s="1" t="e">
        <f>VLOOKUP(B24,oracle!A:D,4,FALSE)</f>
        <v>#N/A</v>
      </c>
    </row>
    <row r="25" spans="1:9">
      <c r="A25" s="1">
        <v>25</v>
      </c>
      <c r="B25" s="1" t="s">
        <v>19</v>
      </c>
      <c r="D25" s="1" t="e">
        <f>VLOOKUP(B25,channelfireball!A:C,2,FALSE)</f>
        <v>#N/A</v>
      </c>
      <c r="E25" s="1" t="e">
        <f>VLOOKUP(B25,channelfireball!A:C,3,FALSE)</f>
        <v>#N/A</v>
      </c>
      <c r="F25" s="1">
        <f>VLOOKUP(B25,smds!B:C,2,FALSE)</f>
        <v>1.1000000000000001</v>
      </c>
      <c r="G25" s="1" t="e">
        <f>VLOOKUP(B25,oracle!A:D,2,FALSE)</f>
        <v>#N/A</v>
      </c>
      <c r="H25" s="1" t="e">
        <f>VLOOKUP(B25,oracle!A:D,3,FALSE)</f>
        <v>#N/A</v>
      </c>
      <c r="I25" s="1" t="e">
        <f>VLOOKUP(B25,oracle!A:D,4,FALSE)</f>
        <v>#N/A</v>
      </c>
    </row>
    <row r="26" spans="1:9">
      <c r="A26" s="1">
        <v>26</v>
      </c>
      <c r="B26" s="1" t="s">
        <v>21</v>
      </c>
      <c r="D26" s="1" t="e">
        <f>VLOOKUP(B26,channelfireball!A:C,2,FALSE)</f>
        <v>#N/A</v>
      </c>
      <c r="E26" s="1" t="e">
        <f>VLOOKUP(B26,channelfireball!A:C,3,FALSE)</f>
        <v>#N/A</v>
      </c>
      <c r="F26" s="1">
        <f>VLOOKUP(B26,smds!B:C,2,FALSE)</f>
        <v>1.1000000000000001</v>
      </c>
      <c r="G26" s="1" t="e">
        <f>VLOOKUP(B26,oracle!A:D,2,FALSE)</f>
        <v>#N/A</v>
      </c>
      <c r="H26" s="1" t="e">
        <f>VLOOKUP(B26,oracle!A:D,3,FALSE)</f>
        <v>#N/A</v>
      </c>
      <c r="I26" s="1" t="e">
        <f>VLOOKUP(B26,oracle!A:D,4,FALSE)</f>
        <v>#N/A</v>
      </c>
    </row>
    <row r="27" spans="1:9">
      <c r="A27" s="1">
        <v>27</v>
      </c>
      <c r="B27" s="1" t="s">
        <v>23</v>
      </c>
      <c r="D27" s="1" t="e">
        <f>VLOOKUP(B27,channelfireball!A:C,2,FALSE)</f>
        <v>#N/A</v>
      </c>
      <c r="E27" s="1" t="e">
        <f>VLOOKUP(B27,channelfireball!A:C,3,FALSE)</f>
        <v>#N/A</v>
      </c>
      <c r="F27" s="1">
        <f>VLOOKUP(B27,smds!B:C,2,FALSE)</f>
        <v>1.4</v>
      </c>
      <c r="G27" s="1" t="e">
        <f>VLOOKUP(B27,oracle!A:D,2,FALSE)</f>
        <v>#N/A</v>
      </c>
      <c r="H27" s="1" t="e">
        <f>VLOOKUP(B27,oracle!A:D,3,FALSE)</f>
        <v>#N/A</v>
      </c>
      <c r="I27" s="1" t="e">
        <f>VLOOKUP(B27,oracle!A:D,4,FALSE)</f>
        <v>#N/A</v>
      </c>
    </row>
    <row r="28" spans="1:9">
      <c r="A28" s="1">
        <v>28</v>
      </c>
      <c r="B28" s="1" t="s">
        <v>223</v>
      </c>
      <c r="D28" s="1" t="e">
        <f>VLOOKUP(B28,channelfireball!A:C,2,FALSE)</f>
        <v>#N/A</v>
      </c>
      <c r="E28" s="1" t="e">
        <f>VLOOKUP(B28,channelfireball!A:C,3,FALSE)</f>
        <v>#N/A</v>
      </c>
      <c r="F28" s="1">
        <f>VLOOKUP(B28,smds!B:C,2,FALSE)</f>
        <v>10</v>
      </c>
      <c r="G28" s="1" t="e">
        <f>VLOOKUP(B28,oracle!A:D,2,FALSE)</f>
        <v>#N/A</v>
      </c>
      <c r="H28" s="1" t="e">
        <f>VLOOKUP(B28,oracle!A:D,3,FALSE)</f>
        <v>#N/A</v>
      </c>
      <c r="I28" s="1" t="e">
        <f>VLOOKUP(B28,oracle!A:D,4,FALSE)</f>
        <v>#N/A</v>
      </c>
    </row>
    <row r="29" spans="1:9">
      <c r="A29" s="1">
        <v>29</v>
      </c>
      <c r="B29" s="1" t="s">
        <v>25</v>
      </c>
      <c r="D29" s="1" t="e">
        <f>VLOOKUP(B29,channelfireball!A:C,2,FALSE)</f>
        <v>#N/A</v>
      </c>
      <c r="E29" s="1" t="e">
        <f>VLOOKUP(B29,channelfireball!A:C,3,FALSE)</f>
        <v>#N/A</v>
      </c>
      <c r="F29" s="1">
        <f>VLOOKUP(B29,smds!B:C,2,FALSE)</f>
        <v>1</v>
      </c>
      <c r="G29" s="1" t="e">
        <f>VLOOKUP(B29,oracle!A:D,2,FALSE)</f>
        <v>#N/A</v>
      </c>
      <c r="H29" s="1" t="e">
        <f>VLOOKUP(B29,oracle!A:D,3,FALSE)</f>
        <v>#N/A</v>
      </c>
      <c r="I29" s="1" t="e">
        <f>VLOOKUP(B29,oracle!A:D,4,FALSE)</f>
        <v>#N/A</v>
      </c>
    </row>
    <row r="30" spans="1:9">
      <c r="A30" s="1">
        <v>30</v>
      </c>
      <c r="B30" s="1" t="s">
        <v>27</v>
      </c>
      <c r="D30" s="1" t="e">
        <f>VLOOKUP(B30,channelfireball!A:C,2,FALSE)</f>
        <v>#N/A</v>
      </c>
      <c r="E30" s="1" t="e">
        <f>VLOOKUP(B30,channelfireball!A:C,3,FALSE)</f>
        <v>#N/A</v>
      </c>
      <c r="F30" s="1">
        <f>VLOOKUP(B30,smds!B:C,2,FALSE)</f>
        <v>1.1000000000000001</v>
      </c>
      <c r="G30" s="1" t="e">
        <f>VLOOKUP(B30,oracle!A:D,2,FALSE)</f>
        <v>#N/A</v>
      </c>
      <c r="H30" s="1" t="e">
        <f>VLOOKUP(B30,oracle!A:D,3,FALSE)</f>
        <v>#N/A</v>
      </c>
      <c r="I30" s="1" t="e">
        <f>VLOOKUP(B30,oracle!A:D,4,FALSE)</f>
        <v>#N/A</v>
      </c>
    </row>
    <row r="31" spans="1:9">
      <c r="A31" s="1">
        <v>31</v>
      </c>
      <c r="B31" s="1" t="s">
        <v>29</v>
      </c>
      <c r="D31" s="1" t="e">
        <f>VLOOKUP(B31,channelfireball!A:C,2,FALSE)</f>
        <v>#N/A</v>
      </c>
      <c r="E31" s="1" t="e">
        <f>VLOOKUP(B31,channelfireball!A:C,3,FALSE)</f>
        <v>#N/A</v>
      </c>
      <c r="F31" s="1">
        <f>VLOOKUP(B31,smds!B:C,2,FALSE)</f>
        <v>1.1000000000000001</v>
      </c>
      <c r="G31" s="1" t="e">
        <f>VLOOKUP(B31,oracle!A:D,2,FALSE)</f>
        <v>#N/A</v>
      </c>
      <c r="H31" s="1" t="e">
        <f>VLOOKUP(B31,oracle!A:D,3,FALSE)</f>
        <v>#N/A</v>
      </c>
      <c r="I31" s="1" t="e">
        <f>VLOOKUP(B31,oracle!A:D,4,FALSE)</f>
        <v>#N/A</v>
      </c>
    </row>
    <row r="32" spans="1:9">
      <c r="A32" s="1">
        <v>32</v>
      </c>
      <c r="B32" s="1" t="s">
        <v>31</v>
      </c>
      <c r="D32" s="1" t="e">
        <f>VLOOKUP(B32,channelfireball!A:C,2,FALSE)</f>
        <v>#N/A</v>
      </c>
      <c r="E32" s="1" t="e">
        <f>VLOOKUP(B32,channelfireball!A:C,3,FALSE)</f>
        <v>#N/A</v>
      </c>
      <c r="F32" s="1">
        <f>VLOOKUP(B32,smds!B:C,2,FALSE)</f>
        <v>0.7</v>
      </c>
      <c r="G32" s="1" t="e">
        <f>VLOOKUP(B32,oracle!A:D,2,FALSE)</f>
        <v>#N/A</v>
      </c>
      <c r="H32" s="1" t="e">
        <f>VLOOKUP(B32,oracle!A:D,3,FALSE)</f>
        <v>#N/A</v>
      </c>
      <c r="I32" s="1" t="e">
        <f>VLOOKUP(B32,oracle!A:D,4,FALSE)</f>
        <v>#N/A</v>
      </c>
    </row>
    <row r="33" spans="1:9">
      <c r="A33" s="1">
        <v>33</v>
      </c>
      <c r="B33" s="1" t="s">
        <v>233</v>
      </c>
      <c r="D33" s="1" t="e">
        <f>VLOOKUP(B33,channelfireball!A:C,2,FALSE)</f>
        <v>#N/A</v>
      </c>
      <c r="E33" s="1" t="e">
        <f>VLOOKUP(B33,channelfireball!A:C,3,FALSE)</f>
        <v>#N/A</v>
      </c>
      <c r="F33" s="1">
        <f>VLOOKUP(B33,smds!B:C,2,FALSE)</f>
        <v>3.4</v>
      </c>
      <c r="G33" s="1" t="e">
        <f>VLOOKUP(B33,oracle!A:D,2,FALSE)</f>
        <v>#N/A</v>
      </c>
      <c r="H33" s="1" t="e">
        <f>VLOOKUP(B33,oracle!A:D,3,FALSE)</f>
        <v>#N/A</v>
      </c>
      <c r="I33" s="1" t="e">
        <f>VLOOKUP(B33,oracle!A:D,4,FALSE)</f>
        <v>#N/A</v>
      </c>
    </row>
    <row r="34" spans="1:9">
      <c r="A34" s="1">
        <v>34</v>
      </c>
      <c r="B34" s="1" t="s">
        <v>33</v>
      </c>
      <c r="D34" s="1" t="e">
        <f>VLOOKUP(B34,channelfireball!A:C,2,FALSE)</f>
        <v>#N/A</v>
      </c>
      <c r="E34" s="1" t="e">
        <f>VLOOKUP(B34,channelfireball!A:C,3,FALSE)</f>
        <v>#N/A</v>
      </c>
      <c r="F34" s="1">
        <f>VLOOKUP(B34,smds!B:C,2,FALSE)</f>
        <v>1</v>
      </c>
      <c r="G34" s="1" t="e">
        <f>VLOOKUP(B34,oracle!A:D,2,FALSE)</f>
        <v>#N/A</v>
      </c>
      <c r="H34" s="1" t="e">
        <f>VLOOKUP(B34,oracle!A:D,3,FALSE)</f>
        <v>#N/A</v>
      </c>
      <c r="I34" s="1" t="e">
        <f>VLOOKUP(B34,oracle!A:D,4,FALSE)</f>
        <v>#N/A</v>
      </c>
    </row>
    <row r="35" spans="1:9">
      <c r="A35" s="1">
        <v>35</v>
      </c>
      <c r="B35" s="1" t="s">
        <v>35</v>
      </c>
      <c r="D35" s="1" t="e">
        <f>VLOOKUP(B35,channelfireball!A:C,2,FALSE)</f>
        <v>#N/A</v>
      </c>
      <c r="E35" s="1" t="e">
        <f>VLOOKUP(B35,channelfireball!A:C,3,FALSE)</f>
        <v>#N/A</v>
      </c>
      <c r="F35" s="1">
        <f>VLOOKUP(B35,smds!B:C,2,FALSE)</f>
        <v>1</v>
      </c>
      <c r="G35" s="1" t="e">
        <f>VLOOKUP(B35,oracle!A:D,2,FALSE)</f>
        <v>#N/A</v>
      </c>
      <c r="H35" s="1" t="e">
        <f>VLOOKUP(B35,oracle!A:D,3,FALSE)</f>
        <v>#N/A</v>
      </c>
      <c r="I35" s="1" t="e">
        <f>VLOOKUP(B35,oracle!A:D,4,FALSE)</f>
        <v>#N/A</v>
      </c>
    </row>
    <row r="36" spans="1:9">
      <c r="A36" s="1">
        <v>36</v>
      </c>
      <c r="B36" s="1" t="s">
        <v>37</v>
      </c>
      <c r="D36" s="1" t="e">
        <f>VLOOKUP(B36,channelfireball!A:C,2,FALSE)</f>
        <v>#N/A</v>
      </c>
      <c r="E36" s="1" t="e">
        <f>VLOOKUP(B36,channelfireball!A:C,3,FALSE)</f>
        <v>#N/A</v>
      </c>
      <c r="F36" s="1">
        <f>VLOOKUP(B36,smds!B:C,2,FALSE)</f>
        <v>0.8</v>
      </c>
      <c r="G36" s="1" t="e">
        <f>VLOOKUP(B36,oracle!A:D,2,FALSE)</f>
        <v>#N/A</v>
      </c>
      <c r="H36" s="1" t="e">
        <f>VLOOKUP(B36,oracle!A:D,3,FALSE)</f>
        <v>#N/A</v>
      </c>
      <c r="I36" s="1" t="e">
        <f>VLOOKUP(B36,oracle!A:D,4,FALSE)</f>
        <v>#N/A</v>
      </c>
    </row>
    <row r="37" spans="1:9">
      <c r="A37" s="1">
        <v>37</v>
      </c>
      <c r="B37" s="1" t="s">
        <v>39</v>
      </c>
      <c r="D37" s="1" t="e">
        <f>VLOOKUP(B37,channelfireball!A:C,2,FALSE)</f>
        <v>#N/A</v>
      </c>
      <c r="E37" s="1" t="e">
        <f>VLOOKUP(B37,channelfireball!A:C,3,FALSE)</f>
        <v>#N/A</v>
      </c>
      <c r="F37" s="1">
        <f>VLOOKUP(B37,smds!B:C,2,FALSE)</f>
        <v>0.9</v>
      </c>
      <c r="G37" s="1" t="e">
        <f>VLOOKUP(B37,oracle!A:D,2,FALSE)</f>
        <v>#N/A</v>
      </c>
      <c r="H37" s="1" t="e">
        <f>VLOOKUP(B37,oracle!A:D,3,FALSE)</f>
        <v>#N/A</v>
      </c>
      <c r="I37" s="1" t="e">
        <f>VLOOKUP(B37,oracle!A:D,4,FALSE)</f>
        <v>#N/A</v>
      </c>
    </row>
    <row r="38" spans="1:9">
      <c r="A38" s="1">
        <v>38</v>
      </c>
      <c r="B38" s="1" t="s">
        <v>255</v>
      </c>
      <c r="D38" s="1" t="e">
        <f>VLOOKUP(B38,channelfireball!A:C,2,FALSE)</f>
        <v>#N/A</v>
      </c>
      <c r="E38" s="1" t="e">
        <f>VLOOKUP(B38,channelfireball!A:C,3,FALSE)</f>
        <v>#N/A</v>
      </c>
      <c r="F38" s="1">
        <f>VLOOKUP(B38,smds!B:C,2,FALSE)</f>
        <v>1</v>
      </c>
      <c r="G38" s="1" t="e">
        <f>VLOOKUP(B38,oracle!A:D,2,FALSE)</f>
        <v>#N/A</v>
      </c>
      <c r="H38" s="1" t="e">
        <f>VLOOKUP(B38,oracle!A:D,3,FALSE)</f>
        <v>#N/A</v>
      </c>
      <c r="I38" s="1" t="e">
        <f>VLOOKUP(B38,oracle!A:D,4,FALSE)</f>
        <v>#N/A</v>
      </c>
    </row>
    <row r="39" spans="1:9">
      <c r="A39" s="1">
        <v>39</v>
      </c>
      <c r="B39" s="1" t="s">
        <v>41</v>
      </c>
      <c r="D39" s="1" t="e">
        <f>VLOOKUP(B39,channelfireball!A:C,2,FALSE)</f>
        <v>#N/A</v>
      </c>
      <c r="E39" s="1" t="e">
        <f>VLOOKUP(B39,channelfireball!A:C,3,FALSE)</f>
        <v>#N/A</v>
      </c>
      <c r="F39" s="1">
        <f>VLOOKUP(B39,smds!B:C,2,FALSE)</f>
        <v>9.4</v>
      </c>
      <c r="G39" s="1" t="e">
        <f>VLOOKUP(B39,oracle!A:D,2,FALSE)</f>
        <v>#N/A</v>
      </c>
      <c r="H39" s="1" t="e">
        <f>VLOOKUP(B39,oracle!A:D,3,FALSE)</f>
        <v>#N/A</v>
      </c>
      <c r="I39" s="1" t="e">
        <f>VLOOKUP(B39,oracle!A:D,4,FALSE)</f>
        <v>#N/A</v>
      </c>
    </row>
    <row r="40" spans="1:9">
      <c r="A40" s="1">
        <v>40</v>
      </c>
      <c r="B40" s="1" t="s">
        <v>43</v>
      </c>
      <c r="D40" s="1" t="e">
        <f>VLOOKUP(B40,channelfireball!A:C,2,FALSE)</f>
        <v>#N/A</v>
      </c>
      <c r="E40" s="1" t="e">
        <f>VLOOKUP(B40,channelfireball!A:C,3,FALSE)</f>
        <v>#N/A</v>
      </c>
      <c r="F40" s="1">
        <f>VLOOKUP(B40,smds!B:C,2,FALSE)</f>
        <v>9.1</v>
      </c>
      <c r="G40" s="1" t="e">
        <f>VLOOKUP(B40,oracle!A:D,2,FALSE)</f>
        <v>#N/A</v>
      </c>
      <c r="H40" s="1" t="e">
        <f>VLOOKUP(B40,oracle!A:D,3,FALSE)</f>
        <v>#N/A</v>
      </c>
      <c r="I40" s="1" t="e">
        <f>VLOOKUP(B40,oracle!A:D,4,FALSE)</f>
        <v>#N/A</v>
      </c>
    </row>
    <row r="41" spans="1:9">
      <c r="A41" s="1">
        <v>41</v>
      </c>
      <c r="B41" s="1" t="s">
        <v>45</v>
      </c>
      <c r="D41" s="1" t="e">
        <f>VLOOKUP(B41,channelfireball!A:C,2,FALSE)</f>
        <v>#N/A</v>
      </c>
      <c r="E41" s="1" t="e">
        <f>VLOOKUP(B41,channelfireball!A:C,3,FALSE)</f>
        <v>#N/A</v>
      </c>
      <c r="F41" s="1">
        <f>VLOOKUP(B41,smds!B:C,2,FALSE)</f>
        <v>0.9</v>
      </c>
      <c r="G41" s="1" t="e">
        <f>VLOOKUP(B41,oracle!A:D,2,FALSE)</f>
        <v>#N/A</v>
      </c>
      <c r="H41" s="1" t="e">
        <f>VLOOKUP(B41,oracle!A:D,3,FALSE)</f>
        <v>#N/A</v>
      </c>
      <c r="I41" s="1" t="e">
        <f>VLOOKUP(B41,oracle!A:D,4,FALSE)</f>
        <v>#N/A</v>
      </c>
    </row>
    <row r="42" spans="1:9">
      <c r="A42" s="1">
        <v>42</v>
      </c>
      <c r="B42" s="1" t="s">
        <v>47</v>
      </c>
      <c r="D42" s="1" t="e">
        <f>VLOOKUP(B42,channelfireball!A:C,2,FALSE)</f>
        <v>#N/A</v>
      </c>
      <c r="E42" s="1" t="e">
        <f>VLOOKUP(B42,channelfireball!A:C,3,FALSE)</f>
        <v>#N/A</v>
      </c>
      <c r="F42" s="1">
        <f>VLOOKUP(B42,smds!B:C,2,FALSE)</f>
        <v>1.7</v>
      </c>
      <c r="G42" s="1" t="e">
        <f>VLOOKUP(B42,oracle!A:D,2,FALSE)</f>
        <v>#N/A</v>
      </c>
      <c r="H42" s="1" t="e">
        <f>VLOOKUP(B42,oracle!A:D,3,FALSE)</f>
        <v>#N/A</v>
      </c>
      <c r="I42" s="1" t="e">
        <f>VLOOKUP(B42,oracle!A:D,4,FALSE)</f>
        <v>#N/A</v>
      </c>
    </row>
    <row r="43" spans="1:9">
      <c r="A43" s="1">
        <v>43</v>
      </c>
      <c r="B43" s="1" t="s">
        <v>49</v>
      </c>
      <c r="D43" s="1" t="e">
        <f>VLOOKUP(B43,channelfireball!A:C,2,FALSE)</f>
        <v>#N/A</v>
      </c>
      <c r="E43" s="1" t="e">
        <f>VLOOKUP(B43,channelfireball!A:C,3,FALSE)</f>
        <v>#N/A</v>
      </c>
      <c r="F43" s="1">
        <f>VLOOKUP(B43,smds!B:C,2,FALSE)</f>
        <v>1</v>
      </c>
      <c r="G43" s="1" t="e">
        <f>VLOOKUP(B43,oracle!A:D,2,FALSE)</f>
        <v>#N/A</v>
      </c>
      <c r="H43" s="1" t="e">
        <f>VLOOKUP(B43,oracle!A:D,3,FALSE)</f>
        <v>#N/A</v>
      </c>
      <c r="I43" s="1" t="e">
        <f>VLOOKUP(B43,oracle!A:D,4,FALSE)</f>
        <v>#N/A</v>
      </c>
    </row>
    <row r="44" spans="1:9">
      <c r="A44" s="1">
        <v>44</v>
      </c>
      <c r="B44" s="1" t="s">
        <v>51</v>
      </c>
      <c r="D44" s="1" t="e">
        <f>VLOOKUP(B44,channelfireball!A:C,2,FALSE)</f>
        <v>#N/A</v>
      </c>
      <c r="E44" s="1" t="e">
        <f>VLOOKUP(B44,channelfireball!A:C,3,FALSE)</f>
        <v>#N/A</v>
      </c>
      <c r="F44" s="1">
        <f>VLOOKUP(B44,smds!B:C,2,FALSE)</f>
        <v>1.1000000000000001</v>
      </c>
      <c r="G44" s="1" t="e">
        <f>VLOOKUP(B44,oracle!A:D,2,FALSE)</f>
        <v>#N/A</v>
      </c>
      <c r="H44" s="1" t="e">
        <f>VLOOKUP(B44,oracle!A:D,3,FALSE)</f>
        <v>#N/A</v>
      </c>
      <c r="I44" s="1" t="e">
        <f>VLOOKUP(B44,oracle!A:D,4,FALSE)</f>
        <v>#N/A</v>
      </c>
    </row>
    <row r="45" spans="1:9">
      <c r="A45" s="1">
        <v>45</v>
      </c>
      <c r="B45" s="1" t="s">
        <v>53</v>
      </c>
      <c r="D45" s="1" t="e">
        <f>VLOOKUP(B45,channelfireball!A:C,2,FALSE)</f>
        <v>#N/A</v>
      </c>
      <c r="E45" s="1" t="e">
        <f>VLOOKUP(B45,channelfireball!A:C,3,FALSE)</f>
        <v>#N/A</v>
      </c>
      <c r="F45" s="1">
        <f>VLOOKUP(B45,smds!B:C,2,FALSE)</f>
        <v>3.8</v>
      </c>
      <c r="G45" s="1" t="e">
        <f>VLOOKUP(B45,oracle!A:D,2,FALSE)</f>
        <v>#N/A</v>
      </c>
      <c r="H45" s="1" t="e">
        <f>VLOOKUP(B45,oracle!A:D,3,FALSE)</f>
        <v>#N/A</v>
      </c>
      <c r="I45" s="1" t="e">
        <f>VLOOKUP(B45,oracle!A:D,4,FALSE)</f>
        <v>#N/A</v>
      </c>
    </row>
    <row r="46" spans="1:9">
      <c r="A46" s="1">
        <v>46</v>
      </c>
      <c r="B46" s="1" t="s">
        <v>55</v>
      </c>
      <c r="D46" s="1" t="e">
        <f>VLOOKUP(B46,channelfireball!A:C,2,FALSE)</f>
        <v>#N/A</v>
      </c>
      <c r="E46" s="1" t="e">
        <f>VLOOKUP(B46,channelfireball!A:C,3,FALSE)</f>
        <v>#N/A</v>
      </c>
      <c r="F46" s="1">
        <f>VLOOKUP(B46,smds!B:C,2,FALSE)</f>
        <v>10</v>
      </c>
      <c r="G46" s="1" t="e">
        <f>VLOOKUP(B46,oracle!A:D,2,FALSE)</f>
        <v>#N/A</v>
      </c>
      <c r="H46" s="1" t="e">
        <f>VLOOKUP(B46,oracle!A:D,3,FALSE)</f>
        <v>#N/A</v>
      </c>
      <c r="I46" s="1" t="e">
        <f>VLOOKUP(B46,oracle!A:D,4,FALSE)</f>
        <v>#N/A</v>
      </c>
    </row>
    <row r="47" spans="1:9">
      <c r="A47" s="1">
        <v>47</v>
      </c>
      <c r="B47" s="1" t="s">
        <v>227</v>
      </c>
      <c r="D47" s="1" t="e">
        <f>VLOOKUP(B47,channelfireball!A:C,2,FALSE)</f>
        <v>#N/A</v>
      </c>
      <c r="E47" s="1" t="e">
        <f>VLOOKUP(B47,channelfireball!A:C,3,FALSE)</f>
        <v>#N/A</v>
      </c>
      <c r="F47" s="1">
        <f>VLOOKUP(B47,smds!B:C,2,FALSE)</f>
        <v>8.8000000000000007</v>
      </c>
      <c r="G47" s="1" t="e">
        <f>VLOOKUP(B47,oracle!A:D,2,FALSE)</f>
        <v>#N/A</v>
      </c>
      <c r="H47" s="1" t="e">
        <f>VLOOKUP(B47,oracle!A:D,3,FALSE)</f>
        <v>#N/A</v>
      </c>
      <c r="I47" s="1" t="e">
        <f>VLOOKUP(B47,oracle!A:D,4,FALSE)</f>
        <v>#N/A</v>
      </c>
    </row>
    <row r="48" spans="1:9">
      <c r="A48" s="1">
        <v>48</v>
      </c>
      <c r="B48" s="1" t="s">
        <v>57</v>
      </c>
      <c r="D48" s="1" t="e">
        <f>VLOOKUP(B48,channelfireball!A:C,2,FALSE)</f>
        <v>#N/A</v>
      </c>
      <c r="E48" s="1" t="e">
        <f>VLOOKUP(B48,channelfireball!A:C,3,FALSE)</f>
        <v>#N/A</v>
      </c>
      <c r="F48" s="1">
        <f>VLOOKUP(B48,smds!B:C,2,FALSE)</f>
        <v>1</v>
      </c>
      <c r="G48" s="1" t="e">
        <f>VLOOKUP(B48,oracle!A:D,2,FALSE)</f>
        <v>#N/A</v>
      </c>
      <c r="H48" s="1" t="e">
        <f>VLOOKUP(B48,oracle!A:D,3,FALSE)</f>
        <v>#N/A</v>
      </c>
      <c r="I48" s="1" t="e">
        <f>VLOOKUP(B48,oracle!A:D,4,FALSE)</f>
        <v>#N/A</v>
      </c>
    </row>
    <row r="49" spans="1:9">
      <c r="A49" s="1">
        <v>49</v>
      </c>
      <c r="B49" s="1" t="s">
        <v>59</v>
      </c>
      <c r="D49" s="1" t="e">
        <f>VLOOKUP(B49,channelfireball!A:C,2,FALSE)</f>
        <v>#N/A</v>
      </c>
      <c r="E49" s="1" t="e">
        <f>VLOOKUP(B49,channelfireball!A:C,3,FALSE)</f>
        <v>#N/A</v>
      </c>
      <c r="F49" s="1">
        <f>VLOOKUP(B49,smds!B:C,2,FALSE)</f>
        <v>2.7</v>
      </c>
      <c r="G49" s="1" t="e">
        <f>VLOOKUP(B49,oracle!A:D,2,FALSE)</f>
        <v>#N/A</v>
      </c>
      <c r="H49" s="1" t="e">
        <f>VLOOKUP(B49,oracle!A:D,3,FALSE)</f>
        <v>#N/A</v>
      </c>
      <c r="I49" s="1" t="e">
        <f>VLOOKUP(B49,oracle!A:D,4,FALSE)</f>
        <v>#N/A</v>
      </c>
    </row>
    <row r="50" spans="1:9">
      <c r="A50" s="1">
        <v>50</v>
      </c>
      <c r="B50" s="1" t="s">
        <v>61</v>
      </c>
      <c r="D50" s="1" t="e">
        <f>VLOOKUP(B50,channelfireball!A:C,2,FALSE)</f>
        <v>#N/A</v>
      </c>
      <c r="E50" s="1" t="e">
        <f>VLOOKUP(B50,channelfireball!A:C,3,FALSE)</f>
        <v>#N/A</v>
      </c>
      <c r="F50" s="1">
        <f>VLOOKUP(B50,smds!B:C,2,FALSE)</f>
        <v>1.4</v>
      </c>
      <c r="G50" s="1" t="e">
        <f>VLOOKUP(B50,oracle!A:D,2,FALSE)</f>
        <v>#N/A</v>
      </c>
      <c r="H50" s="1" t="e">
        <f>VLOOKUP(B50,oracle!A:D,3,FALSE)</f>
        <v>#N/A</v>
      </c>
      <c r="I50" s="1" t="e">
        <f>VLOOKUP(B50,oracle!A:D,4,FALSE)</f>
        <v>#N/A</v>
      </c>
    </row>
    <row r="51" spans="1:9">
      <c r="A51" s="1">
        <v>51</v>
      </c>
      <c r="B51" s="1" t="s">
        <v>63</v>
      </c>
      <c r="D51" s="1" t="e">
        <f>VLOOKUP(B51,channelfireball!A:C,2,FALSE)</f>
        <v>#N/A</v>
      </c>
      <c r="E51" s="1" t="e">
        <f>VLOOKUP(B51,channelfireball!A:C,3,FALSE)</f>
        <v>#N/A</v>
      </c>
      <c r="F51" s="1">
        <f>VLOOKUP(B51,smds!B:C,2,FALSE)</f>
        <v>0.7</v>
      </c>
      <c r="G51" s="1" t="e">
        <f>VLOOKUP(B51,oracle!A:D,2,FALSE)</f>
        <v>#N/A</v>
      </c>
      <c r="H51" s="1" t="e">
        <f>VLOOKUP(B51,oracle!A:D,3,FALSE)</f>
        <v>#N/A</v>
      </c>
      <c r="I51" s="1" t="e">
        <f>VLOOKUP(B51,oracle!A:D,4,FALSE)</f>
        <v>#N/A</v>
      </c>
    </row>
    <row r="52" spans="1:9">
      <c r="A52" s="1">
        <v>52</v>
      </c>
      <c r="B52" s="1" t="s">
        <v>65</v>
      </c>
      <c r="D52" s="1" t="e">
        <f>VLOOKUP(B52,channelfireball!A:C,2,FALSE)</f>
        <v>#N/A</v>
      </c>
      <c r="E52" s="1" t="e">
        <f>VLOOKUP(B52,channelfireball!A:C,3,FALSE)</f>
        <v>#N/A</v>
      </c>
      <c r="F52" s="1">
        <f>VLOOKUP(B52,smds!B:C,2,FALSE)</f>
        <v>0.7</v>
      </c>
      <c r="G52" s="1" t="e">
        <f>VLOOKUP(B52,oracle!A:D,2,FALSE)</f>
        <v>#N/A</v>
      </c>
      <c r="H52" s="1" t="e">
        <f>VLOOKUP(B52,oracle!A:D,3,FALSE)</f>
        <v>#N/A</v>
      </c>
      <c r="I52" s="1" t="e">
        <f>VLOOKUP(B52,oracle!A:D,4,FALSE)</f>
        <v>#N/A</v>
      </c>
    </row>
    <row r="53" spans="1:9">
      <c r="A53" s="1">
        <v>53</v>
      </c>
      <c r="B53" s="1" t="s">
        <v>67</v>
      </c>
      <c r="D53" s="1" t="e">
        <f>VLOOKUP(B53,channelfireball!A:C,2,FALSE)</f>
        <v>#N/A</v>
      </c>
      <c r="E53" s="1" t="e">
        <f>VLOOKUP(B53,channelfireball!A:C,3,FALSE)</f>
        <v>#N/A</v>
      </c>
      <c r="F53" s="1">
        <f>VLOOKUP(B53,smds!B:C,2,FALSE)</f>
        <v>0.9</v>
      </c>
      <c r="G53" s="1" t="e">
        <f>VLOOKUP(B53,oracle!A:D,2,FALSE)</f>
        <v>#N/A</v>
      </c>
      <c r="H53" s="1" t="e">
        <f>VLOOKUP(B53,oracle!A:D,3,FALSE)</f>
        <v>#N/A</v>
      </c>
      <c r="I53" s="1" t="e">
        <f>VLOOKUP(B53,oracle!A:D,4,FALSE)</f>
        <v>#N/A</v>
      </c>
    </row>
    <row r="54" spans="1:9">
      <c r="A54" s="1">
        <v>54</v>
      </c>
      <c r="B54" s="1" t="s">
        <v>248</v>
      </c>
      <c r="D54" s="1" t="e">
        <f>VLOOKUP(B54,channelfireball!A:C,2,FALSE)</f>
        <v>#N/A</v>
      </c>
      <c r="E54" s="1" t="e">
        <f>VLOOKUP(B54,channelfireball!A:C,3,FALSE)</f>
        <v>#N/A</v>
      </c>
      <c r="F54" s="1">
        <f>VLOOKUP(B54,smds!B:C,2,FALSE)</f>
        <v>1.5</v>
      </c>
      <c r="G54" s="1" t="e">
        <f>VLOOKUP(B54,oracle!A:D,2,FALSE)</f>
        <v>#N/A</v>
      </c>
      <c r="H54" s="1" t="e">
        <f>VLOOKUP(B54,oracle!A:D,3,FALSE)</f>
        <v>#N/A</v>
      </c>
      <c r="I54" s="1" t="e">
        <f>VLOOKUP(B54,oracle!A:D,4,FALSE)</f>
        <v>#N/A</v>
      </c>
    </row>
    <row r="55" spans="1:9">
      <c r="A55" s="1">
        <v>55</v>
      </c>
      <c r="B55" s="1" t="s">
        <v>69</v>
      </c>
      <c r="D55" s="1" t="e">
        <f>VLOOKUP(B55,channelfireball!A:C,2,FALSE)</f>
        <v>#N/A</v>
      </c>
      <c r="E55" s="1" t="e">
        <f>VLOOKUP(B55,channelfireball!A:C,3,FALSE)</f>
        <v>#N/A</v>
      </c>
      <c r="F55" s="1">
        <f>VLOOKUP(B55,smds!B:C,2,FALSE)</f>
        <v>0.8</v>
      </c>
      <c r="G55" s="1" t="e">
        <f>VLOOKUP(B55,oracle!A:D,2,FALSE)</f>
        <v>#N/A</v>
      </c>
      <c r="H55" s="1" t="e">
        <f>VLOOKUP(B55,oracle!A:D,3,FALSE)</f>
        <v>#N/A</v>
      </c>
      <c r="I55" s="1" t="e">
        <f>VLOOKUP(B55,oracle!A:D,4,FALSE)</f>
        <v>#N/A</v>
      </c>
    </row>
    <row r="56" spans="1:9">
      <c r="A56" s="1">
        <v>56</v>
      </c>
      <c r="B56" s="1" t="s">
        <v>231</v>
      </c>
      <c r="D56" s="1" t="e">
        <f>VLOOKUP(B56,channelfireball!A:C,2,FALSE)</f>
        <v>#N/A</v>
      </c>
      <c r="E56" s="1" t="e">
        <f>VLOOKUP(B56,channelfireball!A:C,3,FALSE)</f>
        <v>#N/A</v>
      </c>
      <c r="F56" s="1">
        <f>VLOOKUP(B56,smds!B:C,2,FALSE)</f>
        <v>7.3</v>
      </c>
      <c r="G56" s="1" t="e">
        <f>VLOOKUP(B56,oracle!A:D,2,FALSE)</f>
        <v>#N/A</v>
      </c>
      <c r="H56" s="1" t="e">
        <f>VLOOKUP(B56,oracle!A:D,3,FALSE)</f>
        <v>#N/A</v>
      </c>
      <c r="I56" s="1" t="e">
        <f>VLOOKUP(B56,oracle!A:D,4,FALSE)</f>
        <v>#N/A</v>
      </c>
    </row>
    <row r="57" spans="1:9">
      <c r="A57" s="1">
        <v>57</v>
      </c>
      <c r="B57" s="1" t="s">
        <v>71</v>
      </c>
      <c r="D57" s="1" t="e">
        <f>VLOOKUP(B57,channelfireball!A:C,2,FALSE)</f>
        <v>#N/A</v>
      </c>
      <c r="E57" s="1" t="e">
        <f>VLOOKUP(B57,channelfireball!A:C,3,FALSE)</f>
        <v>#N/A</v>
      </c>
      <c r="F57" s="1">
        <f>VLOOKUP(B57,smds!B:C,2,FALSE)</f>
        <v>1</v>
      </c>
      <c r="G57" s="1" t="e">
        <f>VLOOKUP(B57,oracle!A:D,2,FALSE)</f>
        <v>#N/A</v>
      </c>
      <c r="H57" s="1" t="e">
        <f>VLOOKUP(B57,oracle!A:D,3,FALSE)</f>
        <v>#N/A</v>
      </c>
      <c r="I57" s="1" t="e">
        <f>VLOOKUP(B57,oracle!A:D,4,FALSE)</f>
        <v>#N/A</v>
      </c>
    </row>
    <row r="58" spans="1:9">
      <c r="A58" s="1">
        <v>58</v>
      </c>
      <c r="B58" s="1" t="s">
        <v>73</v>
      </c>
      <c r="D58" s="1" t="e">
        <f>VLOOKUP(B58,channelfireball!A:C,2,FALSE)</f>
        <v>#N/A</v>
      </c>
      <c r="E58" s="1" t="e">
        <f>VLOOKUP(B58,channelfireball!A:C,3,FALSE)</f>
        <v>#N/A</v>
      </c>
      <c r="F58" s="1">
        <f>VLOOKUP(B58,smds!B:C,2,FALSE)</f>
        <v>1</v>
      </c>
      <c r="G58" s="1" t="e">
        <f>VLOOKUP(B58,oracle!A:D,2,FALSE)</f>
        <v>#N/A</v>
      </c>
      <c r="H58" s="1" t="e">
        <f>VLOOKUP(B58,oracle!A:D,3,FALSE)</f>
        <v>#N/A</v>
      </c>
      <c r="I58" s="1" t="e">
        <f>VLOOKUP(B58,oracle!A:D,4,FALSE)</f>
        <v>#N/A</v>
      </c>
    </row>
    <row r="59" spans="1:9">
      <c r="A59" s="1">
        <v>59</v>
      </c>
      <c r="B59" s="1" t="s">
        <v>75</v>
      </c>
      <c r="D59" s="1" t="e">
        <f>VLOOKUP(B59,channelfireball!A:C,2,FALSE)</f>
        <v>#N/A</v>
      </c>
      <c r="E59" s="1" t="e">
        <f>VLOOKUP(B59,channelfireball!A:C,3,FALSE)</f>
        <v>#N/A</v>
      </c>
      <c r="F59" s="1">
        <f>VLOOKUP(B59,smds!B:C,2,FALSE)</f>
        <v>1</v>
      </c>
      <c r="G59" s="1" t="e">
        <f>VLOOKUP(B59,oracle!A:D,2,FALSE)</f>
        <v>#N/A</v>
      </c>
      <c r="H59" s="1" t="e">
        <f>VLOOKUP(B59,oracle!A:D,3,FALSE)</f>
        <v>#N/A</v>
      </c>
      <c r="I59" s="1" t="e">
        <f>VLOOKUP(B59,oracle!A:D,4,FALSE)</f>
        <v>#N/A</v>
      </c>
    </row>
    <row r="60" spans="1:9">
      <c r="A60" s="1">
        <v>60</v>
      </c>
      <c r="B60" s="1" t="s">
        <v>77</v>
      </c>
      <c r="D60" s="1" t="e">
        <f>VLOOKUP(B60,channelfireball!A:C,2,FALSE)</f>
        <v>#N/A</v>
      </c>
      <c r="E60" s="1" t="e">
        <f>VLOOKUP(B60,channelfireball!A:C,3,FALSE)</f>
        <v>#N/A</v>
      </c>
      <c r="F60" s="1">
        <f>VLOOKUP(B60,smds!B:C,2,FALSE)</f>
        <v>1</v>
      </c>
      <c r="G60" s="1" t="e">
        <f>VLOOKUP(B60,oracle!A:D,2,FALSE)</f>
        <v>#N/A</v>
      </c>
      <c r="H60" s="1" t="e">
        <f>VLOOKUP(B60,oracle!A:D,3,FALSE)</f>
        <v>#N/A</v>
      </c>
      <c r="I60" s="1" t="e">
        <f>VLOOKUP(B60,oracle!A:D,4,FALSE)</f>
        <v>#N/A</v>
      </c>
    </row>
    <row r="61" spans="1:9">
      <c r="A61" s="1">
        <v>61</v>
      </c>
      <c r="B61" s="1" t="s">
        <v>254</v>
      </c>
      <c r="D61" s="1" t="e">
        <f>VLOOKUP(B61,channelfireball!A:C,2,FALSE)</f>
        <v>#N/A</v>
      </c>
      <c r="E61" s="1" t="e">
        <f>VLOOKUP(B61,channelfireball!A:C,3,FALSE)</f>
        <v>#N/A</v>
      </c>
      <c r="F61" s="1">
        <f>VLOOKUP(B61,smds!B:C,2,FALSE)</f>
        <v>1</v>
      </c>
      <c r="G61" s="1" t="e">
        <f>VLOOKUP(B61,oracle!A:D,2,FALSE)</f>
        <v>#N/A</v>
      </c>
      <c r="H61" s="1" t="e">
        <f>VLOOKUP(B61,oracle!A:D,3,FALSE)</f>
        <v>#N/A</v>
      </c>
      <c r="I61" s="1" t="e">
        <f>VLOOKUP(B61,oracle!A:D,4,FALSE)</f>
        <v>#N/A</v>
      </c>
    </row>
    <row r="62" spans="1:9">
      <c r="A62" s="1">
        <v>62</v>
      </c>
      <c r="B62" s="1" t="s">
        <v>79</v>
      </c>
      <c r="D62" s="1" t="e">
        <f>VLOOKUP(B62,channelfireball!A:C,2,FALSE)</f>
        <v>#N/A</v>
      </c>
      <c r="E62" s="1" t="e">
        <f>VLOOKUP(B62,channelfireball!A:C,3,FALSE)</f>
        <v>#N/A</v>
      </c>
      <c r="F62" s="1">
        <f>VLOOKUP(B62,smds!B:C,2,FALSE)</f>
        <v>1.7</v>
      </c>
      <c r="G62" s="1" t="e">
        <f>VLOOKUP(B62,oracle!A:D,2,FALSE)</f>
        <v>#N/A</v>
      </c>
      <c r="H62" s="1" t="e">
        <f>VLOOKUP(B62,oracle!A:D,3,FALSE)</f>
        <v>#N/A</v>
      </c>
      <c r="I62" s="1" t="e">
        <f>VLOOKUP(B62,oracle!A:D,4,FALSE)</f>
        <v>#N/A</v>
      </c>
    </row>
    <row r="63" spans="1:9">
      <c r="A63" s="1">
        <v>63</v>
      </c>
      <c r="B63" s="1" t="s">
        <v>247</v>
      </c>
      <c r="D63" s="1" t="e">
        <f>VLOOKUP(B63,channelfireball!A:C,2,FALSE)</f>
        <v>#N/A</v>
      </c>
      <c r="E63" s="1" t="e">
        <f>VLOOKUP(B63,channelfireball!A:C,3,FALSE)</f>
        <v>#N/A</v>
      </c>
      <c r="F63" s="1">
        <f>VLOOKUP(B63,smds!B:C,2,FALSE)</f>
        <v>1.6</v>
      </c>
      <c r="G63" s="1" t="e">
        <f>VLOOKUP(B63,oracle!A:D,2,FALSE)</f>
        <v>#N/A</v>
      </c>
      <c r="H63" s="1" t="e">
        <f>VLOOKUP(B63,oracle!A:D,3,FALSE)</f>
        <v>#N/A</v>
      </c>
      <c r="I63" s="1" t="e">
        <f>VLOOKUP(B63,oracle!A:D,4,FALSE)</f>
        <v>#N/A</v>
      </c>
    </row>
    <row r="64" spans="1:9">
      <c r="A64" s="1">
        <v>64</v>
      </c>
      <c r="B64" s="1" t="s">
        <v>81</v>
      </c>
      <c r="D64" s="1" t="e">
        <f>VLOOKUP(B64,channelfireball!A:C,2,FALSE)</f>
        <v>#N/A</v>
      </c>
      <c r="E64" s="1" t="e">
        <f>VLOOKUP(B64,channelfireball!A:C,3,FALSE)</f>
        <v>#N/A</v>
      </c>
      <c r="F64" s="1">
        <f>VLOOKUP(B64,smds!B:C,2,FALSE)</f>
        <v>4.4000000000000004</v>
      </c>
      <c r="G64" s="1" t="e">
        <f>VLOOKUP(B64,oracle!A:D,2,FALSE)</f>
        <v>#N/A</v>
      </c>
      <c r="H64" s="1" t="e">
        <f>VLOOKUP(B64,oracle!A:D,3,FALSE)</f>
        <v>#N/A</v>
      </c>
      <c r="I64" s="1" t="e">
        <f>VLOOKUP(B64,oracle!A:D,4,FALSE)</f>
        <v>#N/A</v>
      </c>
    </row>
    <row r="65" spans="1:9">
      <c r="A65" s="1">
        <v>65</v>
      </c>
      <c r="B65" s="1" t="s">
        <v>83</v>
      </c>
      <c r="D65" s="1" t="e">
        <f>VLOOKUP(B65,channelfireball!A:C,2,FALSE)</f>
        <v>#N/A</v>
      </c>
      <c r="E65" s="1" t="e">
        <f>VLOOKUP(B65,channelfireball!A:C,3,FALSE)</f>
        <v>#N/A</v>
      </c>
      <c r="F65" s="1">
        <f>VLOOKUP(B65,smds!B:C,2,FALSE)</f>
        <v>5.5</v>
      </c>
      <c r="G65" s="1" t="e">
        <f>VLOOKUP(B65,oracle!A:D,2,FALSE)</f>
        <v>#N/A</v>
      </c>
      <c r="H65" s="1" t="e">
        <f>VLOOKUP(B65,oracle!A:D,3,FALSE)</f>
        <v>#N/A</v>
      </c>
      <c r="I65" s="1" t="e">
        <f>VLOOKUP(B65,oracle!A:D,4,FALSE)</f>
        <v>#N/A</v>
      </c>
    </row>
    <row r="66" spans="1:9">
      <c r="A66" s="1">
        <v>66</v>
      </c>
      <c r="B66" s="1" t="s">
        <v>85</v>
      </c>
      <c r="D66" s="1" t="e">
        <f>VLOOKUP(B66,channelfireball!A:C,2,FALSE)</f>
        <v>#N/A</v>
      </c>
      <c r="E66" s="1" t="e">
        <f>VLOOKUP(B66,channelfireball!A:C,3,FALSE)</f>
        <v>#N/A</v>
      </c>
      <c r="F66" s="1">
        <f>VLOOKUP(B66,smds!B:C,2,FALSE)</f>
        <v>1.2</v>
      </c>
      <c r="G66" s="1" t="e">
        <f>VLOOKUP(B66,oracle!A:D,2,FALSE)</f>
        <v>#N/A</v>
      </c>
      <c r="H66" s="1" t="e">
        <f>VLOOKUP(B66,oracle!A:D,3,FALSE)</f>
        <v>#N/A</v>
      </c>
      <c r="I66" s="1" t="e">
        <f>VLOOKUP(B66,oracle!A:D,4,FALSE)</f>
        <v>#N/A</v>
      </c>
    </row>
    <row r="67" spans="1:9">
      <c r="A67" s="1">
        <v>67</v>
      </c>
      <c r="B67" s="1" t="s">
        <v>87</v>
      </c>
      <c r="D67" s="1" t="e">
        <f>VLOOKUP(B67,channelfireball!A:C,2,FALSE)</f>
        <v>#N/A</v>
      </c>
      <c r="E67" s="1" t="e">
        <f>VLOOKUP(B67,channelfireball!A:C,3,FALSE)</f>
        <v>#N/A</v>
      </c>
      <c r="F67" s="1">
        <f>VLOOKUP(B67,smds!B:C,2,FALSE)</f>
        <v>0.9</v>
      </c>
      <c r="G67" s="1" t="e">
        <f>VLOOKUP(B67,oracle!A:D,2,FALSE)</f>
        <v>#N/A</v>
      </c>
      <c r="H67" s="1" t="e">
        <f>VLOOKUP(B67,oracle!A:D,3,FALSE)</f>
        <v>#N/A</v>
      </c>
      <c r="I67" s="1" t="e">
        <f>VLOOKUP(B67,oracle!A:D,4,FALSE)</f>
        <v>#N/A</v>
      </c>
    </row>
    <row r="68" spans="1:9">
      <c r="A68" s="1">
        <v>68</v>
      </c>
      <c r="B68" s="1" t="s">
        <v>89</v>
      </c>
      <c r="D68" s="1" t="e">
        <f>VLOOKUP(B68,channelfireball!A:C,2,FALSE)</f>
        <v>#N/A</v>
      </c>
      <c r="E68" s="1" t="e">
        <f>VLOOKUP(B68,channelfireball!A:C,3,FALSE)</f>
        <v>#N/A</v>
      </c>
      <c r="F68" s="1">
        <f>VLOOKUP(B68,smds!B:C,2,FALSE)</f>
        <v>0.9</v>
      </c>
      <c r="G68" s="1" t="e">
        <f>VLOOKUP(B68,oracle!A:D,2,FALSE)</f>
        <v>#N/A</v>
      </c>
      <c r="H68" s="1" t="e">
        <f>VLOOKUP(B68,oracle!A:D,3,FALSE)</f>
        <v>#N/A</v>
      </c>
      <c r="I68" s="1" t="e">
        <f>VLOOKUP(B68,oracle!A:D,4,FALSE)</f>
        <v>#N/A</v>
      </c>
    </row>
    <row r="69" spans="1:9">
      <c r="A69" s="1">
        <v>69</v>
      </c>
      <c r="B69" s="1" t="s">
        <v>91</v>
      </c>
      <c r="D69" s="1" t="e">
        <f>VLOOKUP(B69,channelfireball!A:C,2,FALSE)</f>
        <v>#N/A</v>
      </c>
      <c r="E69" s="1" t="e">
        <f>VLOOKUP(B69,channelfireball!A:C,3,FALSE)</f>
        <v>#N/A</v>
      </c>
      <c r="F69" s="1">
        <f>VLOOKUP(B69,smds!B:C,2,FALSE)</f>
        <v>4.2</v>
      </c>
      <c r="G69" s="1" t="e">
        <f>VLOOKUP(B69,oracle!A:D,2,FALSE)</f>
        <v>#N/A</v>
      </c>
      <c r="H69" s="1" t="e">
        <f>VLOOKUP(B69,oracle!A:D,3,FALSE)</f>
        <v>#N/A</v>
      </c>
      <c r="I69" s="1" t="e">
        <f>VLOOKUP(B69,oracle!A:D,4,FALSE)</f>
        <v>#N/A</v>
      </c>
    </row>
    <row r="70" spans="1:9">
      <c r="A70" s="1">
        <v>70</v>
      </c>
      <c r="B70" s="1" t="s">
        <v>260</v>
      </c>
      <c r="D70" s="1" t="e">
        <f>VLOOKUP(B70,channelfireball!A:C,2,FALSE)</f>
        <v>#N/A</v>
      </c>
      <c r="E70" s="1" t="e">
        <f>VLOOKUP(B70,channelfireball!A:C,3,FALSE)</f>
        <v>#N/A</v>
      </c>
      <c r="F70" s="1">
        <f>VLOOKUP(B70,smds!B:C,2,FALSE)</f>
        <v>0.9</v>
      </c>
      <c r="G70" s="1" t="e">
        <f>VLOOKUP(B70,oracle!A:D,2,FALSE)</f>
        <v>#N/A</v>
      </c>
      <c r="H70" s="1" t="e">
        <f>VLOOKUP(B70,oracle!A:D,3,FALSE)</f>
        <v>#N/A</v>
      </c>
      <c r="I70" s="1" t="e">
        <f>VLOOKUP(B70,oracle!A:D,4,FALSE)</f>
        <v>#N/A</v>
      </c>
    </row>
    <row r="71" spans="1:9">
      <c r="A71" s="1">
        <v>71</v>
      </c>
      <c r="B71" s="1" t="s">
        <v>93</v>
      </c>
      <c r="D71" s="1" t="e">
        <f>VLOOKUP(B71,channelfireball!A:C,2,FALSE)</f>
        <v>#N/A</v>
      </c>
      <c r="E71" s="1" t="e">
        <f>VLOOKUP(B71,channelfireball!A:C,3,FALSE)</f>
        <v>#N/A</v>
      </c>
      <c r="F71" s="1">
        <f>VLOOKUP(B71,smds!B:C,2,FALSE)</f>
        <v>2.7</v>
      </c>
      <c r="G71" s="1" t="e">
        <f>VLOOKUP(B71,oracle!A:D,2,FALSE)</f>
        <v>#N/A</v>
      </c>
      <c r="H71" s="1" t="e">
        <f>VLOOKUP(B71,oracle!A:D,3,FALSE)</f>
        <v>#N/A</v>
      </c>
      <c r="I71" s="1" t="e">
        <f>VLOOKUP(B71,oracle!A:D,4,FALSE)</f>
        <v>#N/A</v>
      </c>
    </row>
    <row r="72" spans="1:9">
      <c r="A72" s="1">
        <v>72</v>
      </c>
      <c r="B72" s="1" t="s">
        <v>95</v>
      </c>
      <c r="D72" s="1" t="e">
        <f>VLOOKUP(B72,channelfireball!A:C,2,FALSE)</f>
        <v>#N/A</v>
      </c>
      <c r="E72" s="1" t="e">
        <f>VLOOKUP(B72,channelfireball!A:C,3,FALSE)</f>
        <v>#N/A</v>
      </c>
      <c r="F72" s="1">
        <f>VLOOKUP(B72,smds!B:C,2,FALSE)</f>
        <v>9.9</v>
      </c>
      <c r="G72" s="1" t="e">
        <f>VLOOKUP(B72,oracle!A:D,2,FALSE)</f>
        <v>#N/A</v>
      </c>
      <c r="H72" s="1" t="e">
        <f>VLOOKUP(B72,oracle!A:D,3,FALSE)</f>
        <v>#N/A</v>
      </c>
      <c r="I72" s="1" t="e">
        <f>VLOOKUP(B72,oracle!A:D,4,FALSE)</f>
        <v>#N/A</v>
      </c>
    </row>
    <row r="73" spans="1:9">
      <c r="A73" s="1">
        <v>73</v>
      </c>
      <c r="B73" s="1" t="s">
        <v>97</v>
      </c>
      <c r="D73" s="1" t="e">
        <f>VLOOKUP(B73,channelfireball!A:C,2,FALSE)</f>
        <v>#N/A</v>
      </c>
      <c r="E73" s="1" t="e">
        <f>VLOOKUP(B73,channelfireball!A:C,3,FALSE)</f>
        <v>#N/A</v>
      </c>
      <c r="F73" s="1">
        <f>VLOOKUP(B73,smds!B:C,2,FALSE)</f>
        <v>1</v>
      </c>
      <c r="G73" s="1" t="e">
        <f>VLOOKUP(B73,oracle!A:D,2,FALSE)</f>
        <v>#N/A</v>
      </c>
      <c r="H73" s="1" t="e">
        <f>VLOOKUP(B73,oracle!A:D,3,FALSE)</f>
        <v>#N/A</v>
      </c>
      <c r="I73" s="1" t="e">
        <f>VLOOKUP(B73,oracle!A:D,4,FALSE)</f>
        <v>#N/A</v>
      </c>
    </row>
    <row r="74" spans="1:9">
      <c r="A74" s="1">
        <v>74</v>
      </c>
      <c r="B74" s="1" t="s">
        <v>99</v>
      </c>
      <c r="D74" s="1" t="e">
        <f>VLOOKUP(B74,channelfireball!A:C,2,FALSE)</f>
        <v>#N/A</v>
      </c>
      <c r="E74" s="1" t="e">
        <f>VLOOKUP(B74,channelfireball!A:C,3,FALSE)</f>
        <v>#N/A</v>
      </c>
      <c r="F74" s="1">
        <f>VLOOKUP(B74,smds!B:C,2,FALSE)</f>
        <v>0.9</v>
      </c>
      <c r="G74" s="1" t="e">
        <f>VLOOKUP(B74,oracle!A:D,2,FALSE)</f>
        <v>#N/A</v>
      </c>
      <c r="H74" s="1" t="e">
        <f>VLOOKUP(B74,oracle!A:D,3,FALSE)</f>
        <v>#N/A</v>
      </c>
      <c r="I74" s="1" t="e">
        <f>VLOOKUP(B74,oracle!A:D,4,FALSE)</f>
        <v>#N/A</v>
      </c>
    </row>
    <row r="75" spans="1:9">
      <c r="A75" s="1">
        <v>75</v>
      </c>
      <c r="B75" s="1" t="s">
        <v>101</v>
      </c>
      <c r="D75" s="1" t="e">
        <f>VLOOKUP(B75,channelfireball!A:C,2,FALSE)</f>
        <v>#N/A</v>
      </c>
      <c r="E75" s="1" t="e">
        <f>VLOOKUP(B75,channelfireball!A:C,3,FALSE)</f>
        <v>#N/A</v>
      </c>
      <c r="F75" s="1">
        <f>VLOOKUP(B75,smds!B:C,2,FALSE)</f>
        <v>0.9</v>
      </c>
      <c r="G75" s="1" t="e">
        <f>VLOOKUP(B75,oracle!A:D,2,FALSE)</f>
        <v>#N/A</v>
      </c>
      <c r="H75" s="1" t="e">
        <f>VLOOKUP(B75,oracle!A:D,3,FALSE)</f>
        <v>#N/A</v>
      </c>
      <c r="I75" s="1" t="e">
        <f>VLOOKUP(B75,oracle!A:D,4,FALSE)</f>
        <v>#N/A</v>
      </c>
    </row>
    <row r="76" spans="1:9">
      <c r="A76" s="1">
        <v>76</v>
      </c>
      <c r="B76" s="1" t="s">
        <v>103</v>
      </c>
      <c r="D76" s="1" t="e">
        <f>VLOOKUP(B76,channelfireball!A:C,2,FALSE)</f>
        <v>#N/A</v>
      </c>
      <c r="E76" s="1" t="e">
        <f>VLOOKUP(B76,channelfireball!A:C,3,FALSE)</f>
        <v>#N/A</v>
      </c>
      <c r="F76" s="1">
        <f>VLOOKUP(B76,smds!B:C,2,FALSE)</f>
        <v>1</v>
      </c>
      <c r="G76" s="1" t="e">
        <f>VLOOKUP(B76,oracle!A:D,2,FALSE)</f>
        <v>#N/A</v>
      </c>
      <c r="H76" s="1" t="e">
        <f>VLOOKUP(B76,oracle!A:D,3,FALSE)</f>
        <v>#N/A</v>
      </c>
      <c r="I76" s="1" t="e">
        <f>VLOOKUP(B76,oracle!A:D,4,FALSE)</f>
        <v>#N/A</v>
      </c>
    </row>
    <row r="77" spans="1:9">
      <c r="A77" s="1">
        <v>77</v>
      </c>
      <c r="B77" s="1" t="s">
        <v>105</v>
      </c>
      <c r="D77" s="1" t="e">
        <f>VLOOKUP(B77,channelfireball!A:C,2,FALSE)</f>
        <v>#N/A</v>
      </c>
      <c r="E77" s="1" t="e">
        <f>VLOOKUP(B77,channelfireball!A:C,3,FALSE)</f>
        <v>#N/A</v>
      </c>
      <c r="F77" s="1">
        <f>VLOOKUP(B77,smds!B:C,2,FALSE)</f>
        <v>1.3</v>
      </c>
      <c r="G77" s="1" t="e">
        <f>VLOOKUP(B77,oracle!A:D,2,FALSE)</f>
        <v>#N/A</v>
      </c>
      <c r="H77" s="1" t="e">
        <f>VLOOKUP(B77,oracle!A:D,3,FALSE)</f>
        <v>#N/A</v>
      </c>
      <c r="I77" s="1" t="e">
        <f>VLOOKUP(B77,oracle!A:D,4,FALSE)</f>
        <v>#N/A</v>
      </c>
    </row>
    <row r="78" spans="1:9">
      <c r="A78" s="1">
        <v>78</v>
      </c>
      <c r="B78" s="1" t="s">
        <v>107</v>
      </c>
      <c r="D78" s="1" t="e">
        <f>VLOOKUP(B78,channelfireball!A:C,2,FALSE)</f>
        <v>#N/A</v>
      </c>
      <c r="E78" s="1" t="e">
        <f>VLOOKUP(B78,channelfireball!A:C,3,FALSE)</f>
        <v>#N/A</v>
      </c>
      <c r="F78" s="1">
        <f>VLOOKUP(B78,smds!B:C,2,FALSE)</f>
        <v>0.8</v>
      </c>
      <c r="G78" s="1" t="e">
        <f>VLOOKUP(B78,oracle!A:D,2,FALSE)</f>
        <v>#N/A</v>
      </c>
      <c r="H78" s="1" t="e">
        <f>VLOOKUP(B78,oracle!A:D,3,FALSE)</f>
        <v>#N/A</v>
      </c>
      <c r="I78" s="1" t="e">
        <f>VLOOKUP(B78,oracle!A:D,4,FALSE)</f>
        <v>#N/A</v>
      </c>
    </row>
    <row r="79" spans="1:9">
      <c r="A79" s="1">
        <v>79</v>
      </c>
      <c r="B79" s="1" t="s">
        <v>109</v>
      </c>
      <c r="D79" s="1" t="e">
        <f>VLOOKUP(B79,channelfireball!A:C,2,FALSE)</f>
        <v>#N/A</v>
      </c>
      <c r="E79" s="1" t="e">
        <f>VLOOKUP(B79,channelfireball!A:C,3,FALSE)</f>
        <v>#N/A</v>
      </c>
      <c r="F79" s="1">
        <f>VLOOKUP(B79,smds!B:C,2,FALSE)</f>
        <v>1.3</v>
      </c>
      <c r="G79" s="1" t="e">
        <f>VLOOKUP(B79,oracle!A:D,2,FALSE)</f>
        <v>#N/A</v>
      </c>
      <c r="H79" s="1" t="e">
        <f>VLOOKUP(B79,oracle!A:D,3,FALSE)</f>
        <v>#N/A</v>
      </c>
      <c r="I79" s="1" t="e">
        <f>VLOOKUP(B79,oracle!A:D,4,FALSE)</f>
        <v>#N/A</v>
      </c>
    </row>
    <row r="80" spans="1:9">
      <c r="A80" s="1">
        <v>80</v>
      </c>
      <c r="B80" s="1" t="s">
        <v>111</v>
      </c>
      <c r="D80" s="1" t="e">
        <f>VLOOKUP(B80,channelfireball!A:C,2,FALSE)</f>
        <v>#N/A</v>
      </c>
      <c r="E80" s="1" t="e">
        <f>VLOOKUP(B80,channelfireball!A:C,3,FALSE)</f>
        <v>#N/A</v>
      </c>
      <c r="F80" s="1">
        <f>VLOOKUP(B80,smds!B:C,2,FALSE)</f>
        <v>7.6</v>
      </c>
      <c r="G80" s="1" t="e">
        <f>VLOOKUP(B80,oracle!A:D,2,FALSE)</f>
        <v>#N/A</v>
      </c>
      <c r="H80" s="1" t="e">
        <f>VLOOKUP(B80,oracle!A:D,3,FALSE)</f>
        <v>#N/A</v>
      </c>
      <c r="I80" s="1" t="e">
        <f>VLOOKUP(B80,oracle!A:D,4,FALSE)</f>
        <v>#N/A</v>
      </c>
    </row>
    <row r="81" spans="1:9">
      <c r="A81" s="1">
        <v>81</v>
      </c>
      <c r="B81" s="1" t="s">
        <v>113</v>
      </c>
      <c r="D81" s="1" t="e">
        <f>VLOOKUP(B81,channelfireball!A:C,2,FALSE)</f>
        <v>#N/A</v>
      </c>
      <c r="E81" s="1" t="e">
        <f>VLOOKUP(B81,channelfireball!A:C,3,FALSE)</f>
        <v>#N/A</v>
      </c>
      <c r="F81" s="1">
        <f>VLOOKUP(B81,smds!B:C,2,FALSE)</f>
        <v>1.6</v>
      </c>
      <c r="G81" s="1" t="e">
        <f>VLOOKUP(B81,oracle!A:D,2,FALSE)</f>
        <v>#N/A</v>
      </c>
      <c r="H81" s="1" t="e">
        <f>VLOOKUP(B81,oracle!A:D,3,FALSE)</f>
        <v>#N/A</v>
      </c>
      <c r="I81" s="1" t="e">
        <f>VLOOKUP(B81,oracle!A:D,4,FALSE)</f>
        <v>#N/A</v>
      </c>
    </row>
    <row r="82" spans="1:9">
      <c r="A82" s="1">
        <v>82</v>
      </c>
      <c r="B82" s="1" t="s">
        <v>114</v>
      </c>
      <c r="D82" s="1" t="e">
        <f>VLOOKUP(B82,channelfireball!A:C,2,FALSE)</f>
        <v>#N/A</v>
      </c>
      <c r="E82" s="1" t="e">
        <f>VLOOKUP(B82,channelfireball!A:C,3,FALSE)</f>
        <v>#N/A</v>
      </c>
      <c r="F82" s="1">
        <f>VLOOKUP(B82,smds!B:C,2,FALSE)</f>
        <v>1</v>
      </c>
      <c r="G82" s="1" t="e">
        <f>VLOOKUP(B82,oracle!A:D,2,FALSE)</f>
        <v>#N/A</v>
      </c>
      <c r="H82" s="1" t="e">
        <f>VLOOKUP(B82,oracle!A:D,3,FALSE)</f>
        <v>#N/A</v>
      </c>
      <c r="I82" s="1" t="e">
        <f>VLOOKUP(B82,oracle!A:D,4,FALSE)</f>
        <v>#N/A</v>
      </c>
    </row>
    <row r="83" spans="1:9">
      <c r="A83" s="1">
        <v>83</v>
      </c>
      <c r="B83" s="1" t="s">
        <v>115</v>
      </c>
      <c r="D83" s="1" t="e">
        <f>VLOOKUP(B83,channelfireball!A:C,2,FALSE)</f>
        <v>#N/A</v>
      </c>
      <c r="E83" s="1" t="e">
        <f>VLOOKUP(B83,channelfireball!A:C,3,FALSE)</f>
        <v>#N/A</v>
      </c>
      <c r="F83" s="1">
        <f>VLOOKUP(B83,smds!B:C,2,FALSE)</f>
        <v>0.9</v>
      </c>
      <c r="G83" s="1" t="e">
        <f>VLOOKUP(B83,oracle!A:D,2,FALSE)</f>
        <v>#N/A</v>
      </c>
      <c r="H83" s="1" t="e">
        <f>VLOOKUP(B83,oracle!A:D,3,FALSE)</f>
        <v>#N/A</v>
      </c>
      <c r="I83" s="1" t="e">
        <f>VLOOKUP(B83,oracle!A:D,4,FALSE)</f>
        <v>#N/A</v>
      </c>
    </row>
    <row r="84" spans="1:9">
      <c r="A84" s="1">
        <v>84</v>
      </c>
      <c r="B84" s="1" t="s">
        <v>116</v>
      </c>
      <c r="D84" s="1" t="e">
        <f>VLOOKUP(B84,channelfireball!A:C,2,FALSE)</f>
        <v>#N/A</v>
      </c>
      <c r="E84" s="1" t="e">
        <f>VLOOKUP(B84,channelfireball!A:C,3,FALSE)</f>
        <v>#N/A</v>
      </c>
      <c r="F84" s="1">
        <f>VLOOKUP(B84,smds!B:C,2,FALSE)</f>
        <v>1</v>
      </c>
      <c r="G84" s="1" t="e">
        <f>VLOOKUP(B84,oracle!A:D,2,FALSE)</f>
        <v>#N/A</v>
      </c>
      <c r="H84" s="1" t="e">
        <f>VLOOKUP(B84,oracle!A:D,3,FALSE)</f>
        <v>#N/A</v>
      </c>
      <c r="I84" s="1" t="e">
        <f>VLOOKUP(B84,oracle!A:D,4,FALSE)</f>
        <v>#N/A</v>
      </c>
    </row>
    <row r="85" spans="1:9">
      <c r="A85" s="1">
        <v>85</v>
      </c>
      <c r="B85" s="1" t="s">
        <v>117</v>
      </c>
      <c r="D85" s="1" t="e">
        <f>VLOOKUP(B85,channelfireball!A:C,2,FALSE)</f>
        <v>#N/A</v>
      </c>
      <c r="E85" s="1" t="e">
        <f>VLOOKUP(B85,channelfireball!A:C,3,FALSE)</f>
        <v>#N/A</v>
      </c>
      <c r="F85" s="1">
        <f>VLOOKUP(B85,smds!B:C,2,FALSE)</f>
        <v>7</v>
      </c>
      <c r="G85" s="1" t="e">
        <f>VLOOKUP(B85,oracle!A:D,2,FALSE)</f>
        <v>#N/A</v>
      </c>
      <c r="H85" s="1" t="e">
        <f>VLOOKUP(B85,oracle!A:D,3,FALSE)</f>
        <v>#N/A</v>
      </c>
      <c r="I85" s="1" t="e">
        <f>VLOOKUP(B85,oracle!A:D,4,FALSE)</f>
        <v>#N/A</v>
      </c>
    </row>
    <row r="86" spans="1:9">
      <c r="A86" s="1">
        <v>86</v>
      </c>
      <c r="B86" s="1" t="s">
        <v>118</v>
      </c>
      <c r="D86" s="1" t="e">
        <f>VLOOKUP(B86,channelfireball!A:C,2,FALSE)</f>
        <v>#N/A</v>
      </c>
      <c r="E86" s="1" t="e">
        <f>VLOOKUP(B86,channelfireball!A:C,3,FALSE)</f>
        <v>#N/A</v>
      </c>
      <c r="F86" s="1">
        <f>VLOOKUP(B86,smds!B:C,2,FALSE)</f>
        <v>9.1999999999999993</v>
      </c>
      <c r="G86" s="1" t="e">
        <f>VLOOKUP(B86,oracle!A:D,2,FALSE)</f>
        <v>#N/A</v>
      </c>
      <c r="H86" s="1" t="e">
        <f>VLOOKUP(B86,oracle!A:D,3,FALSE)</f>
        <v>#N/A</v>
      </c>
      <c r="I86" s="1" t="e">
        <f>VLOOKUP(B86,oracle!A:D,4,FALSE)</f>
        <v>#N/A</v>
      </c>
    </row>
    <row r="87" spans="1:9">
      <c r="A87" s="1">
        <v>87</v>
      </c>
      <c r="B87" s="1" t="s">
        <v>119</v>
      </c>
      <c r="D87" s="1" t="e">
        <f>VLOOKUP(B87,channelfireball!A:C,2,FALSE)</f>
        <v>#N/A</v>
      </c>
      <c r="E87" s="1" t="e">
        <f>VLOOKUP(B87,channelfireball!A:C,3,FALSE)</f>
        <v>#N/A</v>
      </c>
      <c r="F87" s="1">
        <f>VLOOKUP(B87,smds!B:C,2,FALSE)</f>
        <v>8.8000000000000007</v>
      </c>
      <c r="G87" s="1" t="e">
        <f>VLOOKUP(B87,oracle!A:D,2,FALSE)</f>
        <v>#N/A</v>
      </c>
      <c r="H87" s="1" t="e">
        <f>VLOOKUP(B87,oracle!A:D,3,FALSE)</f>
        <v>#N/A</v>
      </c>
      <c r="I87" s="1" t="e">
        <f>VLOOKUP(B87,oracle!A:D,4,FALSE)</f>
        <v>#N/A</v>
      </c>
    </row>
    <row r="88" spans="1:9">
      <c r="A88" s="1">
        <v>88</v>
      </c>
      <c r="B88" s="1" t="s">
        <v>120</v>
      </c>
      <c r="D88" s="1" t="e">
        <f>VLOOKUP(B88,channelfireball!A:C,2,FALSE)</f>
        <v>#N/A</v>
      </c>
      <c r="E88" s="1" t="e">
        <f>VLOOKUP(B88,channelfireball!A:C,3,FALSE)</f>
        <v>#N/A</v>
      </c>
      <c r="F88" s="1">
        <f>VLOOKUP(B88,smds!B:C,2,FALSE)</f>
        <v>1.6</v>
      </c>
      <c r="G88" s="1" t="e">
        <f>VLOOKUP(B88,oracle!A:D,2,FALSE)</f>
        <v>#N/A</v>
      </c>
      <c r="H88" s="1" t="e">
        <f>VLOOKUP(B88,oracle!A:D,3,FALSE)</f>
        <v>#N/A</v>
      </c>
      <c r="I88" s="1" t="e">
        <f>VLOOKUP(B88,oracle!A:D,4,FALSE)</f>
        <v>#N/A</v>
      </c>
    </row>
    <row r="89" spans="1:9">
      <c r="A89" s="1">
        <v>89</v>
      </c>
      <c r="B89" s="1" t="s">
        <v>121</v>
      </c>
      <c r="D89" s="1" t="e">
        <f>VLOOKUP(B89,channelfireball!A:C,2,FALSE)</f>
        <v>#N/A</v>
      </c>
      <c r="E89" s="1" t="e">
        <f>VLOOKUP(B89,channelfireball!A:C,3,FALSE)</f>
        <v>#N/A</v>
      </c>
      <c r="F89" s="1">
        <f>VLOOKUP(B89,smds!B:C,2,FALSE)</f>
        <v>1</v>
      </c>
      <c r="G89" s="1" t="e">
        <f>VLOOKUP(B89,oracle!A:D,2,FALSE)</f>
        <v>#N/A</v>
      </c>
      <c r="H89" s="1" t="e">
        <f>VLOOKUP(B89,oracle!A:D,3,FALSE)</f>
        <v>#N/A</v>
      </c>
      <c r="I89" s="1" t="e">
        <f>VLOOKUP(B89,oracle!A:D,4,FALSE)</f>
        <v>#N/A</v>
      </c>
    </row>
    <row r="90" spans="1:9">
      <c r="A90" s="1">
        <v>90</v>
      </c>
      <c r="B90" s="1" t="s">
        <v>122</v>
      </c>
      <c r="D90" s="1" t="e">
        <f>VLOOKUP(B90,channelfireball!A:C,2,FALSE)</f>
        <v>#N/A</v>
      </c>
      <c r="E90" s="1" t="e">
        <f>VLOOKUP(B90,channelfireball!A:C,3,FALSE)</f>
        <v>#N/A</v>
      </c>
      <c r="F90" s="1">
        <f>VLOOKUP(B90,smds!B:C,2,FALSE)</f>
        <v>1.1000000000000001</v>
      </c>
      <c r="G90" s="1" t="e">
        <f>VLOOKUP(B90,oracle!A:D,2,FALSE)</f>
        <v>#N/A</v>
      </c>
      <c r="H90" s="1" t="e">
        <f>VLOOKUP(B90,oracle!A:D,3,FALSE)</f>
        <v>#N/A</v>
      </c>
      <c r="I90" s="1" t="e">
        <f>VLOOKUP(B90,oracle!A:D,4,FALSE)</f>
        <v>#N/A</v>
      </c>
    </row>
    <row r="91" spans="1:9">
      <c r="A91" s="1">
        <v>91</v>
      </c>
      <c r="B91" s="1" t="s">
        <v>251</v>
      </c>
      <c r="D91" s="1" t="e">
        <f>VLOOKUP(B91,channelfireball!A:C,2,FALSE)</f>
        <v>#N/A</v>
      </c>
      <c r="E91" s="1" t="e">
        <f>VLOOKUP(B91,channelfireball!A:C,3,FALSE)</f>
        <v>#N/A</v>
      </c>
      <c r="F91" s="1">
        <f>VLOOKUP(B91,smds!B:C,2,FALSE)</f>
        <v>1.3</v>
      </c>
      <c r="G91" s="1" t="e">
        <f>VLOOKUP(B91,oracle!A:D,2,FALSE)</f>
        <v>#N/A</v>
      </c>
      <c r="H91" s="1" t="e">
        <f>VLOOKUP(B91,oracle!A:D,3,FALSE)</f>
        <v>#N/A</v>
      </c>
      <c r="I91" s="1" t="e">
        <f>VLOOKUP(B91,oracle!A:D,4,FALSE)</f>
        <v>#N/A</v>
      </c>
    </row>
    <row r="92" spans="1:9">
      <c r="A92" s="1">
        <v>92</v>
      </c>
      <c r="B92" s="1" t="s">
        <v>123</v>
      </c>
      <c r="D92" s="1" t="e">
        <f>VLOOKUP(B92,channelfireball!A:C,2,FALSE)</f>
        <v>#N/A</v>
      </c>
      <c r="E92" s="1" t="e">
        <f>VLOOKUP(B92,channelfireball!A:C,3,FALSE)</f>
        <v>#N/A</v>
      </c>
      <c r="F92" s="1">
        <f>VLOOKUP(B92,smds!B:C,2,FALSE)</f>
        <v>2.5</v>
      </c>
      <c r="G92" s="1" t="e">
        <f>VLOOKUP(B92,oracle!A:D,2,FALSE)</f>
        <v>#N/A</v>
      </c>
      <c r="H92" s="1" t="e">
        <f>VLOOKUP(B92,oracle!A:D,3,FALSE)</f>
        <v>#N/A</v>
      </c>
      <c r="I92" s="1" t="e">
        <f>VLOOKUP(B92,oracle!A:D,4,FALSE)</f>
        <v>#N/A</v>
      </c>
    </row>
    <row r="93" spans="1:9">
      <c r="A93" s="1">
        <v>93</v>
      </c>
      <c r="B93" s="1" t="s">
        <v>0</v>
      </c>
      <c r="D93" s="1" t="e">
        <f>VLOOKUP(B93,channelfireball!A:C,2,FALSE)</f>
        <v>#N/A</v>
      </c>
      <c r="E93" s="1" t="e">
        <f>VLOOKUP(B93,channelfireball!A:C,3,FALSE)</f>
        <v>#N/A</v>
      </c>
      <c r="F93" s="1">
        <f>VLOOKUP(B93,smds!B:C,2,FALSE)</f>
        <v>10</v>
      </c>
      <c r="G93" s="1" t="e">
        <f>VLOOKUP(B93,oracle!A:D,2,FALSE)</f>
        <v>#N/A</v>
      </c>
      <c r="H93" s="1" t="e">
        <f>VLOOKUP(B93,oracle!A:D,3,FALSE)</f>
        <v>#N/A</v>
      </c>
      <c r="I93" s="1" t="e">
        <f>VLOOKUP(B93,oracle!A:D,4,FALSE)</f>
        <v>#N/A</v>
      </c>
    </row>
    <row r="94" spans="1:9">
      <c r="A94" s="1">
        <v>94</v>
      </c>
      <c r="B94" s="1" t="s">
        <v>245</v>
      </c>
      <c r="D94" s="1" t="e">
        <f>VLOOKUP(B94,channelfireball!A:C,2,FALSE)</f>
        <v>#N/A</v>
      </c>
      <c r="E94" s="1" t="e">
        <f>VLOOKUP(B94,channelfireball!A:C,3,FALSE)</f>
        <v>#N/A</v>
      </c>
      <c r="F94" s="1">
        <f>VLOOKUP(B94,smds!B:C,2,FALSE)</f>
        <v>1.7</v>
      </c>
      <c r="G94" s="1" t="e">
        <f>VLOOKUP(B94,oracle!A:D,2,FALSE)</f>
        <v>#N/A</v>
      </c>
      <c r="H94" s="1" t="e">
        <f>VLOOKUP(B94,oracle!A:D,3,FALSE)</f>
        <v>#N/A</v>
      </c>
      <c r="I94" s="1" t="e">
        <f>VLOOKUP(B94,oracle!A:D,4,FALSE)</f>
        <v>#N/A</v>
      </c>
    </row>
    <row r="95" spans="1:9">
      <c r="A95" s="1">
        <v>95</v>
      </c>
      <c r="B95" s="1" t="s">
        <v>124</v>
      </c>
      <c r="D95" s="1" t="e">
        <f>VLOOKUP(B95,channelfireball!A:C,2,FALSE)</f>
        <v>#N/A</v>
      </c>
      <c r="E95" s="1" t="e">
        <f>VLOOKUP(B95,channelfireball!A:C,3,FALSE)</f>
        <v>#N/A</v>
      </c>
      <c r="F95" s="1">
        <f>VLOOKUP(B95,smds!B:C,2,FALSE)</f>
        <v>2.1</v>
      </c>
      <c r="G95" s="1" t="e">
        <f>VLOOKUP(B95,oracle!A:D,2,FALSE)</f>
        <v>#N/A</v>
      </c>
      <c r="H95" s="1" t="e">
        <f>VLOOKUP(B95,oracle!A:D,3,FALSE)</f>
        <v>#N/A</v>
      </c>
      <c r="I95" s="1" t="e">
        <f>VLOOKUP(B95,oracle!A:D,4,FALSE)</f>
        <v>#N/A</v>
      </c>
    </row>
    <row r="96" spans="1:9">
      <c r="A96" s="1">
        <v>96</v>
      </c>
      <c r="B96" s="1" t="s">
        <v>244</v>
      </c>
      <c r="D96" s="1" t="e">
        <f>VLOOKUP(B96,channelfireball!A:C,2,FALSE)</f>
        <v>#N/A</v>
      </c>
      <c r="E96" s="1" t="e">
        <f>VLOOKUP(B96,channelfireball!A:C,3,FALSE)</f>
        <v>#N/A</v>
      </c>
      <c r="F96" s="1">
        <f>VLOOKUP(B96,smds!B:C,2,FALSE)</f>
        <v>1.7</v>
      </c>
      <c r="G96" s="1" t="e">
        <f>VLOOKUP(B96,oracle!A:D,2,FALSE)</f>
        <v>#N/A</v>
      </c>
      <c r="H96" s="1" t="e">
        <f>VLOOKUP(B96,oracle!A:D,3,FALSE)</f>
        <v>#N/A</v>
      </c>
      <c r="I96" s="1" t="e">
        <f>VLOOKUP(B96,oracle!A:D,4,FALSE)</f>
        <v>#N/A</v>
      </c>
    </row>
    <row r="97" spans="1:9">
      <c r="A97" s="1">
        <v>97</v>
      </c>
      <c r="B97" s="1" t="s">
        <v>125</v>
      </c>
      <c r="D97" s="1" t="e">
        <f>VLOOKUP(B97,channelfireball!A:C,2,FALSE)</f>
        <v>#N/A</v>
      </c>
      <c r="E97" s="1" t="e">
        <f>VLOOKUP(B97,channelfireball!A:C,3,FALSE)</f>
        <v>#N/A</v>
      </c>
      <c r="F97" s="1">
        <f>VLOOKUP(B97,smds!B:C,2,FALSE)</f>
        <v>5</v>
      </c>
      <c r="G97" s="1" t="e">
        <f>VLOOKUP(B97,oracle!A:D,2,FALSE)</f>
        <v>#N/A</v>
      </c>
      <c r="H97" s="1" t="e">
        <f>VLOOKUP(B97,oracle!A:D,3,FALSE)</f>
        <v>#N/A</v>
      </c>
      <c r="I97" s="1" t="e">
        <f>VLOOKUP(B97,oracle!A:D,4,FALSE)</f>
        <v>#N/A</v>
      </c>
    </row>
    <row r="98" spans="1:9">
      <c r="A98" s="1">
        <v>98</v>
      </c>
      <c r="B98" s="1" t="s">
        <v>126</v>
      </c>
      <c r="D98" s="1" t="e">
        <f>VLOOKUP(B98,channelfireball!A:C,2,FALSE)</f>
        <v>#N/A</v>
      </c>
      <c r="E98" s="1" t="e">
        <f>VLOOKUP(B98,channelfireball!A:C,3,FALSE)</f>
        <v>#N/A</v>
      </c>
      <c r="F98" s="1">
        <f>VLOOKUP(B98,smds!B:C,2,FALSE)</f>
        <v>8</v>
      </c>
      <c r="G98" s="1" t="e">
        <f>VLOOKUP(B98,oracle!A:D,2,FALSE)</f>
        <v>#N/A</v>
      </c>
      <c r="H98" s="1" t="e">
        <f>VLOOKUP(B98,oracle!A:D,3,FALSE)</f>
        <v>#N/A</v>
      </c>
      <c r="I98" s="1" t="e">
        <f>VLOOKUP(B98,oracle!A:D,4,FALSE)</f>
        <v>#N/A</v>
      </c>
    </row>
    <row r="99" spans="1:9">
      <c r="A99" s="1">
        <v>99</v>
      </c>
      <c r="B99" s="1" t="s">
        <v>127</v>
      </c>
      <c r="D99" s="1" t="e">
        <f>VLOOKUP(B99,channelfireball!A:C,2,FALSE)</f>
        <v>#N/A</v>
      </c>
      <c r="E99" s="1" t="e">
        <f>VLOOKUP(B99,channelfireball!A:C,3,FALSE)</f>
        <v>#N/A</v>
      </c>
      <c r="F99" s="1">
        <f>VLOOKUP(B99,smds!B:C,2,FALSE)</f>
        <v>3.3</v>
      </c>
      <c r="G99" s="1" t="e">
        <f>VLOOKUP(B99,oracle!A:D,2,FALSE)</f>
        <v>#N/A</v>
      </c>
      <c r="H99" s="1" t="e">
        <f>VLOOKUP(B99,oracle!A:D,3,FALSE)</f>
        <v>#N/A</v>
      </c>
      <c r="I99" s="1" t="e">
        <f>VLOOKUP(B99,oracle!A:D,4,FALSE)</f>
        <v>#N/A</v>
      </c>
    </row>
    <row r="100" spans="1:9">
      <c r="A100" s="1">
        <v>100</v>
      </c>
      <c r="B100" s="1" t="s">
        <v>250</v>
      </c>
      <c r="D100" s="1" t="e">
        <f>VLOOKUP(B100,channelfireball!A:C,2,FALSE)</f>
        <v>#N/A</v>
      </c>
      <c r="E100" s="1" t="e">
        <f>VLOOKUP(B100,channelfireball!A:C,3,FALSE)</f>
        <v>#N/A</v>
      </c>
      <c r="F100" s="1">
        <f>VLOOKUP(B100,smds!B:C,2,FALSE)</f>
        <v>1.5</v>
      </c>
      <c r="G100" s="1" t="e">
        <f>VLOOKUP(B100,oracle!A:D,2,FALSE)</f>
        <v>#N/A</v>
      </c>
      <c r="H100" s="1" t="e">
        <f>VLOOKUP(B100,oracle!A:D,3,FALSE)</f>
        <v>#N/A</v>
      </c>
      <c r="I100" s="1" t="e">
        <f>VLOOKUP(B100,oracle!A:D,4,FALSE)</f>
        <v>#N/A</v>
      </c>
    </row>
    <row r="101" spans="1:9">
      <c r="A101" s="1">
        <v>101</v>
      </c>
      <c r="B101" s="1" t="s">
        <v>128</v>
      </c>
      <c r="D101" s="1" t="e">
        <f>VLOOKUP(B101,channelfireball!A:C,2,FALSE)</f>
        <v>#N/A</v>
      </c>
      <c r="E101" s="1" t="e">
        <f>VLOOKUP(B101,channelfireball!A:C,3,FALSE)</f>
        <v>#N/A</v>
      </c>
      <c r="F101" s="1">
        <f>VLOOKUP(B101,smds!B:C,2,FALSE)</f>
        <v>0.8</v>
      </c>
      <c r="G101" s="1" t="e">
        <f>VLOOKUP(B101,oracle!A:D,2,FALSE)</f>
        <v>#N/A</v>
      </c>
      <c r="H101" s="1" t="e">
        <f>VLOOKUP(B101,oracle!A:D,3,FALSE)</f>
        <v>#N/A</v>
      </c>
      <c r="I101" s="1" t="e">
        <f>VLOOKUP(B101,oracle!A:D,4,FALSE)</f>
        <v>#N/A</v>
      </c>
    </row>
    <row r="102" spans="1:9">
      <c r="A102" s="1">
        <v>102</v>
      </c>
      <c r="B102" s="1" t="s">
        <v>129</v>
      </c>
      <c r="D102" s="1" t="e">
        <f>VLOOKUP(B102,channelfireball!A:C,2,FALSE)</f>
        <v>#N/A</v>
      </c>
      <c r="E102" s="1" t="e">
        <f>VLOOKUP(B102,channelfireball!A:C,3,FALSE)</f>
        <v>#N/A</v>
      </c>
      <c r="F102" s="1">
        <f>VLOOKUP(B102,smds!B:C,2,FALSE)</f>
        <v>1.1000000000000001</v>
      </c>
      <c r="G102" s="1" t="e">
        <f>VLOOKUP(B102,oracle!A:D,2,FALSE)</f>
        <v>#N/A</v>
      </c>
      <c r="H102" s="1" t="e">
        <f>VLOOKUP(B102,oracle!A:D,3,FALSE)</f>
        <v>#N/A</v>
      </c>
      <c r="I102" s="1" t="e">
        <f>VLOOKUP(B102,oracle!A:D,4,FALSE)</f>
        <v>#N/A</v>
      </c>
    </row>
    <row r="103" spans="1:9">
      <c r="A103" s="1">
        <v>103</v>
      </c>
      <c r="B103" s="1" t="s">
        <v>130</v>
      </c>
      <c r="D103" s="1" t="e">
        <f>VLOOKUP(B103,channelfireball!A:C,2,FALSE)</f>
        <v>#N/A</v>
      </c>
      <c r="E103" s="1" t="e">
        <f>VLOOKUP(B103,channelfireball!A:C,3,FALSE)</f>
        <v>#N/A</v>
      </c>
      <c r="F103" s="1">
        <f>VLOOKUP(B103,smds!B:C,2,FALSE)</f>
        <v>2.2999999999999998</v>
      </c>
      <c r="G103" s="1" t="e">
        <f>VLOOKUP(B103,oracle!A:D,2,FALSE)</f>
        <v>#N/A</v>
      </c>
      <c r="H103" s="1" t="e">
        <f>VLOOKUP(B103,oracle!A:D,3,FALSE)</f>
        <v>#N/A</v>
      </c>
      <c r="I103" s="1" t="e">
        <f>VLOOKUP(B103,oracle!A:D,4,FALSE)</f>
        <v>#N/A</v>
      </c>
    </row>
    <row r="104" spans="1:9">
      <c r="A104" s="1">
        <v>104</v>
      </c>
      <c r="B104" s="1" t="s">
        <v>131</v>
      </c>
      <c r="D104" s="1" t="e">
        <f>VLOOKUP(B104,channelfireball!A:C,2,FALSE)</f>
        <v>#N/A</v>
      </c>
      <c r="E104" s="1" t="e">
        <f>VLOOKUP(B104,channelfireball!A:C,3,FALSE)</f>
        <v>#N/A</v>
      </c>
      <c r="F104" s="1">
        <f>VLOOKUP(B104,smds!B:C,2,FALSE)</f>
        <v>1</v>
      </c>
      <c r="G104" s="1" t="e">
        <f>VLOOKUP(B104,oracle!A:D,2,FALSE)</f>
        <v>#N/A</v>
      </c>
      <c r="H104" s="1" t="e">
        <f>VLOOKUP(B104,oracle!A:D,3,FALSE)</f>
        <v>#N/A</v>
      </c>
      <c r="I104" s="1" t="e">
        <f>VLOOKUP(B104,oracle!A:D,4,FALSE)</f>
        <v>#N/A</v>
      </c>
    </row>
    <row r="105" spans="1:9">
      <c r="A105" s="1">
        <v>105</v>
      </c>
      <c r="B105" s="1" t="s">
        <v>132</v>
      </c>
      <c r="D105" s="1" t="e">
        <f>VLOOKUP(B105,channelfireball!A:C,2,FALSE)</f>
        <v>#N/A</v>
      </c>
      <c r="E105" s="1" t="e">
        <f>VLOOKUP(B105,channelfireball!A:C,3,FALSE)</f>
        <v>#N/A</v>
      </c>
      <c r="F105" s="1">
        <f>VLOOKUP(B105,smds!B:C,2,FALSE)</f>
        <v>0.8</v>
      </c>
      <c r="G105" s="1" t="e">
        <f>VLOOKUP(B105,oracle!A:D,2,FALSE)</f>
        <v>#N/A</v>
      </c>
      <c r="H105" s="1" t="e">
        <f>VLOOKUP(B105,oracle!A:D,3,FALSE)</f>
        <v>#N/A</v>
      </c>
      <c r="I105" s="1" t="e">
        <f>VLOOKUP(B105,oracle!A:D,4,FALSE)</f>
        <v>#N/A</v>
      </c>
    </row>
    <row r="106" spans="1:9">
      <c r="A106" s="1">
        <v>106</v>
      </c>
      <c r="B106" s="1" t="s">
        <v>133</v>
      </c>
      <c r="D106" s="1" t="e">
        <f>VLOOKUP(B106,channelfireball!A:C,2,FALSE)</f>
        <v>#N/A</v>
      </c>
      <c r="E106" s="1" t="e">
        <f>VLOOKUP(B106,channelfireball!A:C,3,FALSE)</f>
        <v>#N/A</v>
      </c>
      <c r="F106" s="1">
        <f>VLOOKUP(B106,smds!B:C,2,FALSE)</f>
        <v>6.5</v>
      </c>
      <c r="G106" s="1" t="e">
        <f>VLOOKUP(B106,oracle!A:D,2,FALSE)</f>
        <v>#N/A</v>
      </c>
      <c r="H106" s="1" t="e">
        <f>VLOOKUP(B106,oracle!A:D,3,FALSE)</f>
        <v>#N/A</v>
      </c>
      <c r="I106" s="1" t="e">
        <f>VLOOKUP(B106,oracle!A:D,4,FALSE)</f>
        <v>#N/A</v>
      </c>
    </row>
    <row r="107" spans="1:9">
      <c r="A107" s="1">
        <v>107</v>
      </c>
      <c r="B107" s="1" t="s">
        <v>134</v>
      </c>
      <c r="D107" s="1" t="e">
        <f>VLOOKUP(B107,channelfireball!A:C,2,FALSE)</f>
        <v>#N/A</v>
      </c>
      <c r="E107" s="1" t="e">
        <f>VLOOKUP(B107,channelfireball!A:C,3,FALSE)</f>
        <v>#N/A</v>
      </c>
      <c r="F107" s="1">
        <f>VLOOKUP(B107,smds!B:C,2,FALSE)</f>
        <v>1</v>
      </c>
      <c r="G107" s="1" t="e">
        <f>VLOOKUP(B107,oracle!A:D,2,FALSE)</f>
        <v>#N/A</v>
      </c>
      <c r="H107" s="1" t="e">
        <f>VLOOKUP(B107,oracle!A:D,3,FALSE)</f>
        <v>#N/A</v>
      </c>
      <c r="I107" s="1" t="e">
        <f>VLOOKUP(B107,oracle!A:D,4,FALSE)</f>
        <v>#N/A</v>
      </c>
    </row>
    <row r="108" spans="1:9">
      <c r="A108" s="1">
        <v>108</v>
      </c>
      <c r="B108" s="1" t="s">
        <v>135</v>
      </c>
      <c r="D108" s="1" t="e">
        <f>VLOOKUP(B108,channelfireball!A:C,2,FALSE)</f>
        <v>#N/A</v>
      </c>
      <c r="E108" s="1" t="e">
        <f>VLOOKUP(B108,channelfireball!A:C,3,FALSE)</f>
        <v>#N/A</v>
      </c>
      <c r="F108" s="1">
        <f>VLOOKUP(B108,smds!B:C,2,FALSE)</f>
        <v>1.1000000000000001</v>
      </c>
      <c r="G108" s="1" t="e">
        <f>VLOOKUP(B108,oracle!A:D,2,FALSE)</f>
        <v>#N/A</v>
      </c>
      <c r="H108" s="1" t="e">
        <f>VLOOKUP(B108,oracle!A:D,3,FALSE)</f>
        <v>#N/A</v>
      </c>
      <c r="I108" s="1" t="e">
        <f>VLOOKUP(B108,oracle!A:D,4,FALSE)</f>
        <v>#N/A</v>
      </c>
    </row>
    <row r="109" spans="1:9">
      <c r="A109" s="1">
        <v>109</v>
      </c>
      <c r="B109" s="1" t="s">
        <v>136</v>
      </c>
      <c r="D109" s="1" t="e">
        <f>VLOOKUP(B109,channelfireball!A:C,2,FALSE)</f>
        <v>#N/A</v>
      </c>
      <c r="E109" s="1" t="e">
        <f>VLOOKUP(B109,channelfireball!A:C,3,FALSE)</f>
        <v>#N/A</v>
      </c>
      <c r="F109" s="1">
        <f>VLOOKUP(B109,smds!B:C,2,FALSE)</f>
        <v>5.4</v>
      </c>
      <c r="G109" s="1" t="e">
        <f>VLOOKUP(B109,oracle!A:D,2,FALSE)</f>
        <v>#N/A</v>
      </c>
      <c r="H109" s="1" t="e">
        <f>VLOOKUP(B109,oracle!A:D,3,FALSE)</f>
        <v>#N/A</v>
      </c>
      <c r="I109" s="1" t="e">
        <f>VLOOKUP(B109,oracle!A:D,4,FALSE)</f>
        <v>#N/A</v>
      </c>
    </row>
    <row r="110" spans="1:9">
      <c r="A110" s="1">
        <v>110</v>
      </c>
      <c r="B110" s="1" t="s">
        <v>137</v>
      </c>
      <c r="D110" s="1" t="e">
        <f>VLOOKUP(B110,channelfireball!A:C,2,FALSE)</f>
        <v>#N/A</v>
      </c>
      <c r="E110" s="1" t="e">
        <f>VLOOKUP(B110,channelfireball!A:C,3,FALSE)</f>
        <v>#N/A</v>
      </c>
      <c r="F110" s="1">
        <f>VLOOKUP(B110,smds!B:C,2,FALSE)</f>
        <v>1.1000000000000001</v>
      </c>
      <c r="G110" s="1" t="e">
        <f>VLOOKUP(B110,oracle!A:D,2,FALSE)</f>
        <v>#N/A</v>
      </c>
      <c r="H110" s="1" t="e">
        <f>VLOOKUP(B110,oracle!A:D,3,FALSE)</f>
        <v>#N/A</v>
      </c>
      <c r="I110" s="1" t="e">
        <f>VLOOKUP(B110,oracle!A:D,4,FALSE)</f>
        <v>#N/A</v>
      </c>
    </row>
    <row r="111" spans="1:9">
      <c r="A111" s="1">
        <v>111</v>
      </c>
      <c r="B111" s="1" t="s">
        <v>229</v>
      </c>
      <c r="D111" s="1" t="e">
        <f>VLOOKUP(B111,channelfireball!A:C,2,FALSE)</f>
        <v>#N/A</v>
      </c>
      <c r="E111" s="1" t="e">
        <f>VLOOKUP(B111,channelfireball!A:C,3,FALSE)</f>
        <v>#N/A</v>
      </c>
      <c r="F111" s="1">
        <f>VLOOKUP(B111,smds!B:C,2,FALSE)</f>
        <v>7.8</v>
      </c>
      <c r="G111" s="1" t="e">
        <f>VLOOKUP(B111,oracle!A:D,2,FALSE)</f>
        <v>#N/A</v>
      </c>
      <c r="H111" s="1" t="e">
        <f>VLOOKUP(B111,oracle!A:D,3,FALSE)</f>
        <v>#N/A</v>
      </c>
      <c r="I111" s="1" t="e">
        <f>VLOOKUP(B111,oracle!A:D,4,FALSE)</f>
        <v>#N/A</v>
      </c>
    </row>
    <row r="112" spans="1:9">
      <c r="A112" s="1">
        <v>112</v>
      </c>
      <c r="B112" s="1" t="s">
        <v>138</v>
      </c>
      <c r="D112" s="1" t="e">
        <f>VLOOKUP(B112,channelfireball!A:C,2,FALSE)</f>
        <v>#N/A</v>
      </c>
      <c r="E112" s="1" t="e">
        <f>VLOOKUP(B112,channelfireball!A:C,3,FALSE)</f>
        <v>#N/A</v>
      </c>
      <c r="F112" s="1">
        <f>VLOOKUP(B112,smds!B:C,2,FALSE)</f>
        <v>1</v>
      </c>
      <c r="G112" s="1" t="e">
        <f>VLOOKUP(B112,oracle!A:D,2,FALSE)</f>
        <v>#N/A</v>
      </c>
      <c r="H112" s="1" t="e">
        <f>VLOOKUP(B112,oracle!A:D,3,FALSE)</f>
        <v>#N/A</v>
      </c>
      <c r="I112" s="1" t="e">
        <f>VLOOKUP(B112,oracle!A:D,4,FALSE)</f>
        <v>#N/A</v>
      </c>
    </row>
    <row r="113" spans="1:9">
      <c r="A113" s="1">
        <v>113</v>
      </c>
      <c r="B113" s="1" t="s">
        <v>139</v>
      </c>
      <c r="D113" s="1" t="e">
        <f>VLOOKUP(B113,channelfireball!A:C,2,FALSE)</f>
        <v>#N/A</v>
      </c>
      <c r="E113" s="1" t="e">
        <f>VLOOKUP(B113,channelfireball!A:C,3,FALSE)</f>
        <v>#N/A</v>
      </c>
      <c r="F113" s="1">
        <f>VLOOKUP(B113,smds!B:C,2,FALSE)</f>
        <v>1</v>
      </c>
      <c r="G113" s="1" t="e">
        <f>VLOOKUP(B113,oracle!A:D,2,FALSE)</f>
        <v>#N/A</v>
      </c>
      <c r="H113" s="1" t="e">
        <f>VLOOKUP(B113,oracle!A:D,3,FALSE)</f>
        <v>#N/A</v>
      </c>
      <c r="I113" s="1" t="e">
        <f>VLOOKUP(B113,oracle!A:D,4,FALSE)</f>
        <v>#N/A</v>
      </c>
    </row>
    <row r="114" spans="1:9">
      <c r="A114" s="1">
        <v>114</v>
      </c>
      <c r="B114" s="1" t="s">
        <v>140</v>
      </c>
      <c r="D114" s="1" t="e">
        <f>VLOOKUP(B114,channelfireball!A:C,2,FALSE)</f>
        <v>#N/A</v>
      </c>
      <c r="E114" s="1" t="e">
        <f>VLOOKUP(B114,channelfireball!A:C,3,FALSE)</f>
        <v>#N/A</v>
      </c>
      <c r="F114" s="1">
        <f>VLOOKUP(B114,smds!B:C,2,FALSE)</f>
        <v>1</v>
      </c>
      <c r="G114" s="1" t="e">
        <f>VLOOKUP(B114,oracle!A:D,2,FALSE)</f>
        <v>#N/A</v>
      </c>
      <c r="H114" s="1" t="e">
        <f>VLOOKUP(B114,oracle!A:D,3,FALSE)</f>
        <v>#N/A</v>
      </c>
      <c r="I114" s="1" t="e">
        <f>VLOOKUP(B114,oracle!A:D,4,FALSE)</f>
        <v>#N/A</v>
      </c>
    </row>
    <row r="115" spans="1:9">
      <c r="A115" s="1">
        <v>115</v>
      </c>
      <c r="B115" s="1" t="s">
        <v>141</v>
      </c>
      <c r="D115" s="1" t="e">
        <f>VLOOKUP(B115,channelfireball!A:C,2,FALSE)</f>
        <v>#N/A</v>
      </c>
      <c r="E115" s="1" t="e">
        <f>VLOOKUP(B115,channelfireball!A:C,3,FALSE)</f>
        <v>#N/A</v>
      </c>
      <c r="F115" s="1">
        <f>VLOOKUP(B115,smds!B:C,2,FALSE)</f>
        <v>1.2</v>
      </c>
      <c r="G115" s="1" t="e">
        <f>VLOOKUP(B115,oracle!A:D,2,FALSE)</f>
        <v>#N/A</v>
      </c>
      <c r="H115" s="1" t="e">
        <f>VLOOKUP(B115,oracle!A:D,3,FALSE)</f>
        <v>#N/A</v>
      </c>
      <c r="I115" s="1" t="e">
        <f>VLOOKUP(B115,oracle!A:D,4,FALSE)</f>
        <v>#N/A</v>
      </c>
    </row>
    <row r="116" spans="1:9">
      <c r="A116" s="1">
        <v>116</v>
      </c>
      <c r="B116" s="1" t="s">
        <v>249</v>
      </c>
      <c r="D116" s="1" t="e">
        <f>VLOOKUP(B116,channelfireball!A:C,2,FALSE)</f>
        <v>#N/A</v>
      </c>
      <c r="E116" s="1" t="e">
        <f>VLOOKUP(B116,channelfireball!A:C,3,FALSE)</f>
        <v>#N/A</v>
      </c>
      <c r="F116" s="1">
        <f>VLOOKUP(B116,smds!B:C,2,FALSE)</f>
        <v>1.5</v>
      </c>
      <c r="G116" s="1" t="e">
        <f>VLOOKUP(B116,oracle!A:D,2,FALSE)</f>
        <v>#N/A</v>
      </c>
      <c r="H116" s="1" t="e">
        <f>VLOOKUP(B116,oracle!A:D,3,FALSE)</f>
        <v>#N/A</v>
      </c>
      <c r="I116" s="1" t="e">
        <f>VLOOKUP(B116,oracle!A:D,4,FALSE)</f>
        <v>#N/A</v>
      </c>
    </row>
    <row r="117" spans="1:9">
      <c r="A117" s="1">
        <v>117</v>
      </c>
      <c r="B117" s="1" t="s">
        <v>142</v>
      </c>
      <c r="D117" s="1" t="e">
        <f>VLOOKUP(B117,channelfireball!A:C,2,FALSE)</f>
        <v>#N/A</v>
      </c>
      <c r="E117" s="1" t="e">
        <f>VLOOKUP(B117,channelfireball!A:C,3,FALSE)</f>
        <v>#N/A</v>
      </c>
      <c r="F117" s="1">
        <f>VLOOKUP(B117,smds!B:C,2,FALSE)</f>
        <v>9</v>
      </c>
      <c r="G117" s="1" t="e">
        <f>VLOOKUP(B117,oracle!A:D,2,FALSE)</f>
        <v>#N/A</v>
      </c>
      <c r="H117" s="1" t="e">
        <f>VLOOKUP(B117,oracle!A:D,3,FALSE)</f>
        <v>#N/A</v>
      </c>
      <c r="I117" s="1" t="e">
        <f>VLOOKUP(B117,oracle!A:D,4,FALSE)</f>
        <v>#N/A</v>
      </c>
    </row>
    <row r="118" spans="1:9">
      <c r="A118" s="1">
        <v>118</v>
      </c>
      <c r="B118" s="1" t="s">
        <v>143</v>
      </c>
      <c r="D118" s="1" t="e">
        <f>VLOOKUP(B118,channelfireball!A:C,2,FALSE)</f>
        <v>#N/A</v>
      </c>
      <c r="E118" s="1" t="e">
        <f>VLOOKUP(B118,channelfireball!A:C,3,FALSE)</f>
        <v>#N/A</v>
      </c>
      <c r="F118" s="1">
        <f>VLOOKUP(B118,smds!B:C,2,FALSE)</f>
        <v>7</v>
      </c>
      <c r="G118" s="1" t="e">
        <f>VLOOKUP(B118,oracle!A:D,2,FALSE)</f>
        <v>#N/A</v>
      </c>
      <c r="H118" s="1" t="e">
        <f>VLOOKUP(B118,oracle!A:D,3,FALSE)</f>
        <v>#N/A</v>
      </c>
      <c r="I118" s="1" t="e">
        <f>VLOOKUP(B118,oracle!A:D,4,FALSE)</f>
        <v>#N/A</v>
      </c>
    </row>
    <row r="119" spans="1:9">
      <c r="A119" s="1">
        <v>119</v>
      </c>
      <c r="B119" s="1" t="s">
        <v>144</v>
      </c>
      <c r="D119" s="1" t="e">
        <f>VLOOKUP(B119,channelfireball!A:C,2,FALSE)</f>
        <v>#N/A</v>
      </c>
      <c r="E119" s="1" t="e">
        <f>VLOOKUP(B119,channelfireball!A:C,3,FALSE)</f>
        <v>#N/A</v>
      </c>
      <c r="F119" s="1">
        <f>VLOOKUP(B119,smds!B:C,2,FALSE)</f>
        <v>1.3</v>
      </c>
      <c r="G119" s="1" t="e">
        <f>VLOOKUP(B119,oracle!A:D,2,FALSE)</f>
        <v>#N/A</v>
      </c>
      <c r="H119" s="1" t="e">
        <f>VLOOKUP(B119,oracle!A:D,3,FALSE)</f>
        <v>#N/A</v>
      </c>
      <c r="I119" s="1" t="e">
        <f>VLOOKUP(B119,oracle!A:D,4,FALSE)</f>
        <v>#N/A</v>
      </c>
    </row>
    <row r="120" spans="1:9">
      <c r="A120" s="1">
        <v>120</v>
      </c>
      <c r="B120" s="1" t="s">
        <v>145</v>
      </c>
      <c r="D120" s="1" t="e">
        <f>VLOOKUP(B120,channelfireball!A:C,2,FALSE)</f>
        <v>#N/A</v>
      </c>
      <c r="E120" s="1" t="e">
        <f>VLOOKUP(B120,channelfireball!A:C,3,FALSE)</f>
        <v>#N/A</v>
      </c>
      <c r="F120" s="1">
        <f>VLOOKUP(B120,smds!B:C,2,FALSE)</f>
        <v>0.9</v>
      </c>
      <c r="G120" s="1" t="e">
        <f>VLOOKUP(B120,oracle!A:D,2,FALSE)</f>
        <v>#N/A</v>
      </c>
      <c r="H120" s="1" t="e">
        <f>VLOOKUP(B120,oracle!A:D,3,FALSE)</f>
        <v>#N/A</v>
      </c>
      <c r="I120" s="1" t="e">
        <f>VLOOKUP(B120,oracle!A:D,4,FALSE)</f>
        <v>#N/A</v>
      </c>
    </row>
    <row r="121" spans="1:9">
      <c r="A121" s="1">
        <v>121</v>
      </c>
      <c r="B121" s="1" t="s">
        <v>146</v>
      </c>
      <c r="D121" s="1" t="e">
        <f>VLOOKUP(B121,channelfireball!A:C,2,FALSE)</f>
        <v>#N/A</v>
      </c>
      <c r="E121" s="1" t="e">
        <f>VLOOKUP(B121,channelfireball!A:C,3,FALSE)</f>
        <v>#N/A</v>
      </c>
      <c r="F121" s="1">
        <f>VLOOKUP(B121,smds!B:C,2,FALSE)</f>
        <v>1</v>
      </c>
      <c r="G121" s="1" t="e">
        <f>VLOOKUP(B121,oracle!A:D,2,FALSE)</f>
        <v>#N/A</v>
      </c>
      <c r="H121" s="1" t="e">
        <f>VLOOKUP(B121,oracle!A:D,3,FALSE)</f>
        <v>#N/A</v>
      </c>
      <c r="I121" s="1" t="e">
        <f>VLOOKUP(B121,oracle!A:D,4,FALSE)</f>
        <v>#N/A</v>
      </c>
    </row>
    <row r="122" spans="1:9">
      <c r="A122" s="1">
        <v>122</v>
      </c>
      <c r="B122" s="1" t="s">
        <v>147</v>
      </c>
      <c r="D122" s="1" t="e">
        <f>VLOOKUP(B122,channelfireball!A:C,2,FALSE)</f>
        <v>#N/A</v>
      </c>
      <c r="E122" s="1" t="e">
        <f>VLOOKUP(B122,channelfireball!A:C,3,FALSE)</f>
        <v>#N/A</v>
      </c>
      <c r="F122" s="1">
        <f>VLOOKUP(B122,smds!B:C,2,FALSE)</f>
        <v>1.4</v>
      </c>
      <c r="G122" s="1" t="e">
        <f>VLOOKUP(B122,oracle!A:D,2,FALSE)</f>
        <v>#N/A</v>
      </c>
      <c r="H122" s="1" t="e">
        <f>VLOOKUP(B122,oracle!A:D,3,FALSE)</f>
        <v>#N/A</v>
      </c>
      <c r="I122" s="1" t="e">
        <f>VLOOKUP(B122,oracle!A:D,4,FALSE)</f>
        <v>#N/A</v>
      </c>
    </row>
    <row r="123" spans="1:9">
      <c r="A123" s="1">
        <v>123</v>
      </c>
      <c r="B123" s="1" t="s">
        <v>148</v>
      </c>
      <c r="D123" s="1" t="e">
        <f>VLOOKUP(B123,channelfireball!A:C,2,FALSE)</f>
        <v>#N/A</v>
      </c>
      <c r="E123" s="1" t="e">
        <f>VLOOKUP(B123,channelfireball!A:C,3,FALSE)</f>
        <v>#N/A</v>
      </c>
      <c r="F123" s="1">
        <f>VLOOKUP(B123,smds!B:C,2,FALSE)</f>
        <v>9.5</v>
      </c>
      <c r="G123" s="1" t="e">
        <f>VLOOKUP(B123,oracle!A:D,2,FALSE)</f>
        <v>#N/A</v>
      </c>
      <c r="H123" s="1" t="e">
        <f>VLOOKUP(B123,oracle!A:D,3,FALSE)</f>
        <v>#N/A</v>
      </c>
      <c r="I123" s="1" t="e">
        <f>VLOOKUP(B123,oracle!A:D,4,FALSE)</f>
        <v>#N/A</v>
      </c>
    </row>
    <row r="124" spans="1:9">
      <c r="A124" s="1">
        <v>124</v>
      </c>
      <c r="B124" s="1" t="s">
        <v>240</v>
      </c>
      <c r="D124" s="1" t="e">
        <f>VLOOKUP(B124,channelfireball!A:C,2,FALSE)</f>
        <v>#N/A</v>
      </c>
      <c r="E124" s="1" t="e">
        <f>VLOOKUP(B124,channelfireball!A:C,3,FALSE)</f>
        <v>#N/A</v>
      </c>
      <c r="F124" s="1">
        <f>VLOOKUP(B124,smds!B:C,2,FALSE)</f>
        <v>2</v>
      </c>
      <c r="G124" s="1" t="e">
        <f>VLOOKUP(B124,oracle!A:D,2,FALSE)</f>
        <v>#N/A</v>
      </c>
      <c r="H124" s="1" t="e">
        <f>VLOOKUP(B124,oracle!A:D,3,FALSE)</f>
        <v>#N/A</v>
      </c>
      <c r="I124" s="1" t="e">
        <f>VLOOKUP(B124,oracle!A:D,4,FALSE)</f>
        <v>#N/A</v>
      </c>
    </row>
    <row r="125" spans="1:9">
      <c r="A125" s="1">
        <v>125</v>
      </c>
      <c r="B125" s="1" t="s">
        <v>246</v>
      </c>
      <c r="D125" s="1" t="e">
        <f>VLOOKUP(B125,channelfireball!A:C,2,FALSE)</f>
        <v>#N/A</v>
      </c>
      <c r="E125" s="1" t="e">
        <f>VLOOKUP(B125,channelfireball!A:C,3,FALSE)</f>
        <v>#N/A</v>
      </c>
      <c r="F125" s="1">
        <f>VLOOKUP(B125,smds!B:C,2,FALSE)</f>
        <v>1.6</v>
      </c>
      <c r="G125" s="1" t="e">
        <f>VLOOKUP(B125,oracle!A:D,2,FALSE)</f>
        <v>#N/A</v>
      </c>
      <c r="H125" s="1" t="e">
        <f>VLOOKUP(B125,oracle!A:D,3,FALSE)</f>
        <v>#N/A</v>
      </c>
      <c r="I125" s="1" t="e">
        <f>VLOOKUP(B125,oracle!A:D,4,FALSE)</f>
        <v>#N/A</v>
      </c>
    </row>
    <row r="126" spans="1:9">
      <c r="A126" s="1">
        <v>126</v>
      </c>
      <c r="B126" s="1" t="s">
        <v>149</v>
      </c>
      <c r="D126" s="1" t="e">
        <f>VLOOKUP(B126,channelfireball!A:C,2,FALSE)</f>
        <v>#N/A</v>
      </c>
      <c r="E126" s="1" t="e">
        <f>VLOOKUP(B126,channelfireball!A:C,3,FALSE)</f>
        <v>#N/A</v>
      </c>
      <c r="F126" s="1">
        <f>VLOOKUP(B126,smds!B:C,2,FALSE)</f>
        <v>0.9</v>
      </c>
      <c r="G126" s="1" t="e">
        <f>VLOOKUP(B126,oracle!A:D,2,FALSE)</f>
        <v>#N/A</v>
      </c>
      <c r="H126" s="1" t="e">
        <f>VLOOKUP(B126,oracle!A:D,3,FALSE)</f>
        <v>#N/A</v>
      </c>
      <c r="I126" s="1" t="e">
        <f>VLOOKUP(B126,oracle!A:D,4,FALSE)</f>
        <v>#N/A</v>
      </c>
    </row>
    <row r="127" spans="1:9">
      <c r="A127" s="1">
        <v>127</v>
      </c>
      <c r="B127" s="1" t="s">
        <v>150</v>
      </c>
      <c r="D127" s="1" t="e">
        <f>VLOOKUP(B127,channelfireball!A:C,2,FALSE)</f>
        <v>#N/A</v>
      </c>
      <c r="E127" s="1" t="e">
        <f>VLOOKUP(B127,channelfireball!A:C,3,FALSE)</f>
        <v>#N/A</v>
      </c>
      <c r="F127" s="1">
        <f>VLOOKUP(B127,smds!B:C,2,FALSE)</f>
        <v>1</v>
      </c>
      <c r="G127" s="1" t="e">
        <f>VLOOKUP(B127,oracle!A:D,2,FALSE)</f>
        <v>#N/A</v>
      </c>
      <c r="H127" s="1" t="e">
        <f>VLOOKUP(B127,oracle!A:D,3,FALSE)</f>
        <v>#N/A</v>
      </c>
      <c r="I127" s="1" t="e">
        <f>VLOOKUP(B127,oracle!A:D,4,FALSE)</f>
        <v>#N/A</v>
      </c>
    </row>
    <row r="128" spans="1:9">
      <c r="A128" s="1">
        <v>128</v>
      </c>
      <c r="B128" s="1" t="s">
        <v>151</v>
      </c>
      <c r="D128" s="1" t="e">
        <f>VLOOKUP(B128,channelfireball!A:C,2,FALSE)</f>
        <v>#N/A</v>
      </c>
      <c r="E128" s="1" t="e">
        <f>VLOOKUP(B128,channelfireball!A:C,3,FALSE)</f>
        <v>#N/A</v>
      </c>
      <c r="F128" s="1">
        <f>VLOOKUP(B128,smds!B:C,2,FALSE)</f>
        <v>2</v>
      </c>
      <c r="G128" s="1" t="e">
        <f>VLOOKUP(B128,oracle!A:D,2,FALSE)</f>
        <v>#N/A</v>
      </c>
      <c r="H128" s="1" t="e">
        <f>VLOOKUP(B128,oracle!A:D,3,FALSE)</f>
        <v>#N/A</v>
      </c>
      <c r="I128" s="1" t="e">
        <f>VLOOKUP(B128,oracle!A:D,4,FALSE)</f>
        <v>#N/A</v>
      </c>
    </row>
    <row r="129" spans="1:9">
      <c r="A129" s="1">
        <v>129</v>
      </c>
      <c r="B129" s="1" t="s">
        <v>152</v>
      </c>
      <c r="D129" s="1" t="e">
        <f>VLOOKUP(B129,channelfireball!A:C,2,FALSE)</f>
        <v>#N/A</v>
      </c>
      <c r="E129" s="1" t="e">
        <f>VLOOKUP(B129,channelfireball!A:C,3,FALSE)</f>
        <v>#N/A</v>
      </c>
      <c r="F129" s="1">
        <f>VLOOKUP(B129,smds!B:C,2,FALSE)</f>
        <v>2</v>
      </c>
      <c r="G129" s="1" t="e">
        <f>VLOOKUP(B129,oracle!A:D,2,FALSE)</f>
        <v>#N/A</v>
      </c>
      <c r="H129" s="1" t="e">
        <f>VLOOKUP(B129,oracle!A:D,3,FALSE)</f>
        <v>#N/A</v>
      </c>
      <c r="I129" s="1" t="e">
        <f>VLOOKUP(B129,oracle!A:D,4,FALSE)</f>
        <v>#N/A</v>
      </c>
    </row>
    <row r="130" spans="1:9">
      <c r="A130" s="1">
        <v>130</v>
      </c>
      <c r="B130" s="1" t="s">
        <v>230</v>
      </c>
      <c r="D130" s="1" t="e">
        <f>VLOOKUP(B130,channelfireball!A:C,2,FALSE)</f>
        <v>#N/A</v>
      </c>
      <c r="E130" s="1" t="e">
        <f>VLOOKUP(B130,channelfireball!A:C,3,FALSE)</f>
        <v>#N/A</v>
      </c>
      <c r="F130" s="1">
        <f>VLOOKUP(B130,smds!B:C,2,FALSE)</f>
        <v>7.4</v>
      </c>
      <c r="G130" s="1" t="e">
        <f>VLOOKUP(B130,oracle!A:D,2,FALSE)</f>
        <v>#N/A</v>
      </c>
      <c r="H130" s="1" t="e">
        <f>VLOOKUP(B130,oracle!A:D,3,FALSE)</f>
        <v>#N/A</v>
      </c>
      <c r="I130" s="1" t="e">
        <f>VLOOKUP(B130,oracle!A:D,4,FALSE)</f>
        <v>#N/A</v>
      </c>
    </row>
    <row r="131" spans="1:9">
      <c r="A131" s="1">
        <v>131</v>
      </c>
      <c r="B131" s="1" t="s">
        <v>153</v>
      </c>
      <c r="D131" s="1" t="e">
        <f>VLOOKUP(B131,channelfireball!A:C,2,FALSE)</f>
        <v>#N/A</v>
      </c>
      <c r="E131" s="1" t="e">
        <f>VLOOKUP(B131,channelfireball!A:C,3,FALSE)</f>
        <v>#N/A</v>
      </c>
      <c r="F131" s="1">
        <f>VLOOKUP(B131,smds!B:C,2,FALSE)</f>
        <v>0.7</v>
      </c>
      <c r="G131" s="1" t="e">
        <f>VLOOKUP(B131,oracle!A:D,2,FALSE)</f>
        <v>#N/A</v>
      </c>
      <c r="H131" s="1" t="e">
        <f>VLOOKUP(B131,oracle!A:D,3,FALSE)</f>
        <v>#N/A</v>
      </c>
      <c r="I131" s="1" t="e">
        <f>VLOOKUP(B131,oracle!A:D,4,FALSE)</f>
        <v>#N/A</v>
      </c>
    </row>
    <row r="132" spans="1:9">
      <c r="A132" s="1">
        <v>132</v>
      </c>
      <c r="B132" s="1" t="s">
        <v>154</v>
      </c>
      <c r="D132" s="1" t="e">
        <f>VLOOKUP(B132,channelfireball!A:C,2,FALSE)</f>
        <v>#N/A</v>
      </c>
      <c r="E132" s="1" t="e">
        <f>VLOOKUP(B132,channelfireball!A:C,3,FALSE)</f>
        <v>#N/A</v>
      </c>
      <c r="F132" s="1">
        <f>VLOOKUP(B132,smds!B:C,2,FALSE)</f>
        <v>6.1</v>
      </c>
      <c r="G132" s="1" t="e">
        <f>VLOOKUP(B132,oracle!A:D,2,FALSE)</f>
        <v>#N/A</v>
      </c>
      <c r="H132" s="1" t="e">
        <f>VLOOKUP(B132,oracle!A:D,3,FALSE)</f>
        <v>#N/A</v>
      </c>
      <c r="I132" s="1" t="e">
        <f>VLOOKUP(B132,oracle!A:D,4,FALSE)</f>
        <v>#N/A</v>
      </c>
    </row>
    <row r="133" spans="1:9">
      <c r="A133" s="1">
        <v>133</v>
      </c>
      <c r="B133" s="1" t="s">
        <v>155</v>
      </c>
      <c r="D133" s="1" t="e">
        <f>VLOOKUP(B133,channelfireball!A:C,2,FALSE)</f>
        <v>#N/A</v>
      </c>
      <c r="E133" s="1" t="e">
        <f>VLOOKUP(B133,channelfireball!A:C,3,FALSE)</f>
        <v>#N/A</v>
      </c>
      <c r="F133" s="1">
        <f>VLOOKUP(B133,smds!B:C,2,FALSE)</f>
        <v>3.8</v>
      </c>
      <c r="G133" s="1" t="e">
        <f>VLOOKUP(B133,oracle!A:D,2,FALSE)</f>
        <v>#N/A</v>
      </c>
      <c r="H133" s="1" t="e">
        <f>VLOOKUP(B133,oracle!A:D,3,FALSE)</f>
        <v>#N/A</v>
      </c>
      <c r="I133" s="1" t="e">
        <f>VLOOKUP(B133,oracle!A:D,4,FALSE)</f>
        <v>#N/A</v>
      </c>
    </row>
    <row r="134" spans="1:9">
      <c r="A134" s="1">
        <v>134</v>
      </c>
      <c r="B134" s="1" t="s">
        <v>156</v>
      </c>
      <c r="D134" s="1" t="e">
        <f>VLOOKUP(B134,channelfireball!A:C,2,FALSE)</f>
        <v>#N/A</v>
      </c>
      <c r="E134" s="1" t="e">
        <f>VLOOKUP(B134,channelfireball!A:C,3,FALSE)</f>
        <v>#N/A</v>
      </c>
      <c r="F134" s="1">
        <f>VLOOKUP(B134,smds!B:C,2,FALSE)</f>
        <v>1.5</v>
      </c>
      <c r="G134" s="1" t="e">
        <f>VLOOKUP(B134,oracle!A:D,2,FALSE)</f>
        <v>#N/A</v>
      </c>
      <c r="H134" s="1" t="e">
        <f>VLOOKUP(B134,oracle!A:D,3,FALSE)</f>
        <v>#N/A</v>
      </c>
      <c r="I134" s="1" t="e">
        <f>VLOOKUP(B134,oracle!A:D,4,FALSE)</f>
        <v>#N/A</v>
      </c>
    </row>
    <row r="135" spans="1:9">
      <c r="A135" s="1">
        <v>135</v>
      </c>
      <c r="B135" s="1" t="s">
        <v>157</v>
      </c>
      <c r="D135" s="1" t="e">
        <f>VLOOKUP(B135,channelfireball!A:C,2,FALSE)</f>
        <v>#N/A</v>
      </c>
      <c r="E135" s="1" t="e">
        <f>VLOOKUP(B135,channelfireball!A:C,3,FALSE)</f>
        <v>#N/A</v>
      </c>
      <c r="F135" s="1">
        <f>VLOOKUP(B135,smds!B:C,2,FALSE)</f>
        <v>0.9</v>
      </c>
      <c r="G135" s="1" t="e">
        <f>VLOOKUP(B135,oracle!A:D,2,FALSE)</f>
        <v>#N/A</v>
      </c>
      <c r="H135" s="1" t="e">
        <f>VLOOKUP(B135,oracle!A:D,3,FALSE)</f>
        <v>#N/A</v>
      </c>
      <c r="I135" s="1" t="e">
        <f>VLOOKUP(B135,oracle!A:D,4,FALSE)</f>
        <v>#N/A</v>
      </c>
    </row>
    <row r="136" spans="1:9">
      <c r="A136" s="1">
        <v>136</v>
      </c>
      <c r="B136" s="1" t="s">
        <v>158</v>
      </c>
      <c r="D136" s="1" t="e">
        <f>VLOOKUP(B136,channelfireball!A:C,2,FALSE)</f>
        <v>#N/A</v>
      </c>
      <c r="E136" s="1" t="e">
        <f>VLOOKUP(B136,channelfireball!A:C,3,FALSE)</f>
        <v>#N/A</v>
      </c>
      <c r="F136" s="1">
        <f>VLOOKUP(B136,smds!B:C,2,FALSE)</f>
        <v>10</v>
      </c>
      <c r="G136" s="1" t="e">
        <f>VLOOKUP(B136,oracle!A:D,2,FALSE)</f>
        <v>#N/A</v>
      </c>
      <c r="H136" s="1" t="e">
        <f>VLOOKUP(B136,oracle!A:D,3,FALSE)</f>
        <v>#N/A</v>
      </c>
      <c r="I136" s="1" t="e">
        <f>VLOOKUP(B136,oracle!A:D,4,FALSE)</f>
        <v>#N/A</v>
      </c>
    </row>
    <row r="137" spans="1:9">
      <c r="A137" s="1">
        <v>137</v>
      </c>
      <c r="B137" s="1" t="s">
        <v>224</v>
      </c>
      <c r="D137" s="1" t="e">
        <f>VLOOKUP(B137,channelfireball!A:C,2,FALSE)</f>
        <v>#N/A</v>
      </c>
      <c r="E137" s="1" t="e">
        <f>VLOOKUP(B137,channelfireball!A:C,3,FALSE)</f>
        <v>#N/A</v>
      </c>
      <c r="F137" s="1">
        <f>VLOOKUP(B137,smds!B:C,2,FALSE)</f>
        <v>9.8000000000000007</v>
      </c>
      <c r="G137" s="1" t="e">
        <f>VLOOKUP(B137,oracle!A:D,2,FALSE)</f>
        <v>#N/A</v>
      </c>
      <c r="H137" s="1" t="e">
        <f>VLOOKUP(B137,oracle!A:D,3,FALSE)</f>
        <v>#N/A</v>
      </c>
      <c r="I137" s="1" t="e">
        <f>VLOOKUP(B137,oracle!A:D,4,FALSE)</f>
        <v>#N/A</v>
      </c>
    </row>
    <row r="138" spans="1:9">
      <c r="A138" s="1">
        <v>138</v>
      </c>
      <c r="B138" s="1" t="s">
        <v>159</v>
      </c>
      <c r="D138" s="1" t="e">
        <f>VLOOKUP(B138,channelfireball!A:C,2,FALSE)</f>
        <v>#N/A</v>
      </c>
      <c r="E138" s="1" t="e">
        <f>VLOOKUP(B138,channelfireball!A:C,3,FALSE)</f>
        <v>#N/A</v>
      </c>
      <c r="F138" s="1">
        <f>VLOOKUP(B138,smds!B:C,2,FALSE)</f>
        <v>0.9</v>
      </c>
      <c r="G138" s="1" t="e">
        <f>VLOOKUP(B138,oracle!A:D,2,FALSE)</f>
        <v>#N/A</v>
      </c>
      <c r="H138" s="1" t="e">
        <f>VLOOKUP(B138,oracle!A:D,3,FALSE)</f>
        <v>#N/A</v>
      </c>
      <c r="I138" s="1" t="e">
        <f>VLOOKUP(B138,oracle!A:D,4,FALSE)</f>
        <v>#N/A</v>
      </c>
    </row>
    <row r="139" spans="1:9">
      <c r="A139" s="1">
        <v>139</v>
      </c>
      <c r="B139" s="1" t="s">
        <v>160</v>
      </c>
      <c r="D139" s="1" t="e">
        <f>VLOOKUP(B139,channelfireball!A:C,2,FALSE)</f>
        <v>#N/A</v>
      </c>
      <c r="E139" s="1" t="e">
        <f>VLOOKUP(B139,channelfireball!A:C,3,FALSE)</f>
        <v>#N/A</v>
      </c>
      <c r="F139" s="1">
        <f>VLOOKUP(B139,smds!B:C,2,FALSE)</f>
        <v>0.7</v>
      </c>
      <c r="G139" s="1" t="e">
        <f>VLOOKUP(B139,oracle!A:D,2,FALSE)</f>
        <v>#N/A</v>
      </c>
      <c r="H139" s="1" t="e">
        <f>VLOOKUP(B139,oracle!A:D,3,FALSE)</f>
        <v>#N/A</v>
      </c>
      <c r="I139" s="1" t="e">
        <f>VLOOKUP(B139,oracle!A:D,4,FALSE)</f>
        <v>#N/A</v>
      </c>
    </row>
    <row r="140" spans="1:9">
      <c r="A140" s="1">
        <v>140</v>
      </c>
      <c r="B140" s="1" t="s">
        <v>161</v>
      </c>
      <c r="D140" s="1" t="e">
        <f>VLOOKUP(B140,channelfireball!A:C,2,FALSE)</f>
        <v>#N/A</v>
      </c>
      <c r="E140" s="1" t="e">
        <f>VLOOKUP(B140,channelfireball!A:C,3,FALSE)</f>
        <v>#N/A</v>
      </c>
      <c r="F140" s="1">
        <f>VLOOKUP(B140,smds!B:C,2,FALSE)</f>
        <v>2.5</v>
      </c>
      <c r="G140" s="1" t="e">
        <f>VLOOKUP(B140,oracle!A:D,2,FALSE)</f>
        <v>#N/A</v>
      </c>
      <c r="H140" s="1" t="e">
        <f>VLOOKUP(B140,oracle!A:D,3,FALSE)</f>
        <v>#N/A</v>
      </c>
      <c r="I140" s="1" t="e">
        <f>VLOOKUP(B140,oracle!A:D,4,FALSE)</f>
        <v>#N/A</v>
      </c>
    </row>
    <row r="141" spans="1:9">
      <c r="A141" s="1">
        <v>141</v>
      </c>
      <c r="B141" s="1" t="s">
        <v>162</v>
      </c>
      <c r="D141" s="1" t="e">
        <f>VLOOKUP(B141,channelfireball!A:C,2,FALSE)</f>
        <v>#N/A</v>
      </c>
      <c r="E141" s="1" t="e">
        <f>VLOOKUP(B141,channelfireball!A:C,3,FALSE)</f>
        <v>#N/A</v>
      </c>
      <c r="F141" s="1">
        <f>VLOOKUP(B141,smds!B:C,2,FALSE)</f>
        <v>0.9</v>
      </c>
      <c r="G141" s="1" t="e">
        <f>VLOOKUP(B141,oracle!A:D,2,FALSE)</f>
        <v>#N/A</v>
      </c>
      <c r="H141" s="1" t="e">
        <f>VLOOKUP(B141,oracle!A:D,3,FALSE)</f>
        <v>#N/A</v>
      </c>
      <c r="I141" s="1" t="e">
        <f>VLOOKUP(B141,oracle!A:D,4,FALSE)</f>
        <v>#N/A</v>
      </c>
    </row>
    <row r="142" spans="1:9">
      <c r="A142" s="1">
        <v>142</v>
      </c>
      <c r="B142" s="1" t="s">
        <v>235</v>
      </c>
      <c r="D142" s="1" t="e">
        <f>VLOOKUP(B142,channelfireball!A:C,2,FALSE)</f>
        <v>#N/A</v>
      </c>
      <c r="E142" s="1" t="e">
        <f>VLOOKUP(B142,channelfireball!A:C,3,FALSE)</f>
        <v>#N/A</v>
      </c>
      <c r="F142" s="1">
        <f>VLOOKUP(B142,smds!B:C,2,FALSE)</f>
        <v>2.6</v>
      </c>
      <c r="G142" s="1" t="e">
        <f>VLOOKUP(B142,oracle!A:D,2,FALSE)</f>
        <v>#N/A</v>
      </c>
      <c r="H142" s="1" t="e">
        <f>VLOOKUP(B142,oracle!A:D,3,FALSE)</f>
        <v>#N/A</v>
      </c>
      <c r="I142" s="1" t="e">
        <f>VLOOKUP(B142,oracle!A:D,4,FALSE)</f>
        <v>#N/A</v>
      </c>
    </row>
    <row r="143" spans="1:9">
      <c r="A143" s="1">
        <v>143</v>
      </c>
      <c r="B143" s="1" t="s">
        <v>163</v>
      </c>
      <c r="D143" s="1" t="e">
        <f>VLOOKUP(B143,channelfireball!A:C,2,FALSE)</f>
        <v>#N/A</v>
      </c>
      <c r="E143" s="1" t="e">
        <f>VLOOKUP(B143,channelfireball!A:C,3,FALSE)</f>
        <v>#N/A</v>
      </c>
      <c r="F143" s="1">
        <f>VLOOKUP(B143,smds!B:C,2,FALSE)</f>
        <v>1.4</v>
      </c>
      <c r="G143" s="1" t="e">
        <f>VLOOKUP(B143,oracle!A:D,2,FALSE)</f>
        <v>#N/A</v>
      </c>
      <c r="H143" s="1" t="e">
        <f>VLOOKUP(B143,oracle!A:D,3,FALSE)</f>
        <v>#N/A</v>
      </c>
      <c r="I143" s="1" t="e">
        <f>VLOOKUP(B143,oracle!A:D,4,FALSE)</f>
        <v>#N/A</v>
      </c>
    </row>
    <row r="144" spans="1:9">
      <c r="A144" s="1">
        <v>144</v>
      </c>
      <c r="B144" s="1" t="s">
        <v>164</v>
      </c>
      <c r="D144" s="1" t="e">
        <f>VLOOKUP(B144,channelfireball!A:C,2,FALSE)</f>
        <v>#N/A</v>
      </c>
      <c r="E144" s="1" t="e">
        <f>VLOOKUP(B144,channelfireball!A:C,3,FALSE)</f>
        <v>#N/A</v>
      </c>
      <c r="F144" s="1">
        <f>VLOOKUP(B144,smds!B:C,2,FALSE)</f>
        <v>0.7</v>
      </c>
      <c r="G144" s="1" t="e">
        <f>VLOOKUP(B144,oracle!A:D,2,FALSE)</f>
        <v>#N/A</v>
      </c>
      <c r="H144" s="1" t="e">
        <f>VLOOKUP(B144,oracle!A:D,3,FALSE)</f>
        <v>#N/A</v>
      </c>
      <c r="I144" s="1" t="e">
        <f>VLOOKUP(B144,oracle!A:D,4,FALSE)</f>
        <v>#N/A</v>
      </c>
    </row>
    <row r="145" spans="1:9">
      <c r="A145" s="1">
        <v>145</v>
      </c>
      <c r="B145" s="1" t="s">
        <v>165</v>
      </c>
      <c r="D145" s="1" t="e">
        <f>VLOOKUP(B145,channelfireball!A:C,2,FALSE)</f>
        <v>#N/A</v>
      </c>
      <c r="E145" s="1" t="e">
        <f>VLOOKUP(B145,channelfireball!A:C,3,FALSE)</f>
        <v>#N/A</v>
      </c>
      <c r="F145" s="1">
        <f>VLOOKUP(B145,smds!B:C,2,FALSE)</f>
        <v>1</v>
      </c>
      <c r="G145" s="1" t="e">
        <f>VLOOKUP(B145,oracle!A:D,2,FALSE)</f>
        <v>#N/A</v>
      </c>
      <c r="H145" s="1" t="e">
        <f>VLOOKUP(B145,oracle!A:D,3,FALSE)</f>
        <v>#N/A</v>
      </c>
      <c r="I145" s="1" t="e">
        <f>VLOOKUP(B145,oracle!A:D,4,FALSE)</f>
        <v>#N/A</v>
      </c>
    </row>
    <row r="146" spans="1:9">
      <c r="A146" s="1">
        <v>146</v>
      </c>
      <c r="B146" s="1" t="s">
        <v>166</v>
      </c>
      <c r="D146" s="1" t="e">
        <f>VLOOKUP(B146,channelfireball!A:C,2,FALSE)</f>
        <v>#N/A</v>
      </c>
      <c r="E146" s="1" t="e">
        <f>VLOOKUP(B146,channelfireball!A:C,3,FALSE)</f>
        <v>#N/A</v>
      </c>
      <c r="F146" s="1">
        <f>VLOOKUP(B146,smds!B:C,2,FALSE)</f>
        <v>7.8</v>
      </c>
      <c r="G146" s="1" t="e">
        <f>VLOOKUP(B146,oracle!A:D,2,FALSE)</f>
        <v>#N/A</v>
      </c>
      <c r="H146" s="1" t="e">
        <f>VLOOKUP(B146,oracle!A:D,3,FALSE)</f>
        <v>#N/A</v>
      </c>
      <c r="I146" s="1" t="e">
        <f>VLOOKUP(B146,oracle!A:D,4,FALSE)</f>
        <v>#N/A</v>
      </c>
    </row>
    <row r="147" spans="1:9">
      <c r="A147" s="1">
        <v>147</v>
      </c>
      <c r="B147" s="1" t="s">
        <v>167</v>
      </c>
      <c r="D147" s="1" t="e">
        <f>VLOOKUP(B147,channelfireball!A:C,2,FALSE)</f>
        <v>#N/A</v>
      </c>
      <c r="E147" s="1" t="e">
        <f>VLOOKUP(B147,channelfireball!A:C,3,FALSE)</f>
        <v>#N/A</v>
      </c>
      <c r="F147" s="1">
        <f>VLOOKUP(B147,smds!B:C,2,FALSE)</f>
        <v>1.1000000000000001</v>
      </c>
      <c r="G147" s="1" t="e">
        <f>VLOOKUP(B147,oracle!A:D,2,FALSE)</f>
        <v>#N/A</v>
      </c>
      <c r="H147" s="1" t="e">
        <f>VLOOKUP(B147,oracle!A:D,3,FALSE)</f>
        <v>#N/A</v>
      </c>
      <c r="I147" s="1" t="e">
        <f>VLOOKUP(B147,oracle!A:D,4,FALSE)</f>
        <v>#N/A</v>
      </c>
    </row>
    <row r="148" spans="1:9">
      <c r="A148" s="1">
        <v>148</v>
      </c>
      <c r="B148" s="1" t="s">
        <v>252</v>
      </c>
      <c r="D148" s="1" t="e">
        <f>VLOOKUP(B148,channelfireball!A:C,2,FALSE)</f>
        <v>#N/A</v>
      </c>
      <c r="E148" s="1" t="e">
        <f>VLOOKUP(B148,channelfireball!A:C,3,FALSE)</f>
        <v>#N/A</v>
      </c>
      <c r="F148" s="1">
        <f>VLOOKUP(B148,smds!B:C,2,FALSE)</f>
        <v>1.2</v>
      </c>
      <c r="G148" s="1" t="e">
        <f>VLOOKUP(B148,oracle!A:D,2,FALSE)</f>
        <v>#N/A</v>
      </c>
      <c r="H148" s="1" t="e">
        <f>VLOOKUP(B148,oracle!A:D,3,FALSE)</f>
        <v>#N/A</v>
      </c>
      <c r="I148" s="1" t="e">
        <f>VLOOKUP(B148,oracle!A:D,4,FALSE)</f>
        <v>#N/A</v>
      </c>
    </row>
    <row r="149" spans="1:9">
      <c r="A149" s="1">
        <v>149</v>
      </c>
      <c r="B149" s="1" t="s">
        <v>168</v>
      </c>
      <c r="D149" s="1" t="e">
        <f>VLOOKUP(B149,channelfireball!A:C,2,FALSE)</f>
        <v>#N/A</v>
      </c>
      <c r="E149" s="1" t="e">
        <f>VLOOKUP(B149,channelfireball!A:C,3,FALSE)</f>
        <v>#N/A</v>
      </c>
      <c r="F149" s="1">
        <f>VLOOKUP(B149,smds!B:C,2,FALSE)</f>
        <v>1.4</v>
      </c>
      <c r="G149" s="1" t="e">
        <f>VLOOKUP(B149,oracle!A:D,2,FALSE)</f>
        <v>#N/A</v>
      </c>
      <c r="H149" s="1" t="e">
        <f>VLOOKUP(B149,oracle!A:D,3,FALSE)</f>
        <v>#N/A</v>
      </c>
      <c r="I149" s="1" t="e">
        <f>VLOOKUP(B149,oracle!A:D,4,FALSE)</f>
        <v>#N/A</v>
      </c>
    </row>
    <row r="150" spans="1:9">
      <c r="A150" s="1">
        <v>150</v>
      </c>
      <c r="B150" s="1" t="s">
        <v>169</v>
      </c>
      <c r="D150" s="1" t="e">
        <f>VLOOKUP(B150,channelfireball!A:C,2,FALSE)</f>
        <v>#N/A</v>
      </c>
      <c r="E150" s="1" t="e">
        <f>VLOOKUP(B150,channelfireball!A:C,3,FALSE)</f>
        <v>#N/A</v>
      </c>
      <c r="F150" s="1">
        <f>VLOOKUP(B150,smds!B:C,2,FALSE)</f>
        <v>1.1000000000000001</v>
      </c>
      <c r="G150" s="1" t="e">
        <f>VLOOKUP(B150,oracle!A:D,2,FALSE)</f>
        <v>#N/A</v>
      </c>
      <c r="H150" s="1" t="e">
        <f>VLOOKUP(B150,oracle!A:D,3,FALSE)</f>
        <v>#N/A</v>
      </c>
      <c r="I150" s="1" t="e">
        <f>VLOOKUP(B150,oracle!A:D,4,FALSE)</f>
        <v>#N/A</v>
      </c>
    </row>
    <row r="151" spans="1:9">
      <c r="A151" s="1">
        <v>151</v>
      </c>
      <c r="B151" s="1" t="s">
        <v>170</v>
      </c>
      <c r="D151" s="1" t="e">
        <f>VLOOKUP(B151,channelfireball!A:C,2,FALSE)</f>
        <v>#N/A</v>
      </c>
      <c r="E151" s="1" t="e">
        <f>VLOOKUP(B151,channelfireball!A:C,3,FALSE)</f>
        <v>#N/A</v>
      </c>
      <c r="F151" s="1">
        <f>VLOOKUP(B151,smds!B:C,2,FALSE)</f>
        <v>1</v>
      </c>
      <c r="G151" s="1" t="e">
        <f>VLOOKUP(B151,oracle!A:D,2,FALSE)</f>
        <v>#N/A</v>
      </c>
      <c r="H151" s="1" t="e">
        <f>VLOOKUP(B151,oracle!A:D,3,FALSE)</f>
        <v>#N/A</v>
      </c>
      <c r="I151" s="1" t="e">
        <f>VLOOKUP(B151,oracle!A:D,4,FALSE)</f>
        <v>#N/A</v>
      </c>
    </row>
    <row r="152" spans="1:9">
      <c r="A152" s="1">
        <v>152</v>
      </c>
      <c r="B152" s="1" t="s">
        <v>171</v>
      </c>
      <c r="D152" s="1" t="e">
        <f>VLOOKUP(B152,channelfireball!A:C,2,FALSE)</f>
        <v>#N/A</v>
      </c>
      <c r="E152" s="1" t="e">
        <f>VLOOKUP(B152,channelfireball!A:C,3,FALSE)</f>
        <v>#N/A</v>
      </c>
      <c r="F152" s="1">
        <f>VLOOKUP(B152,smds!B:C,2,FALSE)</f>
        <v>2.7</v>
      </c>
      <c r="G152" s="1" t="e">
        <f>VLOOKUP(B152,oracle!A:D,2,FALSE)</f>
        <v>#N/A</v>
      </c>
      <c r="H152" s="1" t="e">
        <f>VLOOKUP(B152,oracle!A:D,3,FALSE)</f>
        <v>#N/A</v>
      </c>
      <c r="I152" s="1" t="e">
        <f>VLOOKUP(B152,oracle!A:D,4,FALSE)</f>
        <v>#N/A</v>
      </c>
    </row>
    <row r="153" spans="1:9">
      <c r="A153" s="1">
        <v>153</v>
      </c>
      <c r="B153" s="1" t="s">
        <v>172</v>
      </c>
      <c r="D153" s="1" t="e">
        <f>VLOOKUP(B153,channelfireball!A:C,2,FALSE)</f>
        <v>#N/A</v>
      </c>
      <c r="E153" s="1" t="e">
        <f>VLOOKUP(B153,channelfireball!A:C,3,FALSE)</f>
        <v>#N/A</v>
      </c>
      <c r="F153" s="1">
        <f>VLOOKUP(B153,smds!B:C,2,FALSE)</f>
        <v>0.9</v>
      </c>
      <c r="G153" s="1" t="e">
        <f>VLOOKUP(B153,oracle!A:D,2,FALSE)</f>
        <v>#N/A</v>
      </c>
      <c r="H153" s="1" t="e">
        <f>VLOOKUP(B153,oracle!A:D,3,FALSE)</f>
        <v>#N/A</v>
      </c>
      <c r="I153" s="1" t="e">
        <f>VLOOKUP(B153,oracle!A:D,4,FALSE)</f>
        <v>#N/A</v>
      </c>
    </row>
    <row r="154" spans="1:9">
      <c r="A154" s="1">
        <v>154</v>
      </c>
      <c r="B154" s="1" t="s">
        <v>173</v>
      </c>
      <c r="D154" s="1" t="e">
        <f>VLOOKUP(B154,channelfireball!A:C,2,FALSE)</f>
        <v>#N/A</v>
      </c>
      <c r="E154" s="1" t="e">
        <f>VLOOKUP(B154,channelfireball!A:C,3,FALSE)</f>
        <v>#N/A</v>
      </c>
      <c r="F154" s="1">
        <f>VLOOKUP(B154,smds!B:C,2,FALSE)</f>
        <v>0.9</v>
      </c>
      <c r="G154" s="1" t="e">
        <f>VLOOKUP(B154,oracle!A:D,2,FALSE)</f>
        <v>#N/A</v>
      </c>
      <c r="H154" s="1" t="e">
        <f>VLOOKUP(B154,oracle!A:D,3,FALSE)</f>
        <v>#N/A</v>
      </c>
      <c r="I154" s="1" t="e">
        <f>VLOOKUP(B154,oracle!A:D,4,FALSE)</f>
        <v>#N/A</v>
      </c>
    </row>
    <row r="155" spans="1:9">
      <c r="A155" s="1">
        <v>155</v>
      </c>
      <c r="B155" s="1" t="s">
        <v>175</v>
      </c>
      <c r="D155" s="1" t="e">
        <f>VLOOKUP(B155,channelfireball!A:C,2,FALSE)</f>
        <v>#N/A</v>
      </c>
      <c r="E155" s="1" t="e">
        <f>VLOOKUP(B155,channelfireball!A:C,3,FALSE)</f>
        <v>#N/A</v>
      </c>
      <c r="F155" s="1">
        <f>VLOOKUP(B155,smds!B:C,2,FALSE)</f>
        <v>5.0999999999999996</v>
      </c>
      <c r="G155" s="1" t="e">
        <f>VLOOKUP(B155,oracle!A:D,2,FALSE)</f>
        <v>#N/A</v>
      </c>
      <c r="H155" s="1" t="e">
        <f>VLOOKUP(B155,oracle!A:D,3,FALSE)</f>
        <v>#N/A</v>
      </c>
      <c r="I155" s="1" t="e">
        <f>VLOOKUP(B155,oracle!A:D,4,FALSE)</f>
        <v>#N/A</v>
      </c>
    </row>
    <row r="156" spans="1:9">
      <c r="A156" s="1">
        <v>156</v>
      </c>
      <c r="B156" s="1" t="s">
        <v>232</v>
      </c>
      <c r="D156" s="1" t="e">
        <f>VLOOKUP(B156,channelfireball!A:C,2,FALSE)</f>
        <v>#N/A</v>
      </c>
      <c r="E156" s="1" t="e">
        <f>VLOOKUP(B156,channelfireball!A:C,3,FALSE)</f>
        <v>#N/A</v>
      </c>
      <c r="F156" s="1">
        <f>VLOOKUP(B156,smds!B:C,2,FALSE)</f>
        <v>6.8</v>
      </c>
      <c r="G156" s="1" t="e">
        <f>VLOOKUP(B156,oracle!A:D,2,FALSE)</f>
        <v>#N/A</v>
      </c>
      <c r="H156" s="1" t="e">
        <f>VLOOKUP(B156,oracle!A:D,3,FALSE)</f>
        <v>#N/A</v>
      </c>
      <c r="I156" s="1" t="e">
        <f>VLOOKUP(B156,oracle!A:D,4,FALSE)</f>
        <v>#N/A</v>
      </c>
    </row>
    <row r="157" spans="1:9">
      <c r="A157" s="1">
        <v>157</v>
      </c>
      <c r="B157" s="1" t="s">
        <v>261</v>
      </c>
      <c r="D157" s="1" t="e">
        <f>VLOOKUP(B157,channelfireball!A:C,2,FALSE)</f>
        <v>#N/A</v>
      </c>
      <c r="E157" s="1" t="e">
        <f>VLOOKUP(B157,channelfireball!A:C,3,FALSE)</f>
        <v>#N/A</v>
      </c>
      <c r="F157" s="1">
        <f>VLOOKUP(B157,smds!B:C,2,FALSE)</f>
        <v>0.7</v>
      </c>
      <c r="G157" s="1" t="e">
        <f>VLOOKUP(B157,oracle!A:D,2,FALSE)</f>
        <v>#N/A</v>
      </c>
      <c r="H157" s="1" t="e">
        <f>VLOOKUP(B157,oracle!A:D,3,FALSE)</f>
        <v>#N/A</v>
      </c>
      <c r="I157" s="1" t="e">
        <f>VLOOKUP(B157,oracle!A:D,4,FALSE)</f>
        <v>#N/A</v>
      </c>
    </row>
    <row r="158" spans="1:9">
      <c r="A158" s="1">
        <v>158</v>
      </c>
      <c r="B158" s="1" t="s">
        <v>177</v>
      </c>
      <c r="D158" s="1" t="e">
        <f>VLOOKUP(B158,channelfireball!A:C,2,FALSE)</f>
        <v>#N/A</v>
      </c>
      <c r="E158" s="1" t="e">
        <f>VLOOKUP(B158,channelfireball!A:C,3,FALSE)</f>
        <v>#N/A</v>
      </c>
      <c r="F158" s="1">
        <f>VLOOKUP(B158,smds!B:C,2,FALSE)</f>
        <v>2.1</v>
      </c>
      <c r="G158" s="1" t="e">
        <f>VLOOKUP(B158,oracle!A:D,2,FALSE)</f>
        <v>#N/A</v>
      </c>
      <c r="H158" s="1" t="e">
        <f>VLOOKUP(B158,oracle!A:D,3,FALSE)</f>
        <v>#N/A</v>
      </c>
      <c r="I158" s="1" t="e">
        <f>VLOOKUP(B158,oracle!A:D,4,FALSE)</f>
        <v>#N/A</v>
      </c>
    </row>
    <row r="159" spans="1:9">
      <c r="A159" s="1">
        <v>159</v>
      </c>
      <c r="B159" s="1" t="s">
        <v>178</v>
      </c>
      <c r="D159" s="1" t="e">
        <f>VLOOKUP(B159,channelfireball!A:C,2,FALSE)</f>
        <v>#N/A</v>
      </c>
      <c r="E159" s="1" t="e">
        <f>VLOOKUP(B159,channelfireball!A:C,3,FALSE)</f>
        <v>#N/A</v>
      </c>
      <c r="F159" s="1">
        <f>VLOOKUP(B159,smds!B:C,2,FALSE)</f>
        <v>2</v>
      </c>
      <c r="G159" s="1" t="e">
        <f>VLOOKUP(B159,oracle!A:D,2,FALSE)</f>
        <v>#N/A</v>
      </c>
      <c r="H159" s="1" t="e">
        <f>VLOOKUP(B159,oracle!A:D,3,FALSE)</f>
        <v>#N/A</v>
      </c>
      <c r="I159" s="1" t="e">
        <f>VLOOKUP(B159,oracle!A:D,4,FALSE)</f>
        <v>#N/A</v>
      </c>
    </row>
    <row r="160" spans="1:9">
      <c r="A160" s="1">
        <v>160</v>
      </c>
      <c r="B160" s="1" t="s">
        <v>257</v>
      </c>
      <c r="D160" s="1" t="e">
        <f>VLOOKUP(B160,channelfireball!A:C,2,FALSE)</f>
        <v>#N/A</v>
      </c>
      <c r="E160" s="1" t="e">
        <f>VLOOKUP(B160,channelfireball!A:C,3,FALSE)</f>
        <v>#N/A</v>
      </c>
      <c r="F160" s="1">
        <f>VLOOKUP(B160,smds!B:C,2,FALSE)</f>
        <v>1</v>
      </c>
      <c r="G160" s="1" t="e">
        <f>VLOOKUP(B160,oracle!A:D,2,FALSE)</f>
        <v>#N/A</v>
      </c>
      <c r="H160" s="1" t="e">
        <f>VLOOKUP(B160,oracle!A:D,3,FALSE)</f>
        <v>#N/A</v>
      </c>
      <c r="I160" s="1" t="e">
        <f>VLOOKUP(B160,oracle!A:D,4,FALSE)</f>
        <v>#N/A</v>
      </c>
    </row>
    <row r="161" spans="1:9">
      <c r="A161" s="1">
        <v>161</v>
      </c>
      <c r="B161" s="1" t="s">
        <v>179</v>
      </c>
      <c r="D161" s="1" t="e">
        <f>VLOOKUP(B161,channelfireball!A:C,2,FALSE)</f>
        <v>#N/A</v>
      </c>
      <c r="E161" s="1" t="e">
        <f>VLOOKUP(B161,channelfireball!A:C,3,FALSE)</f>
        <v>#N/A</v>
      </c>
      <c r="F161" s="1">
        <f>VLOOKUP(B161,smds!B:C,2,FALSE)</f>
        <v>2.2000000000000002</v>
      </c>
      <c r="G161" s="1" t="e">
        <f>VLOOKUP(B161,oracle!A:D,2,FALSE)</f>
        <v>#N/A</v>
      </c>
      <c r="H161" s="1" t="e">
        <f>VLOOKUP(B161,oracle!A:D,3,FALSE)</f>
        <v>#N/A</v>
      </c>
      <c r="I161" s="1" t="e">
        <f>VLOOKUP(B161,oracle!A:D,4,FALSE)</f>
        <v>#N/A</v>
      </c>
    </row>
    <row r="162" spans="1:9">
      <c r="A162" s="1">
        <v>162</v>
      </c>
      <c r="B162" s="1" t="s">
        <v>180</v>
      </c>
      <c r="D162" s="1" t="e">
        <f>VLOOKUP(B162,channelfireball!A:C,2,FALSE)</f>
        <v>#N/A</v>
      </c>
      <c r="E162" s="1" t="e">
        <f>VLOOKUP(B162,channelfireball!A:C,3,FALSE)</f>
        <v>#N/A</v>
      </c>
      <c r="F162" s="1">
        <f>VLOOKUP(B162,smds!B:C,2,FALSE)</f>
        <v>10</v>
      </c>
      <c r="G162" s="1" t="e">
        <f>VLOOKUP(B162,oracle!A:D,2,FALSE)</f>
        <v>#N/A</v>
      </c>
      <c r="H162" s="1" t="e">
        <f>VLOOKUP(B162,oracle!A:D,3,FALSE)</f>
        <v>#N/A</v>
      </c>
      <c r="I162" s="1" t="e">
        <f>VLOOKUP(B162,oracle!A:D,4,FALSE)</f>
        <v>#N/A</v>
      </c>
    </row>
    <row r="163" spans="1:9">
      <c r="A163" s="1">
        <v>163</v>
      </c>
      <c r="B163" s="1" t="s">
        <v>238</v>
      </c>
      <c r="D163" s="1" t="e">
        <f>VLOOKUP(B163,channelfireball!A:C,2,FALSE)</f>
        <v>#N/A</v>
      </c>
      <c r="E163" s="1" t="e">
        <f>VLOOKUP(B163,channelfireball!A:C,3,FALSE)</f>
        <v>#N/A</v>
      </c>
      <c r="F163" s="1">
        <f>VLOOKUP(B163,smds!B:C,2,FALSE)</f>
        <v>2</v>
      </c>
      <c r="G163" s="1" t="e">
        <f>VLOOKUP(B163,oracle!A:D,2,FALSE)</f>
        <v>#N/A</v>
      </c>
      <c r="H163" s="1" t="e">
        <f>VLOOKUP(B163,oracle!A:D,3,FALSE)</f>
        <v>#N/A</v>
      </c>
      <c r="I163" s="1" t="e">
        <f>VLOOKUP(B163,oracle!A:D,4,FALSE)</f>
        <v>#N/A</v>
      </c>
    </row>
    <row r="164" spans="1:9">
      <c r="A164" s="1">
        <v>164</v>
      </c>
      <c r="B164" s="1" t="s">
        <v>183</v>
      </c>
      <c r="D164" s="1" t="e">
        <f>VLOOKUP(B164,channelfireball!A:C,2,FALSE)</f>
        <v>#N/A</v>
      </c>
      <c r="E164" s="1" t="e">
        <f>VLOOKUP(B164,channelfireball!A:C,3,FALSE)</f>
        <v>#N/A</v>
      </c>
      <c r="F164" s="1">
        <f>VLOOKUP(B164,smds!B:C,2,FALSE)</f>
        <v>2.2999999999999998</v>
      </c>
      <c r="G164" s="1" t="e">
        <f>VLOOKUP(B164,oracle!A:D,2,FALSE)</f>
        <v>#N/A</v>
      </c>
      <c r="H164" s="1" t="e">
        <f>VLOOKUP(B164,oracle!A:D,3,FALSE)</f>
        <v>#N/A</v>
      </c>
      <c r="I164" s="1" t="e">
        <f>VLOOKUP(B164,oracle!A:D,4,FALSE)</f>
        <v>#N/A</v>
      </c>
    </row>
    <row r="165" spans="1:9">
      <c r="A165" s="1">
        <v>165</v>
      </c>
      <c r="B165" s="1" t="s">
        <v>184</v>
      </c>
      <c r="D165" s="1" t="e">
        <f>VLOOKUP(B165,channelfireball!A:C,2,FALSE)</f>
        <v>#N/A</v>
      </c>
      <c r="E165" s="1" t="e">
        <f>VLOOKUP(B165,channelfireball!A:C,3,FALSE)</f>
        <v>#N/A</v>
      </c>
      <c r="F165" s="1">
        <f>VLOOKUP(B165,smds!B:C,2,FALSE)</f>
        <v>2.8</v>
      </c>
      <c r="G165" s="1" t="e">
        <f>VLOOKUP(B165,oracle!A:D,2,FALSE)</f>
        <v>#N/A</v>
      </c>
      <c r="H165" s="1" t="e">
        <f>VLOOKUP(B165,oracle!A:D,3,FALSE)</f>
        <v>#N/A</v>
      </c>
      <c r="I165" s="1" t="e">
        <f>VLOOKUP(B165,oracle!A:D,4,FALSE)</f>
        <v>#N/A</v>
      </c>
    </row>
    <row r="166" spans="1:9">
      <c r="A166" s="1">
        <v>166</v>
      </c>
      <c r="B166" s="1" t="s">
        <v>185</v>
      </c>
      <c r="D166" s="1" t="e">
        <f>VLOOKUP(B166,channelfireball!A:C,2,FALSE)</f>
        <v>#N/A</v>
      </c>
      <c r="E166" s="1" t="e">
        <f>VLOOKUP(B166,channelfireball!A:C,3,FALSE)</f>
        <v>#N/A</v>
      </c>
      <c r="F166" s="1">
        <f>VLOOKUP(B166,smds!B:C,2,FALSE)</f>
        <v>1.3</v>
      </c>
      <c r="G166" s="1" t="e">
        <f>VLOOKUP(B166,oracle!A:D,2,FALSE)</f>
        <v>#N/A</v>
      </c>
      <c r="H166" s="1" t="e">
        <f>VLOOKUP(B166,oracle!A:D,3,FALSE)</f>
        <v>#N/A</v>
      </c>
      <c r="I166" s="1" t="e">
        <f>VLOOKUP(B166,oracle!A:D,4,FALSE)</f>
        <v>#N/A</v>
      </c>
    </row>
    <row r="167" spans="1:9">
      <c r="A167" s="1">
        <v>167</v>
      </c>
      <c r="B167" s="1" t="s">
        <v>186</v>
      </c>
      <c r="D167" s="1" t="e">
        <f>VLOOKUP(B167,channelfireball!A:C,2,FALSE)</f>
        <v>#N/A</v>
      </c>
      <c r="E167" s="1" t="e">
        <f>VLOOKUP(B167,channelfireball!A:C,3,FALSE)</f>
        <v>#N/A</v>
      </c>
      <c r="F167" s="1">
        <f>VLOOKUP(B167,smds!B:C,2,FALSE)</f>
        <v>1</v>
      </c>
      <c r="G167" s="1" t="e">
        <f>VLOOKUP(B167,oracle!A:D,2,FALSE)</f>
        <v>#N/A</v>
      </c>
      <c r="H167" s="1" t="e">
        <f>VLOOKUP(B167,oracle!A:D,3,FALSE)</f>
        <v>#N/A</v>
      </c>
      <c r="I167" s="1" t="e">
        <f>VLOOKUP(B167,oracle!A:D,4,FALSE)</f>
        <v>#N/A</v>
      </c>
    </row>
    <row r="168" spans="1:9">
      <c r="A168" s="1">
        <v>168</v>
      </c>
      <c r="B168" s="1" t="s">
        <v>237</v>
      </c>
      <c r="D168" s="1" t="e">
        <f>VLOOKUP(B168,channelfireball!A:C,2,FALSE)</f>
        <v>#N/A</v>
      </c>
      <c r="E168" s="1" t="e">
        <f>VLOOKUP(B168,channelfireball!A:C,3,FALSE)</f>
        <v>#N/A</v>
      </c>
      <c r="F168" s="1">
        <f>VLOOKUP(B168,smds!B:C,2,FALSE)</f>
        <v>2.2999999999999998</v>
      </c>
      <c r="G168" s="1" t="e">
        <f>VLOOKUP(B168,oracle!A:D,2,FALSE)</f>
        <v>#N/A</v>
      </c>
      <c r="H168" s="1" t="e">
        <f>VLOOKUP(B168,oracle!A:D,3,FALSE)</f>
        <v>#N/A</v>
      </c>
      <c r="I168" s="1" t="e">
        <f>VLOOKUP(B168,oracle!A:D,4,FALSE)</f>
        <v>#N/A</v>
      </c>
    </row>
    <row r="169" spans="1:9">
      <c r="A169" s="1">
        <v>169</v>
      </c>
      <c r="B169" s="1" t="s">
        <v>187</v>
      </c>
      <c r="D169" s="1" t="e">
        <f>VLOOKUP(B169,channelfireball!A:C,2,FALSE)</f>
        <v>#N/A</v>
      </c>
      <c r="E169" s="1" t="e">
        <f>VLOOKUP(B169,channelfireball!A:C,3,FALSE)</f>
        <v>#N/A</v>
      </c>
      <c r="F169" s="1">
        <f>VLOOKUP(B169,smds!B:C,2,FALSE)</f>
        <v>3.2</v>
      </c>
      <c r="G169" s="1" t="e">
        <f>VLOOKUP(B169,oracle!A:D,2,FALSE)</f>
        <v>#N/A</v>
      </c>
      <c r="H169" s="1" t="e">
        <f>VLOOKUP(B169,oracle!A:D,3,FALSE)</f>
        <v>#N/A</v>
      </c>
      <c r="I169" s="1" t="e">
        <f>VLOOKUP(B169,oracle!A:D,4,FALSE)</f>
        <v>#N/A</v>
      </c>
    </row>
    <row r="170" spans="1:9">
      <c r="A170" s="1">
        <v>170</v>
      </c>
      <c r="B170" s="1" t="s">
        <v>188</v>
      </c>
      <c r="D170" s="1" t="e">
        <f>VLOOKUP(B170,channelfireball!A:C,2,FALSE)</f>
        <v>#N/A</v>
      </c>
      <c r="E170" s="1" t="e">
        <f>VLOOKUP(B170,channelfireball!A:C,3,FALSE)</f>
        <v>#N/A</v>
      </c>
      <c r="F170" s="1">
        <f>VLOOKUP(B170,smds!B:C,2,FALSE)</f>
        <v>6</v>
      </c>
      <c r="G170" s="1" t="e">
        <f>VLOOKUP(B170,oracle!A:D,2,FALSE)</f>
        <v>#N/A</v>
      </c>
      <c r="H170" s="1" t="e">
        <f>VLOOKUP(B170,oracle!A:D,3,FALSE)</f>
        <v>#N/A</v>
      </c>
      <c r="I170" s="1" t="e">
        <f>VLOOKUP(B170,oracle!A:D,4,FALSE)</f>
        <v>#N/A</v>
      </c>
    </row>
    <row r="171" spans="1:9">
      <c r="A171" s="1">
        <v>171</v>
      </c>
      <c r="B171" s="1" t="s">
        <v>189</v>
      </c>
      <c r="D171" s="1" t="e">
        <f>VLOOKUP(B171,channelfireball!A:C,2,FALSE)</f>
        <v>#N/A</v>
      </c>
      <c r="E171" s="1" t="e">
        <f>VLOOKUP(B171,channelfireball!A:C,3,FALSE)</f>
        <v>#N/A</v>
      </c>
      <c r="F171" s="1">
        <f>VLOOKUP(B171,smds!B:C,2,FALSE)</f>
        <v>0.8</v>
      </c>
      <c r="G171" s="1" t="e">
        <f>VLOOKUP(B171,oracle!A:D,2,FALSE)</f>
        <v>#N/A</v>
      </c>
      <c r="H171" s="1" t="e">
        <f>VLOOKUP(B171,oracle!A:D,3,FALSE)</f>
        <v>#N/A</v>
      </c>
      <c r="I171" s="1" t="e">
        <f>VLOOKUP(B171,oracle!A:D,4,FALSE)</f>
        <v>#N/A</v>
      </c>
    </row>
    <row r="172" spans="1:9">
      <c r="A172" s="1">
        <v>172</v>
      </c>
      <c r="B172" s="1" t="s">
        <v>190</v>
      </c>
      <c r="D172" s="1" t="e">
        <f>VLOOKUP(B172,channelfireball!A:C,2,FALSE)</f>
        <v>#N/A</v>
      </c>
      <c r="E172" s="1" t="e">
        <f>VLOOKUP(B172,channelfireball!A:C,3,FALSE)</f>
        <v>#N/A</v>
      </c>
      <c r="F172" s="1">
        <f>VLOOKUP(B172,smds!B:C,2,FALSE)</f>
        <v>0.8</v>
      </c>
      <c r="G172" s="1" t="e">
        <f>VLOOKUP(B172,oracle!A:D,2,FALSE)</f>
        <v>#N/A</v>
      </c>
      <c r="H172" s="1" t="e">
        <f>VLOOKUP(B172,oracle!A:D,3,FALSE)</f>
        <v>#N/A</v>
      </c>
      <c r="I172" s="1" t="e">
        <f>VLOOKUP(B172,oracle!A:D,4,FALSE)</f>
        <v>#N/A</v>
      </c>
    </row>
    <row r="173" spans="1:9">
      <c r="A173" s="1">
        <v>173</v>
      </c>
      <c r="B173" s="1" t="s">
        <v>191</v>
      </c>
      <c r="D173" s="1" t="e">
        <f>VLOOKUP(B173,channelfireball!A:C,2,FALSE)</f>
        <v>#N/A</v>
      </c>
      <c r="E173" s="1" t="e">
        <f>VLOOKUP(B173,channelfireball!A:C,3,FALSE)</f>
        <v>#N/A</v>
      </c>
      <c r="F173" s="1">
        <f>VLOOKUP(B173,smds!B:C,2,FALSE)</f>
        <v>1</v>
      </c>
      <c r="G173" s="1" t="e">
        <f>VLOOKUP(B173,oracle!A:D,2,FALSE)</f>
        <v>#N/A</v>
      </c>
      <c r="H173" s="1" t="e">
        <f>VLOOKUP(B173,oracle!A:D,3,FALSE)</f>
        <v>#N/A</v>
      </c>
      <c r="I173" s="1" t="e">
        <f>VLOOKUP(B173,oracle!A:D,4,FALSE)</f>
        <v>#N/A</v>
      </c>
    </row>
    <row r="174" spans="1:9">
      <c r="A174" s="1">
        <v>174</v>
      </c>
      <c r="B174" s="1" t="s">
        <v>242</v>
      </c>
      <c r="D174" s="1" t="e">
        <f>VLOOKUP(B174,channelfireball!A:C,2,FALSE)</f>
        <v>#N/A</v>
      </c>
      <c r="E174" s="1" t="e">
        <f>VLOOKUP(B174,channelfireball!A:C,3,FALSE)</f>
        <v>#N/A</v>
      </c>
      <c r="F174" s="1">
        <f>VLOOKUP(B174,smds!B:C,2,FALSE)</f>
        <v>1.8</v>
      </c>
      <c r="G174" s="1" t="e">
        <f>VLOOKUP(B174,oracle!A:D,2,FALSE)</f>
        <v>#N/A</v>
      </c>
      <c r="H174" s="1" t="e">
        <f>VLOOKUP(B174,oracle!A:D,3,FALSE)</f>
        <v>#N/A</v>
      </c>
      <c r="I174" s="1" t="e">
        <f>VLOOKUP(B174,oracle!A:D,4,FALSE)</f>
        <v>#N/A</v>
      </c>
    </row>
    <row r="175" spans="1:9">
      <c r="A175" s="1">
        <v>175</v>
      </c>
      <c r="B175" s="1" t="s">
        <v>243</v>
      </c>
      <c r="D175" s="1" t="e">
        <f>VLOOKUP(B175,channelfireball!A:C,2,FALSE)</f>
        <v>#N/A</v>
      </c>
      <c r="E175" s="1" t="e">
        <f>VLOOKUP(B175,channelfireball!A:C,3,FALSE)</f>
        <v>#N/A</v>
      </c>
      <c r="F175" s="1">
        <f>VLOOKUP(B175,smds!B:C,2,FALSE)</f>
        <v>1.8</v>
      </c>
      <c r="G175" s="1" t="e">
        <f>VLOOKUP(B175,oracle!A:D,2,FALSE)</f>
        <v>#N/A</v>
      </c>
      <c r="H175" s="1" t="e">
        <f>VLOOKUP(B175,oracle!A:D,3,FALSE)</f>
        <v>#N/A</v>
      </c>
      <c r="I175" s="1" t="e">
        <f>VLOOKUP(B175,oracle!A:D,4,FALSE)</f>
        <v>#N/A</v>
      </c>
    </row>
    <row r="176" spans="1:9">
      <c r="A176" s="1">
        <v>176</v>
      </c>
      <c r="B176" s="1" t="s">
        <v>192</v>
      </c>
      <c r="D176" s="1" t="e">
        <f>VLOOKUP(B176,channelfireball!A:C,2,FALSE)</f>
        <v>#N/A</v>
      </c>
      <c r="E176" s="1" t="e">
        <f>VLOOKUP(B176,channelfireball!A:C,3,FALSE)</f>
        <v>#N/A</v>
      </c>
      <c r="F176" s="1">
        <f>VLOOKUP(B176,smds!B:C,2,FALSE)</f>
        <v>7.3</v>
      </c>
      <c r="G176" s="1" t="e">
        <f>VLOOKUP(B176,oracle!A:D,2,FALSE)</f>
        <v>#N/A</v>
      </c>
      <c r="H176" s="1" t="e">
        <f>VLOOKUP(B176,oracle!A:D,3,FALSE)</f>
        <v>#N/A</v>
      </c>
      <c r="I176" s="1" t="e">
        <f>VLOOKUP(B176,oracle!A:D,4,FALSE)</f>
        <v>#N/A</v>
      </c>
    </row>
    <row r="177" spans="1:9">
      <c r="A177" s="1">
        <v>177</v>
      </c>
      <c r="B177" s="1" t="s">
        <v>193</v>
      </c>
      <c r="D177" s="1" t="e">
        <f>VLOOKUP(B177,channelfireball!A:C,2,FALSE)</f>
        <v>#N/A</v>
      </c>
      <c r="E177" s="1" t="e">
        <f>VLOOKUP(B177,channelfireball!A:C,3,FALSE)</f>
        <v>#N/A</v>
      </c>
      <c r="F177" s="1">
        <f>VLOOKUP(B177,smds!B:C,2,FALSE)</f>
        <v>0.8</v>
      </c>
      <c r="G177" s="1" t="e">
        <f>VLOOKUP(B177,oracle!A:D,2,FALSE)</f>
        <v>#N/A</v>
      </c>
      <c r="H177" s="1" t="e">
        <f>VLOOKUP(B177,oracle!A:D,3,FALSE)</f>
        <v>#N/A</v>
      </c>
      <c r="I177" s="1" t="e">
        <f>VLOOKUP(B177,oracle!A:D,4,FALSE)</f>
        <v>#N/A</v>
      </c>
    </row>
    <row r="178" spans="1:9">
      <c r="A178" s="1">
        <v>178</v>
      </c>
      <c r="B178" s="1" t="s">
        <v>194</v>
      </c>
      <c r="D178" s="1" t="e">
        <f>VLOOKUP(B178,channelfireball!A:C,2,FALSE)</f>
        <v>#N/A</v>
      </c>
      <c r="E178" s="1" t="e">
        <f>VLOOKUP(B178,channelfireball!A:C,3,FALSE)</f>
        <v>#N/A</v>
      </c>
      <c r="F178" s="1">
        <f>VLOOKUP(B178,smds!B:C,2,FALSE)</f>
        <v>0.9</v>
      </c>
      <c r="G178" s="1" t="e">
        <f>VLOOKUP(B178,oracle!A:D,2,FALSE)</f>
        <v>#N/A</v>
      </c>
      <c r="H178" s="1" t="e">
        <f>VLOOKUP(B178,oracle!A:D,3,FALSE)</f>
        <v>#N/A</v>
      </c>
      <c r="I178" s="1" t="e">
        <f>VLOOKUP(B178,oracle!A:D,4,FALSE)</f>
        <v>#N/A</v>
      </c>
    </row>
    <row r="179" spans="1:9">
      <c r="A179" s="1">
        <v>179</v>
      </c>
      <c r="B179" s="1" t="s">
        <v>259</v>
      </c>
      <c r="D179" s="1" t="e">
        <f>VLOOKUP(B179,channelfireball!A:C,2,FALSE)</f>
        <v>#N/A</v>
      </c>
      <c r="E179" s="1" t="e">
        <f>VLOOKUP(B179,channelfireball!A:C,3,FALSE)</f>
        <v>#N/A</v>
      </c>
      <c r="F179" s="1">
        <f>VLOOKUP(B179,smds!B:C,2,FALSE)</f>
        <v>0.9</v>
      </c>
      <c r="G179" s="1" t="e">
        <f>VLOOKUP(B179,oracle!A:D,2,FALSE)</f>
        <v>#N/A</v>
      </c>
      <c r="H179" s="1" t="e">
        <f>VLOOKUP(B179,oracle!A:D,3,FALSE)</f>
        <v>#N/A</v>
      </c>
      <c r="I179" s="1" t="e">
        <f>VLOOKUP(B179,oracle!A:D,4,FALSE)</f>
        <v>#N/A</v>
      </c>
    </row>
    <row r="180" spans="1:9">
      <c r="A180" s="1">
        <v>180</v>
      </c>
      <c r="B180" s="1" t="s">
        <v>195</v>
      </c>
      <c r="D180" s="1" t="e">
        <f>VLOOKUP(B180,channelfireball!A:C,2,FALSE)</f>
        <v>#N/A</v>
      </c>
      <c r="E180" s="1" t="e">
        <f>VLOOKUP(B180,channelfireball!A:C,3,FALSE)</f>
        <v>#N/A</v>
      </c>
      <c r="F180" s="1">
        <f>VLOOKUP(B180,smds!B:C,2,FALSE)</f>
        <v>1.1000000000000001</v>
      </c>
      <c r="G180" s="1" t="e">
        <f>VLOOKUP(B180,oracle!A:D,2,FALSE)</f>
        <v>#N/A</v>
      </c>
      <c r="H180" s="1" t="e">
        <f>VLOOKUP(B180,oracle!A:D,3,FALSE)</f>
        <v>#N/A</v>
      </c>
      <c r="I180" s="1" t="e">
        <f>VLOOKUP(B180,oracle!A:D,4,FALSE)</f>
        <v>#N/A</v>
      </c>
    </row>
    <row r="181" spans="1:9">
      <c r="A181" s="1">
        <v>181</v>
      </c>
      <c r="B181" s="1" t="s">
        <v>211</v>
      </c>
      <c r="D181" s="1" t="e">
        <f>VLOOKUP(B181,channelfireball!A:C,2,FALSE)</f>
        <v>#N/A</v>
      </c>
      <c r="E181" s="1" t="e">
        <f>VLOOKUP(B181,channelfireball!A:C,3,FALSE)</f>
        <v>#N/A</v>
      </c>
      <c r="F181" s="1">
        <f>VLOOKUP(B181,smds!B:C,2,FALSE)</f>
        <v>8.4</v>
      </c>
      <c r="G181" s="1" t="e">
        <f>VLOOKUP(B181,oracle!A:D,2,FALSE)</f>
        <v>#N/A</v>
      </c>
      <c r="H181" s="1" t="e">
        <f>VLOOKUP(B181,oracle!A:D,3,FALSE)</f>
        <v>#N/A</v>
      </c>
      <c r="I181" s="1" t="e">
        <f>VLOOKUP(B181,oracle!A:D,4,FALSE)</f>
        <v>#N/A</v>
      </c>
    </row>
    <row r="182" spans="1:9">
      <c r="A182" s="1">
        <v>182</v>
      </c>
      <c r="B182" s="1" t="s">
        <v>212</v>
      </c>
      <c r="D182" s="1" t="e">
        <f>VLOOKUP(B182,channelfireball!A:C,2,FALSE)</f>
        <v>#N/A</v>
      </c>
      <c r="E182" s="1" t="e">
        <f>VLOOKUP(B182,channelfireball!A:C,3,FALSE)</f>
        <v>#N/A</v>
      </c>
      <c r="F182" s="1">
        <f>VLOOKUP(B182,smds!B:C,2,FALSE)</f>
        <v>0.9</v>
      </c>
      <c r="G182" s="1" t="e">
        <f>VLOOKUP(B182,oracle!A:D,2,FALSE)</f>
        <v>#N/A</v>
      </c>
      <c r="H182" s="1" t="e">
        <f>VLOOKUP(B182,oracle!A:D,3,FALSE)</f>
        <v>#N/A</v>
      </c>
      <c r="I182" s="1" t="e">
        <f>VLOOKUP(B182,oracle!A:D,4,FALSE)</f>
        <v>#N/A</v>
      </c>
    </row>
    <row r="183" spans="1:9">
      <c r="A183" s="1">
        <v>183</v>
      </c>
      <c r="B183" s="1" t="s">
        <v>213</v>
      </c>
      <c r="D183" s="1" t="e">
        <f>VLOOKUP(B183,channelfireball!A:C,2,FALSE)</f>
        <v>#N/A</v>
      </c>
      <c r="E183" s="1" t="e">
        <f>VLOOKUP(B183,channelfireball!A:C,3,FALSE)</f>
        <v>#N/A</v>
      </c>
      <c r="F183" s="1">
        <f>VLOOKUP(B183,smds!B:C,2,FALSE)</f>
        <v>9.3000000000000007</v>
      </c>
      <c r="G183" s="1" t="e">
        <f>VLOOKUP(B183,oracle!A:D,2,FALSE)</f>
        <v>#N/A</v>
      </c>
      <c r="H183" s="1" t="e">
        <f>VLOOKUP(B183,oracle!A:D,3,FALSE)</f>
        <v>#N/A</v>
      </c>
      <c r="I183" s="1" t="e">
        <f>VLOOKUP(B183,oracle!A:D,4,FALSE)</f>
        <v>#N/A</v>
      </c>
    </row>
    <row r="184" spans="1:9">
      <c r="A184" s="1">
        <v>184</v>
      </c>
      <c r="B184" s="1" t="s">
        <v>214</v>
      </c>
      <c r="D184" s="1" t="e">
        <f>VLOOKUP(B184,channelfireball!A:C,2,FALSE)</f>
        <v>#N/A</v>
      </c>
      <c r="E184" s="1" t="e">
        <f>VLOOKUP(B184,channelfireball!A:C,3,FALSE)</f>
        <v>#N/A</v>
      </c>
      <c r="F184" s="1">
        <f>VLOOKUP(B184,smds!B:C,2,FALSE)</f>
        <v>8.6</v>
      </c>
      <c r="G184" s="1" t="e">
        <f>VLOOKUP(B184,oracle!A:D,2,FALSE)</f>
        <v>#N/A</v>
      </c>
      <c r="H184" s="1" t="e">
        <f>VLOOKUP(B184,oracle!A:D,3,FALSE)</f>
        <v>#N/A</v>
      </c>
      <c r="I184" s="1" t="e">
        <f>VLOOKUP(B184,oracle!A:D,4,FALSE)</f>
        <v>#N/A</v>
      </c>
    </row>
    <row r="185" spans="1:9">
      <c r="A185" s="1">
        <v>185</v>
      </c>
      <c r="B185" s="1" t="s">
        <v>215</v>
      </c>
      <c r="D185" s="1" t="e">
        <f>VLOOKUP(B185,channelfireball!A:C,2,FALSE)</f>
        <v>#N/A</v>
      </c>
      <c r="E185" s="1" t="e">
        <f>VLOOKUP(B185,channelfireball!A:C,3,FALSE)</f>
        <v>#N/A</v>
      </c>
      <c r="F185" s="1">
        <f>VLOOKUP(B185,smds!B:C,2,FALSE)</f>
        <v>9.8000000000000007</v>
      </c>
      <c r="G185" s="1" t="e">
        <f>VLOOKUP(B185,oracle!A:D,2,FALSE)</f>
        <v>#N/A</v>
      </c>
      <c r="H185" s="1" t="e">
        <f>VLOOKUP(B185,oracle!A:D,3,FALSE)</f>
        <v>#N/A</v>
      </c>
      <c r="I185" s="1" t="e">
        <f>VLOOKUP(B185,oracle!A:D,4,FALSE)</f>
        <v>#N/A</v>
      </c>
    </row>
    <row r="186" spans="1:9">
      <c r="A186" s="1">
        <v>186</v>
      </c>
      <c r="B186" s="1" t="s">
        <v>216</v>
      </c>
      <c r="D186" s="1" t="e">
        <f>VLOOKUP(B186,channelfireball!A:C,2,FALSE)</f>
        <v>#N/A</v>
      </c>
      <c r="E186" s="1" t="e">
        <f>VLOOKUP(B186,channelfireball!A:C,3,FALSE)</f>
        <v>#N/A</v>
      </c>
      <c r="F186" s="1">
        <f>VLOOKUP(B186,smds!B:C,2,FALSE)</f>
        <v>1.1000000000000001</v>
      </c>
      <c r="G186" s="1" t="e">
        <f>VLOOKUP(B186,oracle!A:D,2,FALSE)</f>
        <v>#N/A</v>
      </c>
      <c r="H186" s="1" t="e">
        <f>VLOOKUP(B186,oracle!A:D,3,FALSE)</f>
        <v>#N/A</v>
      </c>
      <c r="I186" s="1" t="e">
        <f>VLOOKUP(B186,oracle!A:D,4,FALSE)</f>
        <v>#N/A</v>
      </c>
    </row>
    <row r="187" spans="1:9">
      <c r="A187" s="1">
        <v>187</v>
      </c>
      <c r="B187" s="1" t="s">
        <v>217</v>
      </c>
      <c r="D187" s="1" t="e">
        <f>VLOOKUP(B187,channelfireball!A:C,2,FALSE)</f>
        <v>#N/A</v>
      </c>
      <c r="E187" s="1" t="e">
        <f>VLOOKUP(B187,channelfireball!A:C,3,FALSE)</f>
        <v>#N/A</v>
      </c>
      <c r="F187" s="1">
        <f>VLOOKUP(B187,smds!B:C,2,FALSE)</f>
        <v>1</v>
      </c>
      <c r="G187" s="1" t="e">
        <f>VLOOKUP(B187,oracle!A:D,2,FALSE)</f>
        <v>#N/A</v>
      </c>
      <c r="H187" s="1" t="e">
        <f>VLOOKUP(B187,oracle!A:D,3,FALSE)</f>
        <v>#N/A</v>
      </c>
      <c r="I187" s="1" t="e">
        <f>VLOOKUP(B187,oracle!A:D,4,FALSE)</f>
        <v>#N/A</v>
      </c>
    </row>
    <row r="188" spans="1:9">
      <c r="A188" s="1">
        <v>188</v>
      </c>
      <c r="B188" s="1" t="s">
        <v>218</v>
      </c>
      <c r="D188" s="1" t="e">
        <f>VLOOKUP(B188,channelfireball!A:C,2,FALSE)</f>
        <v>#N/A</v>
      </c>
      <c r="E188" s="1" t="e">
        <f>VLOOKUP(B188,channelfireball!A:C,3,FALSE)</f>
        <v>#N/A</v>
      </c>
      <c r="F188" s="1">
        <f>VLOOKUP(B188,smds!B:C,2,FALSE)</f>
        <v>1</v>
      </c>
      <c r="G188" s="1" t="e">
        <f>VLOOKUP(B188,oracle!A:D,2,FALSE)</f>
        <v>#N/A</v>
      </c>
      <c r="H188" s="1" t="e">
        <f>VLOOKUP(B188,oracle!A:D,3,FALSE)</f>
        <v>#N/A</v>
      </c>
      <c r="I188" s="1" t="e">
        <f>VLOOKUP(B188,oracle!A:D,4,FALSE)</f>
        <v>#N/A</v>
      </c>
    </row>
    <row r="189" spans="1:9">
      <c r="A189" s="1">
        <v>189</v>
      </c>
      <c r="B189" s="1" t="s">
        <v>219</v>
      </c>
      <c r="D189" s="1" t="e">
        <f>VLOOKUP(B189,channelfireball!A:C,2,FALSE)</f>
        <v>#N/A</v>
      </c>
      <c r="E189" s="1" t="e">
        <f>VLOOKUP(B189,channelfireball!A:C,3,FALSE)</f>
        <v>#N/A</v>
      </c>
      <c r="F189" s="1">
        <f>VLOOKUP(B189,smds!B:C,2,FALSE)</f>
        <v>8.9</v>
      </c>
      <c r="G189" s="1" t="e">
        <f>VLOOKUP(B189,oracle!A:D,2,FALSE)</f>
        <v>#N/A</v>
      </c>
      <c r="H189" s="1" t="e">
        <f>VLOOKUP(B189,oracle!A:D,3,FALSE)</f>
        <v>#N/A</v>
      </c>
      <c r="I189" s="1" t="e">
        <f>VLOOKUP(B189,oracle!A:D,4,FALSE)</f>
        <v>#N/A</v>
      </c>
    </row>
    <row r="190" spans="1:9">
      <c r="A190" s="1">
        <v>190</v>
      </c>
      <c r="B190" s="1" t="s">
        <v>220</v>
      </c>
      <c r="D190" s="1" t="e">
        <f>VLOOKUP(B190,channelfireball!A:C,2,FALSE)</f>
        <v>#N/A</v>
      </c>
      <c r="E190" s="1" t="e">
        <f>VLOOKUP(B190,channelfireball!A:C,3,FALSE)</f>
        <v>#N/A</v>
      </c>
      <c r="F190" s="1">
        <f>VLOOKUP(B190,smds!B:C,2,FALSE)</f>
        <v>10</v>
      </c>
      <c r="G190" s="1" t="e">
        <f>VLOOKUP(B190,oracle!A:D,2,FALSE)</f>
        <v>#N/A</v>
      </c>
      <c r="H190" s="1" t="e">
        <f>VLOOKUP(B190,oracle!A:D,3,FALSE)</f>
        <v>#N/A</v>
      </c>
      <c r="I190" s="1" t="e">
        <f>VLOOKUP(B190,oracle!A:D,4,FALSE)</f>
        <v>#N/A</v>
      </c>
    </row>
    <row r="191" spans="1:9">
      <c r="A191" s="1">
        <v>191</v>
      </c>
      <c r="B191" s="1" t="s">
        <v>226</v>
      </c>
      <c r="D191" s="1" t="e">
        <f>VLOOKUP(B191,channelfireball!A:C,2,FALSE)</f>
        <v>#N/A</v>
      </c>
      <c r="E191" s="1" t="e">
        <f>VLOOKUP(B191,channelfireball!A:C,3,FALSE)</f>
        <v>#N/A</v>
      </c>
      <c r="F191" s="1">
        <f>VLOOKUP(B191,smds!B:C,2,FALSE)</f>
        <v>9.6999999999999993</v>
      </c>
      <c r="G191" s="1" t="e">
        <f>VLOOKUP(B191,oracle!A:D,2,FALSE)</f>
        <v>#N/A</v>
      </c>
      <c r="H191" s="1" t="e">
        <f>VLOOKUP(B191,oracle!A:D,3,FALSE)</f>
        <v>#N/A</v>
      </c>
      <c r="I191" s="1" t="e">
        <f>VLOOKUP(B191,oracle!A:D,4,FALSE)</f>
        <v>#N/A</v>
      </c>
    </row>
    <row r="192" spans="1:9">
      <c r="A192" s="1">
        <v>192</v>
      </c>
      <c r="B192" s="1" t="s">
        <v>258</v>
      </c>
      <c r="D192" s="1" t="e">
        <f>VLOOKUP(B192,channelfireball!A:C,2,FALSE)</f>
        <v>#N/A</v>
      </c>
      <c r="E192" s="1" t="e">
        <f>VLOOKUP(B192,channelfireball!A:C,3,FALSE)</f>
        <v>#N/A</v>
      </c>
      <c r="F192" s="1">
        <f>VLOOKUP(B192,smds!B:C,2,FALSE)</f>
        <v>1</v>
      </c>
      <c r="G192" s="1" t="e">
        <f>VLOOKUP(B192,oracle!A:D,2,FALSE)</f>
        <v>#N/A</v>
      </c>
      <c r="H192" s="1" t="e">
        <f>VLOOKUP(B192,oracle!A:D,3,FALSE)</f>
        <v>#N/A</v>
      </c>
      <c r="I192" s="1" t="e">
        <f>VLOOKUP(B192,oracle!A:D,4,FALSE)</f>
        <v>#N/A</v>
      </c>
    </row>
    <row r="193" spans="1:9">
      <c r="A193" s="1">
        <v>193</v>
      </c>
      <c r="B193" s="1" t="s">
        <v>241</v>
      </c>
      <c r="D193" s="1" t="e">
        <f>VLOOKUP(B193,channelfireball!A:C,2,FALSE)</f>
        <v>#N/A</v>
      </c>
      <c r="E193" s="1" t="e">
        <f>VLOOKUP(B193,channelfireball!A:C,3,FALSE)</f>
        <v>#N/A</v>
      </c>
      <c r="F193" s="1">
        <f>VLOOKUP(B193,smds!B:C,2,FALSE)</f>
        <v>1.9</v>
      </c>
      <c r="G193" s="1" t="e">
        <f>VLOOKUP(B193,oracle!A:D,2,FALSE)</f>
        <v>#N/A</v>
      </c>
      <c r="H193" s="1" t="e">
        <f>VLOOKUP(B193,oracle!A:D,3,FALSE)</f>
        <v>#N/A</v>
      </c>
      <c r="I193" s="1" t="e">
        <f>VLOOKUP(B193,oracle!A:D,4,FALSE)</f>
        <v>#N/A</v>
      </c>
    </row>
    <row r="194" spans="1:9">
      <c r="A194" s="1">
        <v>194</v>
      </c>
      <c r="B194" s="1" t="s">
        <v>253</v>
      </c>
      <c r="D194" s="1" t="e">
        <f>VLOOKUP(B194,channelfireball!A:C,2,FALSE)</f>
        <v>#N/A</v>
      </c>
      <c r="E194" s="1" t="e">
        <f>VLOOKUP(B194,channelfireball!A:C,3,FALSE)</f>
        <v>#N/A</v>
      </c>
      <c r="F194" s="1">
        <f>VLOOKUP(B194,smds!B:C,2,FALSE)</f>
        <v>1</v>
      </c>
      <c r="G194" s="1" t="e">
        <f>VLOOKUP(B194,oracle!A:D,2,FALSE)</f>
        <v>#N/A</v>
      </c>
      <c r="H194" s="1" t="e">
        <f>VLOOKUP(B194,oracle!A:D,3,FALSE)</f>
        <v>#N/A</v>
      </c>
      <c r="I194" s="1" t="e">
        <f>VLOOKUP(B194,oracle!A:D,4,FALSE)</f>
        <v>#N/A</v>
      </c>
    </row>
    <row r="195" spans="1:9">
      <c r="A195" s="1">
        <v>195</v>
      </c>
      <c r="B195" s="1" t="s">
        <v>205</v>
      </c>
      <c r="D195" s="1" t="e">
        <f>VLOOKUP(B195,channelfireball!A:C,2,FALSE)</f>
        <v>#N/A</v>
      </c>
      <c r="E195" s="1" t="e">
        <f>VLOOKUP(B195,channelfireball!A:C,3,FALSE)</f>
        <v>#N/A</v>
      </c>
      <c r="F195" s="1">
        <f>VLOOKUP(B195,smds!B:C,2,FALSE)</f>
        <v>1</v>
      </c>
      <c r="G195" s="1" t="e">
        <f>VLOOKUP(B195,oracle!A:D,2,FALSE)</f>
        <v>#N/A</v>
      </c>
      <c r="H195" s="1" t="e">
        <f>VLOOKUP(B195,oracle!A:D,3,FALSE)</f>
        <v>#N/A</v>
      </c>
      <c r="I195" s="1" t="e">
        <f>VLOOKUP(B195,oracle!A:D,4,FALSE)</f>
        <v>#N/A</v>
      </c>
    </row>
    <row r="196" spans="1:9">
      <c r="A196" s="1">
        <v>196</v>
      </c>
      <c r="B196" s="1" t="s">
        <v>206</v>
      </c>
      <c r="D196" s="1" t="e">
        <f>VLOOKUP(B196,channelfireball!A:C,2,FALSE)</f>
        <v>#N/A</v>
      </c>
      <c r="E196" s="1" t="e">
        <f>VLOOKUP(B196,channelfireball!A:C,3,FALSE)</f>
        <v>#N/A</v>
      </c>
      <c r="F196" s="1">
        <f>VLOOKUP(B196,smds!B:C,2,FALSE)</f>
        <v>1</v>
      </c>
      <c r="G196" s="1" t="e">
        <f>VLOOKUP(B196,oracle!A:D,2,FALSE)</f>
        <v>#N/A</v>
      </c>
      <c r="H196" s="1" t="e">
        <f>VLOOKUP(B196,oracle!A:D,3,FALSE)</f>
        <v>#N/A</v>
      </c>
      <c r="I196" s="1" t="e">
        <f>VLOOKUP(B196,oracle!A:D,4,FALSE)</f>
        <v>#N/A</v>
      </c>
    </row>
    <row r="197" spans="1:9">
      <c r="A197" s="1">
        <v>197</v>
      </c>
      <c r="B197" s="1" t="s">
        <v>207</v>
      </c>
      <c r="D197" s="1" t="e">
        <f>VLOOKUP(B197,channelfireball!A:C,2,FALSE)</f>
        <v>#N/A</v>
      </c>
      <c r="E197" s="1" t="e">
        <f>VLOOKUP(B197,channelfireball!A:C,3,FALSE)</f>
        <v>#N/A</v>
      </c>
      <c r="F197" s="1">
        <f>VLOOKUP(B197,smds!B:C,2,FALSE)</f>
        <v>0.9</v>
      </c>
      <c r="G197" s="1" t="e">
        <f>VLOOKUP(B197,oracle!A:D,2,FALSE)</f>
        <v>#N/A</v>
      </c>
      <c r="H197" s="1" t="e">
        <f>VLOOKUP(B197,oracle!A:D,3,FALSE)</f>
        <v>#N/A</v>
      </c>
      <c r="I197" s="1" t="e">
        <f>VLOOKUP(B197,oracle!A:D,4,FALSE)</f>
        <v>#N/A</v>
      </c>
    </row>
    <row r="198" spans="1:9">
      <c r="A198" s="1">
        <v>198</v>
      </c>
      <c r="B198" s="1" t="s">
        <v>256</v>
      </c>
      <c r="D198" s="1" t="e">
        <f>VLOOKUP(B198,channelfireball!A:C,2,FALSE)</f>
        <v>#N/A</v>
      </c>
      <c r="E198" s="1" t="e">
        <f>VLOOKUP(B198,channelfireball!A:C,3,FALSE)</f>
        <v>#N/A</v>
      </c>
      <c r="F198" s="1">
        <f>VLOOKUP(B198,smds!B:C,2,FALSE)</f>
        <v>1</v>
      </c>
      <c r="G198" s="1" t="e">
        <f>VLOOKUP(B198,oracle!A:D,2,FALSE)</f>
        <v>#N/A</v>
      </c>
      <c r="H198" s="1" t="e">
        <f>VLOOKUP(B198,oracle!A:D,3,FALSE)</f>
        <v>#N/A</v>
      </c>
      <c r="I198" s="1" t="e">
        <f>VLOOKUP(B198,oracle!A:D,4,FALSE)</f>
        <v>#N/A</v>
      </c>
    </row>
    <row r="199" spans="1:9">
      <c r="A199" s="1">
        <v>199</v>
      </c>
      <c r="B199" s="1" t="s">
        <v>208</v>
      </c>
      <c r="D199" s="1" t="e">
        <f>VLOOKUP(B199,channelfireball!A:C,2,FALSE)</f>
        <v>#N/A</v>
      </c>
      <c r="E199" s="1" t="e">
        <f>VLOOKUP(B199,channelfireball!A:C,3,FALSE)</f>
        <v>#N/A</v>
      </c>
      <c r="F199" s="1">
        <f>VLOOKUP(B199,smds!B:C,2,FALSE)</f>
        <v>1.3</v>
      </c>
      <c r="G199" s="1" t="e">
        <f>VLOOKUP(B199,oracle!A:D,2,FALSE)</f>
        <v>#N/A</v>
      </c>
      <c r="H199" s="1" t="e">
        <f>VLOOKUP(B199,oracle!A:D,3,FALSE)</f>
        <v>#N/A</v>
      </c>
      <c r="I199" s="1" t="e">
        <f>VLOOKUP(B199,oracle!A:D,4,FALSE)</f>
        <v>#N/A</v>
      </c>
    </row>
    <row r="200" spans="1:9">
      <c r="A200" s="1">
        <v>200</v>
      </c>
      <c r="B200" s="1" t="s">
        <v>236</v>
      </c>
      <c r="D200" s="1" t="e">
        <f>VLOOKUP(B200,channelfireball!A:C,2,FALSE)</f>
        <v>#N/A</v>
      </c>
      <c r="E200" s="1" t="e">
        <f>VLOOKUP(B200,channelfireball!A:C,3,FALSE)</f>
        <v>#N/A</v>
      </c>
      <c r="F200" s="1">
        <f>VLOOKUP(B200,smds!B:C,2,FALSE)</f>
        <v>2.5</v>
      </c>
      <c r="G200" s="1" t="e">
        <f>VLOOKUP(B200,oracle!A:D,2,FALSE)</f>
        <v>#N/A</v>
      </c>
      <c r="H200" s="1" t="e">
        <f>VLOOKUP(B200,oracle!A:D,3,FALSE)</f>
        <v>#N/A</v>
      </c>
      <c r="I200" s="1" t="e">
        <f>VLOOKUP(B200,oracle!A:D,4,FALSE)</f>
        <v>#N/A</v>
      </c>
    </row>
    <row r="201" spans="1:9">
      <c r="A201" s="1">
        <v>201</v>
      </c>
      <c r="B201" s="1" t="s">
        <v>209</v>
      </c>
      <c r="D201" s="1" t="e">
        <f>VLOOKUP(B201,channelfireball!A:C,2,FALSE)</f>
        <v>#N/A</v>
      </c>
      <c r="E201" s="1" t="e">
        <f>VLOOKUP(B201,channelfireball!A:C,3,FALSE)</f>
        <v>#N/A</v>
      </c>
      <c r="F201" s="1">
        <f>VLOOKUP(B201,smds!B:C,2,FALSE)</f>
        <v>1</v>
      </c>
      <c r="G201" s="1" t="e">
        <f>VLOOKUP(B201,oracle!A:D,2,FALSE)</f>
        <v>#N/A</v>
      </c>
      <c r="H201" s="1" t="e">
        <f>VLOOKUP(B201,oracle!A:D,3,FALSE)</f>
        <v>#N/A</v>
      </c>
      <c r="I201" s="1" t="e">
        <f>VLOOKUP(B201,oracle!A:D,4,FALSE)</f>
        <v>#N/A</v>
      </c>
    </row>
    <row r="202" spans="1:9">
      <c r="A202" s="1">
        <v>202</v>
      </c>
      <c r="B202" s="1" t="s">
        <v>210</v>
      </c>
      <c r="D202" s="1" t="e">
        <f>VLOOKUP(B202,channelfireball!A:C,2,FALSE)</f>
        <v>#N/A</v>
      </c>
      <c r="E202" s="1" t="e">
        <f>VLOOKUP(B202,channelfireball!A:C,3,FALSE)</f>
        <v>#N/A</v>
      </c>
      <c r="F202" s="1">
        <f>VLOOKUP(B202,smds!B:C,2,FALSE)</f>
        <v>0.9</v>
      </c>
      <c r="G202" s="1" t="e">
        <f>VLOOKUP(B202,oracle!A:D,2,FALSE)</f>
        <v>#N/A</v>
      </c>
      <c r="H202" s="1" t="e">
        <f>VLOOKUP(B202,oracle!A:D,3,FALSE)</f>
        <v>#N/A</v>
      </c>
      <c r="I202" s="1" t="e">
        <f>VLOOKUP(B202,oracle!A:D,4,FALSE)</f>
        <v>#N/A</v>
      </c>
    </row>
    <row r="203" spans="1:9">
      <c r="A203" s="1">
        <v>203</v>
      </c>
      <c r="B203" s="1" t="s">
        <v>221</v>
      </c>
      <c r="D203" s="1" t="e">
        <f>VLOOKUP(B203,channelfireball!A:C,2,FALSE)</f>
        <v>#N/A</v>
      </c>
      <c r="E203" s="1" t="e">
        <f>VLOOKUP(B203,channelfireball!A:C,3,FALSE)</f>
        <v>#N/A</v>
      </c>
      <c r="F203" s="1">
        <f>VLOOKUP(B203,smds!B:C,2,FALSE)</f>
        <v>1</v>
      </c>
      <c r="G203" s="1" t="e">
        <f>VLOOKUP(B203,oracle!A:D,2,FALSE)</f>
        <v>#N/A</v>
      </c>
      <c r="H203" s="1" t="e">
        <f>VLOOKUP(B203,oracle!A:D,3,FALSE)</f>
        <v>#N/A</v>
      </c>
      <c r="I203" s="1" t="e">
        <f>VLOOKUP(B203,oracle!A:D,4,FALSE)</f>
        <v>#N/A</v>
      </c>
    </row>
    <row r="204" spans="1:9">
      <c r="A204" s="1">
        <v>204</v>
      </c>
      <c r="B204" s="1" t="s">
        <v>239</v>
      </c>
      <c r="D204" s="1" t="e">
        <f>VLOOKUP(B204,channelfireball!A:C,2,FALSE)</f>
        <v>#N/A</v>
      </c>
      <c r="E204" s="1" t="e">
        <f>VLOOKUP(B204,channelfireball!A:C,3,FALSE)</f>
        <v>#N/A</v>
      </c>
      <c r="F204" s="1">
        <f>VLOOKUP(B204,smds!B:C,2,FALSE)</f>
        <v>2</v>
      </c>
      <c r="G204" s="1" t="e">
        <f>VLOOKUP(B204,oracle!A:D,2,FALSE)</f>
        <v>#N/A</v>
      </c>
      <c r="H204" s="1" t="e">
        <f>VLOOKUP(B204,oracle!A:D,3,FALSE)</f>
        <v>#N/A</v>
      </c>
      <c r="I204" s="1" t="e">
        <f>VLOOKUP(B204,oracle!A:D,4,FALSE)</f>
        <v>#N/A</v>
      </c>
    </row>
    <row r="205" spans="1:9">
      <c r="A205" s="1">
        <v>205</v>
      </c>
      <c r="B205" s="1" t="s">
        <v>222</v>
      </c>
      <c r="D205" s="1" t="e">
        <f>VLOOKUP(B205,channelfireball!A:C,2,FALSE)</f>
        <v>#N/A</v>
      </c>
      <c r="E205" s="1" t="e">
        <f>VLOOKUP(B205,channelfireball!A:C,3,FALSE)</f>
        <v>#N/A</v>
      </c>
      <c r="F205" s="1">
        <f>VLOOKUP(B205,smds!B:C,2,FALSE)</f>
        <v>0.6</v>
      </c>
      <c r="G205" s="1" t="e">
        <f>VLOOKUP(B205,oracle!A:D,2,FALSE)</f>
        <v>#N/A</v>
      </c>
      <c r="H205" s="1" t="e">
        <f>VLOOKUP(B205,oracle!A:D,3,FALSE)</f>
        <v>#N/A</v>
      </c>
      <c r="I205" s="1" t="e">
        <f>VLOOKUP(B205,oracle!A:D,4,FALSE)</f>
        <v>#N/A</v>
      </c>
    </row>
  </sheetData>
  <sortState ref="A1:I205">
    <sortCondition ref="A1:A205"/>
  </sortState>
  <phoneticPr fontId="5"/>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A1:F270"/>
  <sheetViews>
    <sheetView zoomScaleNormal="100" workbookViewId="0">
      <selection activeCell="B5" sqref="B5"/>
    </sheetView>
  </sheetViews>
  <sheetFormatPr defaultRowHeight="11.25"/>
  <cols>
    <col min="1" max="16384" width="9" style="15"/>
  </cols>
  <sheetData>
    <row r="1" spans="1:5">
      <c r="A1" s="15" t="s">
        <v>721</v>
      </c>
      <c r="B1" s="15">
        <v>4.5</v>
      </c>
      <c r="C1" s="5" t="s">
        <v>722</v>
      </c>
    </row>
    <row r="2" spans="1:5">
      <c r="A2" s="15" t="s">
        <v>723</v>
      </c>
      <c r="B2" s="15">
        <v>2.5</v>
      </c>
      <c r="C2" s="5" t="s">
        <v>724</v>
      </c>
    </row>
    <row r="3" spans="1:5">
      <c r="A3" s="15" t="s">
        <v>725</v>
      </c>
      <c r="B3" s="15">
        <v>3</v>
      </c>
      <c r="C3" s="5" t="s">
        <v>726</v>
      </c>
    </row>
    <row r="4" spans="1:5">
      <c r="A4" s="15" t="s">
        <v>727</v>
      </c>
      <c r="B4" s="15">
        <v>2.5</v>
      </c>
      <c r="C4" s="15" t="s">
        <v>728</v>
      </c>
    </row>
    <row r="5" spans="1:5">
      <c r="A5" s="15" t="s">
        <v>729</v>
      </c>
      <c r="B5" s="15" t="s">
        <v>730</v>
      </c>
      <c r="C5" s="15" t="s">
        <v>731</v>
      </c>
      <c r="D5" s="15" t="s">
        <v>732</v>
      </c>
      <c r="E5" s="5" t="s">
        <v>733</v>
      </c>
    </row>
    <row r="6" spans="1:5">
      <c r="A6" s="15" t="s">
        <v>734</v>
      </c>
      <c r="B6" s="15" t="s">
        <v>735</v>
      </c>
      <c r="C6" s="5" t="s">
        <v>736</v>
      </c>
    </row>
    <row r="7" spans="1:5">
      <c r="A7" s="15" t="s">
        <v>737</v>
      </c>
      <c r="B7" s="15">
        <v>4</v>
      </c>
      <c r="C7" s="5" t="s">
        <v>738</v>
      </c>
    </row>
    <row r="8" spans="1:5">
      <c r="A8" s="15" t="s">
        <v>739</v>
      </c>
      <c r="B8" s="15">
        <v>3.5</v>
      </c>
      <c r="C8" s="5" t="s">
        <v>740</v>
      </c>
    </row>
    <row r="9" spans="1:5">
      <c r="A9" s="15" t="s">
        <v>741</v>
      </c>
      <c r="B9" s="15">
        <v>2</v>
      </c>
      <c r="C9" s="5" t="s">
        <v>742</v>
      </c>
    </row>
    <row r="10" spans="1:5">
      <c r="A10" s="15" t="s">
        <v>743</v>
      </c>
      <c r="B10" s="15">
        <v>0.5</v>
      </c>
      <c r="C10" s="15" t="s">
        <v>744</v>
      </c>
    </row>
    <row r="11" spans="1:5">
      <c r="A11" s="15" t="s">
        <v>745</v>
      </c>
      <c r="B11" s="15">
        <v>3</v>
      </c>
      <c r="C11" s="5" t="s">
        <v>746</v>
      </c>
    </row>
    <row r="12" spans="1:5">
      <c r="A12" s="15" t="s">
        <v>747</v>
      </c>
      <c r="B12" s="15">
        <v>3.5</v>
      </c>
      <c r="C12" s="5" t="s">
        <v>748</v>
      </c>
    </row>
    <row r="13" spans="1:5">
      <c r="A13" s="15" t="s">
        <v>749</v>
      </c>
      <c r="B13" s="15" t="s">
        <v>750</v>
      </c>
      <c r="C13" s="5" t="s">
        <v>751</v>
      </c>
    </row>
    <row r="14" spans="1:5">
      <c r="A14" s="15" t="s">
        <v>752</v>
      </c>
      <c r="B14" s="15">
        <v>2</v>
      </c>
      <c r="C14" s="15" t="s">
        <v>753</v>
      </c>
    </row>
    <row r="15" spans="1:5">
      <c r="A15" s="15" t="s">
        <v>754</v>
      </c>
      <c r="B15" s="15">
        <v>3.5</v>
      </c>
      <c r="C15" s="5" t="s">
        <v>755</v>
      </c>
    </row>
    <row r="16" spans="1:5">
      <c r="A16" s="15" t="s">
        <v>756</v>
      </c>
      <c r="B16" s="15">
        <v>1.5</v>
      </c>
      <c r="C16" s="5" t="s">
        <v>757</v>
      </c>
    </row>
    <row r="17" spans="1:3">
      <c r="A17" s="15" t="s">
        <v>758</v>
      </c>
      <c r="B17" s="15">
        <v>2.5</v>
      </c>
      <c r="C17" s="15" t="s">
        <v>759</v>
      </c>
    </row>
    <row r="18" spans="1:3">
      <c r="A18" s="15" t="s">
        <v>760</v>
      </c>
      <c r="B18" s="15">
        <v>0.5</v>
      </c>
      <c r="C18" s="5" t="s">
        <v>761</v>
      </c>
    </row>
    <row r="19" spans="1:3">
      <c r="A19" s="15" t="s">
        <v>762</v>
      </c>
      <c r="B19" s="15">
        <v>2</v>
      </c>
      <c r="C19" s="15" t="s">
        <v>763</v>
      </c>
    </row>
    <row r="20" spans="1:3">
      <c r="A20" s="15" t="s">
        <v>764</v>
      </c>
      <c r="B20" s="15">
        <v>1.5</v>
      </c>
      <c r="C20" s="5" t="s">
        <v>765</v>
      </c>
    </row>
    <row r="21" spans="1:3">
      <c r="A21" s="15" t="s">
        <v>766</v>
      </c>
      <c r="B21" s="15">
        <v>3.5</v>
      </c>
      <c r="C21" s="5" t="s">
        <v>767</v>
      </c>
    </row>
    <row r="22" spans="1:3">
      <c r="A22" s="15" t="s">
        <v>768</v>
      </c>
      <c r="B22" s="15">
        <v>2</v>
      </c>
      <c r="C22" s="5" t="s">
        <v>769</v>
      </c>
    </row>
    <row r="23" spans="1:3">
      <c r="A23" s="15" t="s">
        <v>770</v>
      </c>
      <c r="B23" s="15" t="s">
        <v>771</v>
      </c>
      <c r="C23" s="5" t="s">
        <v>772</v>
      </c>
    </row>
    <row r="24" spans="1:3">
      <c r="A24" s="15" t="s">
        <v>773</v>
      </c>
      <c r="B24" s="15">
        <v>2.5</v>
      </c>
      <c r="C24" s="5" t="s">
        <v>774</v>
      </c>
    </row>
    <row r="25" spans="1:3">
      <c r="A25" s="15" t="s">
        <v>775</v>
      </c>
      <c r="B25" s="15">
        <v>2</v>
      </c>
      <c r="C25" s="5" t="s">
        <v>776</v>
      </c>
    </row>
    <row r="26" spans="1:3">
      <c r="A26" s="15" t="s">
        <v>777</v>
      </c>
      <c r="B26" s="15">
        <v>1.5</v>
      </c>
      <c r="C26" s="15" t="s">
        <v>778</v>
      </c>
    </row>
    <row r="27" spans="1:3">
      <c r="A27" s="15" t="s">
        <v>779</v>
      </c>
      <c r="B27" s="15">
        <v>2.5</v>
      </c>
      <c r="C27" s="5" t="s">
        <v>780</v>
      </c>
    </row>
    <row r="28" spans="1:3">
      <c r="A28" s="15" t="s">
        <v>781</v>
      </c>
      <c r="B28" s="15" t="s">
        <v>782</v>
      </c>
      <c r="C28" s="5" t="s">
        <v>783</v>
      </c>
    </row>
    <row r="29" spans="1:3">
      <c r="A29" s="15" t="s">
        <v>784</v>
      </c>
      <c r="B29" s="15">
        <v>3.5</v>
      </c>
      <c r="C29" s="5" t="s">
        <v>785</v>
      </c>
    </row>
    <row r="30" spans="1:3">
      <c r="A30" s="15" t="s">
        <v>786</v>
      </c>
      <c r="B30" s="15">
        <v>1</v>
      </c>
      <c r="C30" s="5" t="s">
        <v>787</v>
      </c>
    </row>
    <row r="31" spans="1:3">
      <c r="A31" s="15" t="s">
        <v>788</v>
      </c>
      <c r="B31" s="15" t="s">
        <v>789</v>
      </c>
      <c r="C31" s="5" t="s">
        <v>790</v>
      </c>
    </row>
    <row r="32" spans="1:3">
      <c r="A32" s="15" t="s">
        <v>791</v>
      </c>
      <c r="B32" s="15">
        <v>0.5</v>
      </c>
      <c r="C32" s="5" t="s">
        <v>792</v>
      </c>
    </row>
    <row r="33" spans="1:3">
      <c r="A33" s="15" t="s">
        <v>793</v>
      </c>
      <c r="B33" s="15">
        <v>2</v>
      </c>
      <c r="C33" s="5" t="s">
        <v>794</v>
      </c>
    </row>
    <row r="34" spans="1:3">
      <c r="A34" s="15" t="s">
        <v>795</v>
      </c>
      <c r="B34" s="15">
        <v>3.5</v>
      </c>
      <c r="C34" s="5" t="s">
        <v>796</v>
      </c>
    </row>
    <row r="35" spans="1:3">
      <c r="A35" s="15" t="s">
        <v>797</v>
      </c>
      <c r="B35" s="15">
        <v>3</v>
      </c>
      <c r="C35" s="5" t="s">
        <v>798</v>
      </c>
    </row>
    <row r="36" spans="1:3">
      <c r="A36" s="15" t="s">
        <v>799</v>
      </c>
      <c r="B36" s="15">
        <v>3</v>
      </c>
      <c r="C36" s="5" t="s">
        <v>800</v>
      </c>
    </row>
    <row r="37" spans="1:3">
      <c r="A37" s="15" t="s">
        <v>801</v>
      </c>
      <c r="B37" s="15">
        <v>2</v>
      </c>
      <c r="C37" s="15" t="s">
        <v>802</v>
      </c>
    </row>
    <row r="38" spans="1:3">
      <c r="A38" s="15" t="s">
        <v>803</v>
      </c>
      <c r="B38" s="15">
        <v>3</v>
      </c>
      <c r="C38" s="5" t="s">
        <v>804</v>
      </c>
    </row>
    <row r="39" spans="1:3">
      <c r="A39" s="15" t="s">
        <v>805</v>
      </c>
      <c r="B39" s="15">
        <v>1</v>
      </c>
      <c r="C39" s="15" t="s">
        <v>806</v>
      </c>
    </row>
    <row r="40" spans="1:3">
      <c r="A40" s="15" t="s">
        <v>807</v>
      </c>
      <c r="B40" s="15">
        <v>1.5</v>
      </c>
      <c r="C40" s="15" t="s">
        <v>808</v>
      </c>
    </row>
    <row r="41" spans="1:3">
      <c r="A41" s="15" t="s">
        <v>809</v>
      </c>
      <c r="B41" s="15">
        <v>1.5</v>
      </c>
      <c r="C41" s="5" t="s">
        <v>810</v>
      </c>
    </row>
    <row r="42" spans="1:3">
      <c r="A42" s="15" t="s">
        <v>811</v>
      </c>
      <c r="B42" s="15">
        <v>2.5</v>
      </c>
      <c r="C42" s="5" t="s">
        <v>812</v>
      </c>
    </row>
    <row r="43" spans="1:3">
      <c r="A43" s="15" t="s">
        <v>813</v>
      </c>
      <c r="B43" s="15">
        <v>3.5</v>
      </c>
      <c r="C43" s="5" t="s">
        <v>814</v>
      </c>
    </row>
    <row r="44" spans="1:3">
      <c r="A44" s="15" t="s">
        <v>815</v>
      </c>
      <c r="B44" s="15">
        <v>2.5</v>
      </c>
      <c r="C44" s="5" t="s">
        <v>816</v>
      </c>
    </row>
    <row r="45" spans="1:3">
      <c r="A45" s="15" t="s">
        <v>817</v>
      </c>
      <c r="B45" s="15" t="s">
        <v>818</v>
      </c>
      <c r="C45" s="5" t="s">
        <v>819</v>
      </c>
    </row>
    <row r="46" spans="1:3">
      <c r="A46" s="15" t="s">
        <v>820</v>
      </c>
      <c r="B46" s="15">
        <v>2.5</v>
      </c>
      <c r="C46" s="15" t="s">
        <v>821</v>
      </c>
    </row>
    <row r="47" spans="1:3">
      <c r="A47" s="15" t="s">
        <v>822</v>
      </c>
      <c r="B47" s="15">
        <v>2.5</v>
      </c>
      <c r="C47" s="5" t="s">
        <v>823</v>
      </c>
    </row>
    <row r="48" spans="1:3">
      <c r="A48" s="15" t="s">
        <v>824</v>
      </c>
      <c r="B48" s="15">
        <v>2.5</v>
      </c>
      <c r="C48" s="5" t="s">
        <v>825</v>
      </c>
    </row>
    <row r="49" spans="1:3">
      <c r="A49" s="15" t="s">
        <v>826</v>
      </c>
      <c r="B49" s="15">
        <v>3.5</v>
      </c>
      <c r="C49" s="5" t="s">
        <v>827</v>
      </c>
    </row>
    <row r="50" spans="1:3">
      <c r="A50" s="15" t="s">
        <v>828</v>
      </c>
      <c r="B50" s="15">
        <v>2</v>
      </c>
      <c r="C50" s="5" t="s">
        <v>829</v>
      </c>
    </row>
    <row r="51" spans="1:3">
      <c r="A51" s="15" t="s">
        <v>830</v>
      </c>
      <c r="B51" s="15">
        <v>2</v>
      </c>
      <c r="C51" s="15" t="s">
        <v>831</v>
      </c>
    </row>
    <row r="52" spans="1:3">
      <c r="A52" s="15" t="s">
        <v>832</v>
      </c>
      <c r="B52" s="15">
        <v>3</v>
      </c>
      <c r="C52" s="5" t="s">
        <v>833</v>
      </c>
    </row>
    <row r="53" spans="1:3">
      <c r="A53" s="15" t="s">
        <v>834</v>
      </c>
      <c r="B53" s="15">
        <v>3</v>
      </c>
      <c r="C53" s="5" t="s">
        <v>835</v>
      </c>
    </row>
    <row r="54" spans="1:3">
      <c r="A54" s="15" t="s">
        <v>836</v>
      </c>
      <c r="B54" s="15">
        <v>3</v>
      </c>
      <c r="C54" s="5" t="s">
        <v>837</v>
      </c>
    </row>
    <row r="55" spans="1:3">
      <c r="A55" s="15" t="s">
        <v>838</v>
      </c>
      <c r="B55" s="15">
        <v>1.5</v>
      </c>
      <c r="C55" s="15" t="s">
        <v>839</v>
      </c>
    </row>
    <row r="56" spans="1:3">
      <c r="A56" s="15" t="s">
        <v>840</v>
      </c>
      <c r="B56" s="15">
        <v>3</v>
      </c>
      <c r="C56" s="15" t="s">
        <v>841</v>
      </c>
    </row>
    <row r="57" spans="1:3">
      <c r="A57" s="15" t="s">
        <v>842</v>
      </c>
      <c r="B57" s="15">
        <v>3</v>
      </c>
      <c r="C57" s="5" t="s">
        <v>843</v>
      </c>
    </row>
    <row r="58" spans="1:3">
      <c r="A58" s="15" t="s">
        <v>844</v>
      </c>
      <c r="B58" s="15">
        <v>1.5</v>
      </c>
      <c r="C58" s="5" t="s">
        <v>845</v>
      </c>
    </row>
    <row r="59" spans="1:3">
      <c r="A59" s="15" t="s">
        <v>846</v>
      </c>
      <c r="B59" s="15">
        <v>2.5</v>
      </c>
      <c r="C59" s="5" t="s">
        <v>847</v>
      </c>
    </row>
    <row r="60" spans="1:3">
      <c r="A60" s="15" t="s">
        <v>848</v>
      </c>
      <c r="B60" s="15">
        <v>3</v>
      </c>
      <c r="C60" s="5" t="s">
        <v>849</v>
      </c>
    </row>
    <row r="61" spans="1:3">
      <c r="A61" s="15" t="s">
        <v>850</v>
      </c>
      <c r="B61" s="15">
        <v>1.5</v>
      </c>
      <c r="C61" s="5" t="s">
        <v>851</v>
      </c>
    </row>
    <row r="62" spans="1:3">
      <c r="A62" s="15" t="s">
        <v>852</v>
      </c>
      <c r="B62" s="15" t="s">
        <v>818</v>
      </c>
      <c r="C62" s="5" t="s">
        <v>853</v>
      </c>
    </row>
    <row r="63" spans="1:3">
      <c r="A63" s="15" t="s">
        <v>854</v>
      </c>
      <c r="B63" s="15">
        <v>4</v>
      </c>
      <c r="C63" s="5" t="s">
        <v>855</v>
      </c>
    </row>
    <row r="64" spans="1:3">
      <c r="A64" s="15" t="s">
        <v>856</v>
      </c>
      <c r="B64" s="15">
        <v>2.5</v>
      </c>
      <c r="C64" s="15" t="s">
        <v>857</v>
      </c>
    </row>
    <row r="65" spans="1:3">
      <c r="A65" s="15" t="s">
        <v>858</v>
      </c>
      <c r="B65" s="15">
        <v>4</v>
      </c>
      <c r="C65" s="5" t="s">
        <v>859</v>
      </c>
    </row>
    <row r="66" spans="1:3">
      <c r="A66" s="15" t="s">
        <v>860</v>
      </c>
      <c r="B66" s="15">
        <v>3</v>
      </c>
      <c r="C66" s="5" t="s">
        <v>861</v>
      </c>
    </row>
    <row r="67" spans="1:3">
      <c r="A67" s="15" t="s">
        <v>862</v>
      </c>
      <c r="B67" s="15">
        <v>2.5</v>
      </c>
      <c r="C67" s="5" t="s">
        <v>863</v>
      </c>
    </row>
    <row r="68" spans="1:3">
      <c r="A68" s="15" t="s">
        <v>864</v>
      </c>
      <c r="B68" s="15">
        <v>0.5</v>
      </c>
      <c r="C68" s="15" t="s">
        <v>865</v>
      </c>
    </row>
    <row r="69" spans="1:3">
      <c r="A69" s="15" t="s">
        <v>866</v>
      </c>
      <c r="B69" s="15">
        <v>4.5</v>
      </c>
      <c r="C69" s="5" t="s">
        <v>867</v>
      </c>
    </row>
    <row r="70" spans="1:3">
      <c r="A70" s="15" t="s">
        <v>868</v>
      </c>
      <c r="B70" s="15">
        <v>2.5</v>
      </c>
      <c r="C70" s="5" t="s">
        <v>869</v>
      </c>
    </row>
    <row r="71" spans="1:3">
      <c r="A71" s="15" t="s">
        <v>870</v>
      </c>
      <c r="B71" s="15">
        <v>3</v>
      </c>
      <c r="C71" s="5" t="s">
        <v>871</v>
      </c>
    </row>
    <row r="72" spans="1:3">
      <c r="A72" s="15" t="s">
        <v>872</v>
      </c>
      <c r="B72" s="15">
        <v>2</v>
      </c>
      <c r="C72" s="15" t="s">
        <v>873</v>
      </c>
    </row>
    <row r="73" spans="1:3">
      <c r="A73" s="15" t="s">
        <v>874</v>
      </c>
      <c r="B73" s="15">
        <v>1</v>
      </c>
      <c r="C73" s="5" t="s">
        <v>875</v>
      </c>
    </row>
    <row r="74" spans="1:3">
      <c r="A74" s="15" t="s">
        <v>876</v>
      </c>
      <c r="B74" s="15">
        <v>1.5</v>
      </c>
      <c r="C74" s="5" t="s">
        <v>877</v>
      </c>
    </row>
    <row r="75" spans="1:3">
      <c r="A75" s="15" t="s">
        <v>878</v>
      </c>
      <c r="B75" s="15">
        <v>2.5</v>
      </c>
      <c r="C75" s="5" t="s">
        <v>879</v>
      </c>
    </row>
    <row r="76" spans="1:3">
      <c r="A76" s="15" t="s">
        <v>880</v>
      </c>
      <c r="B76" s="15">
        <v>3</v>
      </c>
      <c r="C76" s="5" t="s">
        <v>881</v>
      </c>
    </row>
    <row r="77" spans="1:3">
      <c r="A77" s="15" t="s">
        <v>882</v>
      </c>
      <c r="B77" s="15" t="s">
        <v>883</v>
      </c>
      <c r="C77" s="5" t="s">
        <v>884</v>
      </c>
    </row>
    <row r="78" spans="1:3">
      <c r="A78" s="15" t="s">
        <v>885</v>
      </c>
      <c r="B78" s="15">
        <v>1</v>
      </c>
      <c r="C78" s="5" t="s">
        <v>886</v>
      </c>
    </row>
    <row r="79" spans="1:3">
      <c r="A79" s="15" t="s">
        <v>887</v>
      </c>
      <c r="B79" s="15">
        <v>3.5</v>
      </c>
      <c r="C79" s="5" t="s">
        <v>888</v>
      </c>
    </row>
    <row r="80" spans="1:3">
      <c r="A80" s="15" t="s">
        <v>889</v>
      </c>
      <c r="B80" s="15">
        <v>1.5</v>
      </c>
      <c r="C80" s="15" t="s">
        <v>890</v>
      </c>
    </row>
    <row r="81" spans="1:3">
      <c r="A81" s="15" t="s">
        <v>891</v>
      </c>
      <c r="B81" s="15">
        <v>3.5</v>
      </c>
      <c r="C81" s="5" t="s">
        <v>892</v>
      </c>
    </row>
    <row r="82" spans="1:3">
      <c r="A82" s="15" t="s">
        <v>893</v>
      </c>
      <c r="B82" s="15">
        <v>4</v>
      </c>
      <c r="C82" s="15" t="s">
        <v>894</v>
      </c>
    </row>
    <row r="83" spans="1:3">
      <c r="A83" s="15" t="s">
        <v>895</v>
      </c>
      <c r="B83" s="15" t="s">
        <v>896</v>
      </c>
      <c r="C83" s="5" t="s">
        <v>897</v>
      </c>
    </row>
    <row r="84" spans="1:3">
      <c r="A84" s="15" t="s">
        <v>898</v>
      </c>
      <c r="B84" s="15">
        <v>1</v>
      </c>
      <c r="C84" s="15" t="s">
        <v>899</v>
      </c>
    </row>
    <row r="85" spans="1:3">
      <c r="A85" s="15" t="s">
        <v>900</v>
      </c>
      <c r="B85" s="15" t="s">
        <v>901</v>
      </c>
      <c r="C85" s="5" t="s">
        <v>902</v>
      </c>
    </row>
    <row r="86" spans="1:3">
      <c r="A86" s="15" t="s">
        <v>903</v>
      </c>
      <c r="B86" s="15">
        <v>3</v>
      </c>
      <c r="C86" s="5" t="s">
        <v>904</v>
      </c>
    </row>
    <row r="87" spans="1:3">
      <c r="A87" s="15" t="s">
        <v>905</v>
      </c>
      <c r="B87" s="15">
        <v>3.5</v>
      </c>
      <c r="C87" s="15" t="s">
        <v>906</v>
      </c>
    </row>
    <row r="88" spans="1:3">
      <c r="A88" s="15" t="s">
        <v>907</v>
      </c>
      <c r="B88" s="15">
        <v>3.5</v>
      </c>
      <c r="C88" s="5" t="s">
        <v>908</v>
      </c>
    </row>
    <row r="89" spans="1:3">
      <c r="A89" s="15" t="s">
        <v>909</v>
      </c>
      <c r="B89" s="15">
        <v>2</v>
      </c>
      <c r="C89" s="5" t="s">
        <v>910</v>
      </c>
    </row>
    <row r="90" spans="1:3">
      <c r="A90" s="15" t="s">
        <v>911</v>
      </c>
      <c r="B90" s="15">
        <v>3.5</v>
      </c>
      <c r="C90" s="5" t="s">
        <v>912</v>
      </c>
    </row>
    <row r="91" spans="1:3">
      <c r="A91" s="15" t="s">
        <v>913</v>
      </c>
      <c r="B91" s="15">
        <v>2.5</v>
      </c>
      <c r="C91" s="5" t="s">
        <v>914</v>
      </c>
    </row>
    <row r="92" spans="1:3">
      <c r="A92" s="15" t="s">
        <v>915</v>
      </c>
      <c r="B92" s="15" t="s">
        <v>896</v>
      </c>
      <c r="C92" s="15" t="s">
        <v>916</v>
      </c>
    </row>
    <row r="93" spans="1:3">
      <c r="A93" s="15" t="s">
        <v>917</v>
      </c>
      <c r="B93" s="15">
        <v>2</v>
      </c>
      <c r="C93" s="5" t="s">
        <v>918</v>
      </c>
    </row>
    <row r="94" spans="1:3">
      <c r="A94" s="15" t="s">
        <v>919</v>
      </c>
      <c r="B94" s="15">
        <v>2.5</v>
      </c>
      <c r="C94" s="5" t="s">
        <v>920</v>
      </c>
    </row>
    <row r="95" spans="1:3">
      <c r="A95" s="15" t="s">
        <v>921</v>
      </c>
      <c r="B95" s="15">
        <v>1.5</v>
      </c>
      <c r="C95" s="5" t="s">
        <v>922</v>
      </c>
    </row>
    <row r="96" spans="1:3">
      <c r="A96" s="15" t="s">
        <v>923</v>
      </c>
      <c r="B96" s="15">
        <v>4</v>
      </c>
      <c r="C96" s="15" t="s">
        <v>924</v>
      </c>
    </row>
    <row r="97" spans="1:3">
      <c r="A97" s="15" t="s">
        <v>925</v>
      </c>
      <c r="B97" s="15">
        <v>3.5</v>
      </c>
      <c r="C97" s="5" t="s">
        <v>926</v>
      </c>
    </row>
    <row r="98" spans="1:3">
      <c r="A98" s="15" t="s">
        <v>927</v>
      </c>
      <c r="B98" s="15">
        <v>1</v>
      </c>
      <c r="C98" s="5" t="s">
        <v>928</v>
      </c>
    </row>
    <row r="99" spans="1:3">
      <c r="A99" s="15" t="s">
        <v>929</v>
      </c>
      <c r="B99" s="15">
        <v>3.5</v>
      </c>
      <c r="C99" s="5" t="s">
        <v>930</v>
      </c>
    </row>
    <row r="100" spans="1:3">
      <c r="A100" s="15" t="s">
        <v>931</v>
      </c>
      <c r="B100" s="15">
        <v>1.5</v>
      </c>
      <c r="C100" s="5" t="s">
        <v>932</v>
      </c>
    </row>
    <row r="101" spans="1:3">
      <c r="A101" s="15" t="s">
        <v>933</v>
      </c>
      <c r="B101" s="15">
        <v>1</v>
      </c>
      <c r="C101" s="5" t="s">
        <v>934</v>
      </c>
    </row>
    <row r="102" spans="1:3">
      <c r="A102" s="15" t="s">
        <v>935</v>
      </c>
      <c r="B102" s="15">
        <v>1.5</v>
      </c>
      <c r="C102" s="5" t="s">
        <v>936</v>
      </c>
    </row>
    <row r="103" spans="1:3">
      <c r="A103" s="15" t="s">
        <v>937</v>
      </c>
      <c r="B103" s="15">
        <v>2.5</v>
      </c>
      <c r="C103" s="5" t="s">
        <v>938</v>
      </c>
    </row>
    <row r="104" spans="1:3">
      <c r="A104" s="15" t="s">
        <v>939</v>
      </c>
      <c r="B104" s="15">
        <v>1</v>
      </c>
      <c r="C104" s="5" t="s">
        <v>940</v>
      </c>
    </row>
    <row r="105" spans="1:3">
      <c r="A105" s="15" t="s">
        <v>941</v>
      </c>
      <c r="B105" s="15">
        <v>3</v>
      </c>
      <c r="C105" s="15" t="s">
        <v>942</v>
      </c>
    </row>
    <row r="106" spans="1:3">
      <c r="A106" s="15" t="s">
        <v>943</v>
      </c>
      <c r="B106" s="15">
        <v>3.5</v>
      </c>
      <c r="C106" s="5" t="s">
        <v>944</v>
      </c>
    </row>
    <row r="107" spans="1:3">
      <c r="A107" s="15" t="s">
        <v>945</v>
      </c>
      <c r="B107" s="15">
        <v>4</v>
      </c>
      <c r="C107" s="5" t="s">
        <v>946</v>
      </c>
    </row>
    <row r="108" spans="1:3">
      <c r="A108" s="15" t="s">
        <v>947</v>
      </c>
      <c r="B108" s="15">
        <v>4</v>
      </c>
      <c r="C108" s="5" t="s">
        <v>948</v>
      </c>
    </row>
    <row r="109" spans="1:3">
      <c r="A109" s="15" t="s">
        <v>949</v>
      </c>
      <c r="B109" s="15">
        <v>3</v>
      </c>
      <c r="C109" s="5" t="s">
        <v>950</v>
      </c>
    </row>
    <row r="110" spans="1:3">
      <c r="A110" s="15" t="s">
        <v>951</v>
      </c>
      <c r="B110" s="15">
        <v>3</v>
      </c>
      <c r="C110" s="5" t="s">
        <v>952</v>
      </c>
    </row>
    <row r="111" spans="1:3">
      <c r="A111" s="15" t="s">
        <v>953</v>
      </c>
      <c r="B111" s="15">
        <v>4</v>
      </c>
      <c r="C111" s="5" t="s">
        <v>954</v>
      </c>
    </row>
    <row r="112" spans="1:3">
      <c r="A112" s="15" t="s">
        <v>955</v>
      </c>
      <c r="B112" s="15">
        <v>3</v>
      </c>
      <c r="C112" s="5" t="s">
        <v>956</v>
      </c>
    </row>
    <row r="113" spans="1:3">
      <c r="A113" s="15" t="s">
        <v>957</v>
      </c>
      <c r="B113" s="15">
        <v>3</v>
      </c>
      <c r="C113" s="5" t="s">
        <v>958</v>
      </c>
    </row>
    <row r="114" spans="1:3">
      <c r="A114" s="15" t="s">
        <v>959</v>
      </c>
      <c r="B114" s="15">
        <v>3.5</v>
      </c>
      <c r="C114" s="15" t="s">
        <v>960</v>
      </c>
    </row>
    <row r="115" spans="1:3">
      <c r="A115" s="15" t="s">
        <v>961</v>
      </c>
      <c r="B115" s="15">
        <v>2</v>
      </c>
      <c r="C115" s="5" t="s">
        <v>962</v>
      </c>
    </row>
    <row r="116" spans="1:3">
      <c r="A116" s="15" t="s">
        <v>963</v>
      </c>
      <c r="B116" s="15">
        <v>3.5</v>
      </c>
      <c r="C116" s="15" t="s">
        <v>964</v>
      </c>
    </row>
    <row r="117" spans="1:3">
      <c r="A117" s="15" t="s">
        <v>965</v>
      </c>
      <c r="B117" s="15">
        <v>1</v>
      </c>
      <c r="C117" s="15" t="s">
        <v>966</v>
      </c>
    </row>
    <row r="118" spans="1:3">
      <c r="A118" s="15" t="s">
        <v>967</v>
      </c>
      <c r="B118" s="15" t="s">
        <v>968</v>
      </c>
      <c r="C118" s="5" t="s">
        <v>969</v>
      </c>
    </row>
    <row r="119" spans="1:3">
      <c r="A119" s="15" t="s">
        <v>970</v>
      </c>
      <c r="B119" s="15">
        <v>3.5</v>
      </c>
      <c r="C119" s="5" t="s">
        <v>971</v>
      </c>
    </row>
    <row r="120" spans="1:3">
      <c r="A120" s="15" t="s">
        <v>972</v>
      </c>
      <c r="B120" s="15">
        <v>1</v>
      </c>
      <c r="C120" s="5" t="s">
        <v>973</v>
      </c>
    </row>
    <row r="121" spans="1:3">
      <c r="A121" s="15" t="s">
        <v>974</v>
      </c>
      <c r="B121" s="15">
        <v>2.5</v>
      </c>
      <c r="C121" s="5" t="s">
        <v>975</v>
      </c>
    </row>
    <row r="122" spans="1:3">
      <c r="A122" s="15" t="s">
        <v>976</v>
      </c>
      <c r="B122" s="15">
        <v>3.5</v>
      </c>
      <c r="C122" s="5" t="s">
        <v>977</v>
      </c>
    </row>
    <row r="123" spans="1:3">
      <c r="A123" s="15" t="s">
        <v>978</v>
      </c>
      <c r="B123" s="15">
        <v>1.5</v>
      </c>
      <c r="C123" s="5" t="s">
        <v>979</v>
      </c>
    </row>
    <row r="124" spans="1:3">
      <c r="A124" s="15" t="s">
        <v>980</v>
      </c>
      <c r="B124" s="15" t="s">
        <v>981</v>
      </c>
      <c r="C124" s="5" t="s">
        <v>982</v>
      </c>
    </row>
    <row r="125" spans="1:3">
      <c r="A125" s="15" t="s">
        <v>983</v>
      </c>
      <c r="B125" s="15">
        <v>2.5</v>
      </c>
      <c r="C125" s="15" t="s">
        <v>984</v>
      </c>
    </row>
    <row r="126" spans="1:3">
      <c r="A126" s="15" t="s">
        <v>985</v>
      </c>
      <c r="B126" s="15">
        <v>3</v>
      </c>
      <c r="C126" s="5" t="s">
        <v>986</v>
      </c>
    </row>
    <row r="127" spans="1:3">
      <c r="A127" s="15" t="s">
        <v>987</v>
      </c>
      <c r="B127" s="15">
        <v>3</v>
      </c>
      <c r="C127" s="5" t="s">
        <v>988</v>
      </c>
    </row>
    <row r="128" spans="1:3">
      <c r="A128" s="15" t="s">
        <v>989</v>
      </c>
      <c r="B128" s="15">
        <v>2</v>
      </c>
      <c r="C128" s="5" t="s">
        <v>990</v>
      </c>
    </row>
    <row r="129" spans="1:3">
      <c r="A129" s="15" t="s">
        <v>991</v>
      </c>
      <c r="B129" s="15">
        <v>1</v>
      </c>
      <c r="C129" s="15" t="s">
        <v>992</v>
      </c>
    </row>
    <row r="130" spans="1:3">
      <c r="A130" s="15" t="s">
        <v>993</v>
      </c>
      <c r="B130" s="15">
        <v>3</v>
      </c>
      <c r="C130" s="5" t="s">
        <v>994</v>
      </c>
    </row>
    <row r="131" spans="1:3">
      <c r="A131" s="15" t="s">
        <v>995</v>
      </c>
      <c r="B131" s="15">
        <v>4</v>
      </c>
      <c r="C131" s="5" t="s">
        <v>996</v>
      </c>
    </row>
    <row r="132" spans="1:3">
      <c r="A132" s="15" t="s">
        <v>997</v>
      </c>
      <c r="B132" s="15">
        <v>1.5</v>
      </c>
      <c r="C132" s="5" t="s">
        <v>998</v>
      </c>
    </row>
    <row r="133" spans="1:3">
      <c r="A133" s="15" t="s">
        <v>999</v>
      </c>
      <c r="B133" s="15">
        <v>1</v>
      </c>
      <c r="C133" s="5" t="s">
        <v>1000</v>
      </c>
    </row>
    <row r="134" spans="1:3">
      <c r="A134" s="15" t="s">
        <v>1001</v>
      </c>
      <c r="B134" s="15">
        <v>1.5</v>
      </c>
      <c r="C134" s="5" t="s">
        <v>1002</v>
      </c>
    </row>
    <row r="135" spans="1:3">
      <c r="A135" s="15" t="s">
        <v>1003</v>
      </c>
      <c r="B135" s="15">
        <v>3.5</v>
      </c>
      <c r="C135" s="5" t="s">
        <v>1004</v>
      </c>
    </row>
    <row r="136" spans="1:3">
      <c r="A136" s="15" t="s">
        <v>1005</v>
      </c>
      <c r="B136" s="15">
        <v>1.5</v>
      </c>
      <c r="C136" s="5" t="s">
        <v>1006</v>
      </c>
    </row>
    <row r="137" spans="1:3">
      <c r="A137" s="15" t="s">
        <v>1007</v>
      </c>
      <c r="B137" s="15">
        <v>1</v>
      </c>
      <c r="C137" s="15" t="s">
        <v>1008</v>
      </c>
    </row>
    <row r="138" spans="1:3">
      <c r="A138" s="15" t="s">
        <v>1009</v>
      </c>
      <c r="B138" s="15">
        <v>2</v>
      </c>
      <c r="C138" s="15" t="s">
        <v>1010</v>
      </c>
    </row>
    <row r="139" spans="1:3">
      <c r="A139" s="15" t="s">
        <v>1011</v>
      </c>
      <c r="B139" s="15">
        <v>1</v>
      </c>
      <c r="C139" s="5" t="s">
        <v>1012</v>
      </c>
    </row>
    <row r="140" spans="1:3">
      <c r="A140" s="15" t="s">
        <v>1013</v>
      </c>
      <c r="B140" s="15">
        <v>3</v>
      </c>
      <c r="C140" s="5" t="s">
        <v>1014</v>
      </c>
    </row>
    <row r="141" spans="1:3">
      <c r="A141" s="15" t="s">
        <v>1015</v>
      </c>
      <c r="B141" s="15" t="s">
        <v>1016</v>
      </c>
      <c r="C141" s="5" t="s">
        <v>1017</v>
      </c>
    </row>
    <row r="142" spans="1:3">
      <c r="A142" s="15" t="s">
        <v>1018</v>
      </c>
      <c r="B142" s="15">
        <v>2</v>
      </c>
      <c r="C142" s="5" t="s">
        <v>1019</v>
      </c>
    </row>
    <row r="143" spans="1:3">
      <c r="A143" s="15" t="s">
        <v>1020</v>
      </c>
      <c r="B143" s="15">
        <v>1</v>
      </c>
      <c r="C143" s="15" t="s">
        <v>1021</v>
      </c>
    </row>
    <row r="144" spans="1:3">
      <c r="A144" s="15" t="s">
        <v>1022</v>
      </c>
      <c r="B144" s="15">
        <v>2</v>
      </c>
      <c r="C144" s="5" t="s">
        <v>1023</v>
      </c>
    </row>
    <row r="145" spans="1:3">
      <c r="A145" s="15" t="s">
        <v>1024</v>
      </c>
      <c r="B145" s="15">
        <v>4.5</v>
      </c>
      <c r="C145" s="5" t="s">
        <v>1025</v>
      </c>
    </row>
    <row r="146" spans="1:3">
      <c r="A146" s="15" t="s">
        <v>1026</v>
      </c>
      <c r="B146" s="15">
        <v>2</v>
      </c>
      <c r="C146" s="5" t="s">
        <v>1027</v>
      </c>
    </row>
    <row r="147" spans="1:3">
      <c r="A147" s="15" t="s">
        <v>1028</v>
      </c>
      <c r="B147" s="15">
        <v>3.5</v>
      </c>
      <c r="C147" s="5" t="s">
        <v>1029</v>
      </c>
    </row>
    <row r="148" spans="1:3">
      <c r="A148" s="15" t="s">
        <v>1030</v>
      </c>
      <c r="B148" s="15">
        <v>4</v>
      </c>
      <c r="C148" s="5" t="s">
        <v>1031</v>
      </c>
    </row>
    <row r="149" spans="1:3">
      <c r="A149" s="15" t="s">
        <v>1032</v>
      </c>
      <c r="B149" s="15">
        <v>1.5</v>
      </c>
      <c r="C149" s="5" t="s">
        <v>1033</v>
      </c>
    </row>
    <row r="150" spans="1:3">
      <c r="A150" s="15" t="s">
        <v>1034</v>
      </c>
      <c r="B150" s="15">
        <v>3</v>
      </c>
      <c r="C150" s="5" t="s">
        <v>1035</v>
      </c>
    </row>
    <row r="151" spans="1:3">
      <c r="A151" s="15" t="s">
        <v>1036</v>
      </c>
      <c r="B151" s="15">
        <v>4</v>
      </c>
      <c r="C151" s="5" t="s">
        <v>1037</v>
      </c>
    </row>
    <row r="152" spans="1:3">
      <c r="A152" s="15" t="s">
        <v>1038</v>
      </c>
      <c r="B152" s="15">
        <v>1</v>
      </c>
      <c r="C152" s="5" t="s">
        <v>1039</v>
      </c>
    </row>
    <row r="153" spans="1:3">
      <c r="A153" s="15" t="s">
        <v>1040</v>
      </c>
      <c r="B153" s="15">
        <v>1.5</v>
      </c>
      <c r="C153" s="5" t="s">
        <v>1041</v>
      </c>
    </row>
    <row r="154" spans="1:3">
      <c r="A154" s="15" t="s">
        <v>1042</v>
      </c>
      <c r="B154" s="15">
        <v>1.5</v>
      </c>
      <c r="C154" s="5" t="s">
        <v>1043</v>
      </c>
    </row>
    <row r="155" spans="1:3">
      <c r="A155" s="15" t="s">
        <v>1044</v>
      </c>
      <c r="B155" s="15">
        <v>3</v>
      </c>
      <c r="C155" s="5" t="s">
        <v>1045</v>
      </c>
    </row>
    <row r="156" spans="1:3">
      <c r="A156" s="15" t="s">
        <v>1046</v>
      </c>
      <c r="B156" s="15">
        <v>3.5</v>
      </c>
      <c r="C156" s="5" t="s">
        <v>1047</v>
      </c>
    </row>
    <row r="157" spans="1:3">
      <c r="A157" s="15" t="s">
        <v>1048</v>
      </c>
      <c r="B157" s="15">
        <v>4</v>
      </c>
      <c r="C157" s="5" t="s">
        <v>1049</v>
      </c>
    </row>
    <row r="158" spans="1:3">
      <c r="A158" s="15" t="s">
        <v>1050</v>
      </c>
      <c r="B158" s="15">
        <v>3</v>
      </c>
      <c r="C158" s="5" t="s">
        <v>1051</v>
      </c>
    </row>
    <row r="159" spans="1:3">
      <c r="A159" s="15" t="s">
        <v>1052</v>
      </c>
      <c r="B159" s="15">
        <v>3</v>
      </c>
      <c r="C159" s="15" t="s">
        <v>1053</v>
      </c>
    </row>
    <row r="160" spans="1:3">
      <c r="A160" s="15" t="s">
        <v>1054</v>
      </c>
      <c r="B160" s="15">
        <v>3.5</v>
      </c>
      <c r="C160" s="5" t="s">
        <v>1055</v>
      </c>
    </row>
    <row r="161" spans="1:6">
      <c r="A161" s="15" t="s">
        <v>1056</v>
      </c>
      <c r="B161" s="15">
        <v>3</v>
      </c>
      <c r="C161" s="5" t="s">
        <v>1057</v>
      </c>
    </row>
    <row r="162" spans="1:6">
      <c r="A162" s="15" t="s">
        <v>1058</v>
      </c>
      <c r="B162" s="15">
        <v>0</v>
      </c>
      <c r="C162" s="15" t="s">
        <v>1059</v>
      </c>
    </row>
    <row r="163" spans="1:6">
      <c r="A163" s="15" t="s">
        <v>1060</v>
      </c>
      <c r="B163" s="15">
        <v>3</v>
      </c>
      <c r="C163" s="5" t="s">
        <v>1061</v>
      </c>
    </row>
    <row r="164" spans="1:6">
      <c r="A164" s="15" t="s">
        <v>1062</v>
      </c>
      <c r="B164" s="15">
        <v>1</v>
      </c>
      <c r="C164" s="15" t="s">
        <v>1063</v>
      </c>
    </row>
    <row r="165" spans="1:6">
      <c r="A165" s="15" t="s">
        <v>1064</v>
      </c>
      <c r="B165" s="15">
        <v>3</v>
      </c>
      <c r="C165" s="5" t="s">
        <v>1065</v>
      </c>
    </row>
    <row r="166" spans="1:6">
      <c r="A166" s="15" t="s">
        <v>1066</v>
      </c>
      <c r="B166" s="15">
        <v>3.5</v>
      </c>
      <c r="C166" s="5" t="s">
        <v>1067</v>
      </c>
    </row>
    <row r="167" spans="1:6">
      <c r="A167" s="15" t="s">
        <v>1068</v>
      </c>
      <c r="B167" s="15">
        <v>1.5</v>
      </c>
      <c r="C167" s="5" t="s">
        <v>1069</v>
      </c>
    </row>
    <row r="168" spans="1:6">
      <c r="A168" s="15" t="s">
        <v>1070</v>
      </c>
      <c r="B168" s="15">
        <v>3</v>
      </c>
      <c r="C168" s="5" t="s">
        <v>1071</v>
      </c>
    </row>
    <row r="169" spans="1:6">
      <c r="A169" s="15" t="s">
        <v>1072</v>
      </c>
      <c r="B169" s="15">
        <v>4</v>
      </c>
      <c r="C169" s="5" t="s">
        <v>1073</v>
      </c>
    </row>
    <row r="170" spans="1:6">
      <c r="A170" s="15" t="s">
        <v>1074</v>
      </c>
      <c r="B170" s="15">
        <v>4</v>
      </c>
      <c r="C170" s="5" t="s">
        <v>1075</v>
      </c>
    </row>
    <row r="171" spans="1:6">
      <c r="A171" s="15" t="s">
        <v>1076</v>
      </c>
      <c r="B171" s="15">
        <v>1</v>
      </c>
      <c r="C171" s="5" t="s">
        <v>1077</v>
      </c>
    </row>
    <row r="172" spans="1:6">
      <c r="A172" s="15" t="s">
        <v>1078</v>
      </c>
      <c r="B172" s="15" t="s">
        <v>735</v>
      </c>
      <c r="C172" s="5" t="s">
        <v>1079</v>
      </c>
      <c r="D172" s="15" t="s">
        <v>1080</v>
      </c>
      <c r="E172" s="15" t="s">
        <v>1081</v>
      </c>
      <c r="F172" s="15" t="s">
        <v>1082</v>
      </c>
    </row>
    <row r="173" spans="1:6">
      <c r="A173" s="15" t="s">
        <v>1083</v>
      </c>
      <c r="B173" s="15" t="s">
        <v>735</v>
      </c>
      <c r="C173" s="5" t="s">
        <v>1084</v>
      </c>
    </row>
    <row r="174" spans="1:6">
      <c r="A174" s="15" t="s">
        <v>1085</v>
      </c>
      <c r="B174" s="15" t="s">
        <v>1086</v>
      </c>
      <c r="C174" s="5" t="s">
        <v>1087</v>
      </c>
    </row>
    <row r="175" spans="1:6">
      <c r="A175" s="15" t="s">
        <v>1088</v>
      </c>
      <c r="B175" s="15">
        <v>1.5</v>
      </c>
      <c r="C175" s="5" t="s">
        <v>1089</v>
      </c>
    </row>
    <row r="176" spans="1:6">
      <c r="A176" s="15" t="s">
        <v>1090</v>
      </c>
      <c r="B176" s="15">
        <v>2.5</v>
      </c>
      <c r="C176" s="5" t="s">
        <v>1091</v>
      </c>
    </row>
    <row r="177" spans="1:3">
      <c r="A177" s="15" t="s">
        <v>1092</v>
      </c>
      <c r="B177" s="15">
        <v>3.5</v>
      </c>
      <c r="C177" s="5" t="s">
        <v>1093</v>
      </c>
    </row>
    <row r="178" spans="1:3">
      <c r="A178" s="15" t="s">
        <v>1094</v>
      </c>
      <c r="B178" s="15" t="s">
        <v>1095</v>
      </c>
      <c r="C178" s="5" t="s">
        <v>1096</v>
      </c>
    </row>
    <row r="179" spans="1:3">
      <c r="A179" s="15" t="s">
        <v>1097</v>
      </c>
      <c r="B179" s="15">
        <v>3.5</v>
      </c>
      <c r="C179" s="5" t="s">
        <v>1098</v>
      </c>
    </row>
    <row r="180" spans="1:3">
      <c r="A180" s="15" t="s">
        <v>1099</v>
      </c>
      <c r="B180" s="15">
        <v>2</v>
      </c>
      <c r="C180" s="5" t="s">
        <v>1100</v>
      </c>
    </row>
    <row r="181" spans="1:3">
      <c r="A181" s="15" t="s">
        <v>1101</v>
      </c>
      <c r="B181" s="15">
        <v>3</v>
      </c>
      <c r="C181" s="5" t="s">
        <v>1102</v>
      </c>
    </row>
    <row r="182" spans="1:3">
      <c r="A182" s="15" t="s">
        <v>1103</v>
      </c>
      <c r="B182" s="15" t="s">
        <v>896</v>
      </c>
      <c r="C182" s="5" t="s">
        <v>1104</v>
      </c>
    </row>
    <row r="183" spans="1:3">
      <c r="A183" s="15" t="s">
        <v>1105</v>
      </c>
      <c r="B183" s="15">
        <v>0.5</v>
      </c>
      <c r="C183" s="15" t="s">
        <v>1106</v>
      </c>
    </row>
    <row r="184" spans="1:3">
      <c r="A184" s="15" t="s">
        <v>1107</v>
      </c>
      <c r="B184" s="15">
        <v>3</v>
      </c>
      <c r="C184" s="5" t="s">
        <v>1108</v>
      </c>
    </row>
    <row r="185" spans="1:3">
      <c r="A185" s="15" t="s">
        <v>1109</v>
      </c>
      <c r="B185" s="15">
        <v>3</v>
      </c>
      <c r="C185" s="5" t="s">
        <v>1110</v>
      </c>
    </row>
    <row r="186" spans="1:3">
      <c r="A186" s="15" t="s">
        <v>1111</v>
      </c>
      <c r="B186" s="15">
        <v>1.5</v>
      </c>
      <c r="C186" s="5" t="s">
        <v>1112</v>
      </c>
    </row>
    <row r="187" spans="1:3">
      <c r="A187" s="15" t="s">
        <v>1113</v>
      </c>
      <c r="B187" s="15">
        <v>0</v>
      </c>
      <c r="C187" s="15" t="s">
        <v>1114</v>
      </c>
    </row>
    <row r="188" spans="1:3">
      <c r="A188" s="15" t="s">
        <v>1115</v>
      </c>
      <c r="B188" s="15">
        <v>1</v>
      </c>
      <c r="C188" s="5" t="s">
        <v>1116</v>
      </c>
    </row>
    <row r="189" spans="1:3">
      <c r="A189" s="15" t="s">
        <v>1117</v>
      </c>
      <c r="B189" s="15">
        <v>3</v>
      </c>
      <c r="C189" s="5" t="s">
        <v>1118</v>
      </c>
    </row>
    <row r="190" spans="1:3">
      <c r="A190" s="15" t="s">
        <v>1119</v>
      </c>
      <c r="B190" s="15">
        <v>4.5</v>
      </c>
      <c r="C190" s="15" t="s">
        <v>1120</v>
      </c>
    </row>
    <row r="191" spans="1:3">
      <c r="A191" s="15" t="s">
        <v>1121</v>
      </c>
      <c r="B191" s="15">
        <v>1.5</v>
      </c>
      <c r="C191" s="15" t="s">
        <v>1122</v>
      </c>
    </row>
    <row r="192" spans="1:3">
      <c r="A192" s="15" t="s">
        <v>1123</v>
      </c>
      <c r="B192" s="15" t="s">
        <v>896</v>
      </c>
      <c r="C192" s="5" t="s">
        <v>1124</v>
      </c>
    </row>
    <row r="193" spans="1:3">
      <c r="A193" s="15" t="s">
        <v>1125</v>
      </c>
      <c r="B193" s="15">
        <v>3.5</v>
      </c>
      <c r="C193" s="5" t="s">
        <v>1126</v>
      </c>
    </row>
    <row r="194" spans="1:3">
      <c r="A194" s="15" t="s">
        <v>1127</v>
      </c>
      <c r="B194" s="15">
        <v>3</v>
      </c>
      <c r="C194" s="15" t="s">
        <v>1128</v>
      </c>
    </row>
    <row r="195" spans="1:3">
      <c r="A195" s="15" t="s">
        <v>1129</v>
      </c>
      <c r="B195" s="15">
        <v>0.5</v>
      </c>
      <c r="C195" s="15" t="s">
        <v>1130</v>
      </c>
    </row>
    <row r="196" spans="1:3">
      <c r="A196" s="15" t="s">
        <v>1131</v>
      </c>
      <c r="B196" s="15">
        <v>1</v>
      </c>
      <c r="C196" s="5" t="s">
        <v>1132</v>
      </c>
    </row>
    <row r="197" spans="1:3">
      <c r="A197" s="15" t="s">
        <v>1133</v>
      </c>
      <c r="B197" s="15" t="s">
        <v>1095</v>
      </c>
      <c r="C197" s="5" t="s">
        <v>1134</v>
      </c>
    </row>
    <row r="198" spans="1:3">
      <c r="A198" s="15" t="s">
        <v>1135</v>
      </c>
      <c r="B198" s="15">
        <v>0</v>
      </c>
      <c r="C198" s="5" t="s">
        <v>1136</v>
      </c>
    </row>
    <row r="199" spans="1:3">
      <c r="A199" s="15" t="s">
        <v>1137</v>
      </c>
      <c r="B199" s="15">
        <v>3</v>
      </c>
      <c r="C199" s="15" t="s">
        <v>1138</v>
      </c>
    </row>
    <row r="200" spans="1:3">
      <c r="A200" s="15" t="s">
        <v>1139</v>
      </c>
      <c r="B200" s="15">
        <v>3.5</v>
      </c>
      <c r="C200" s="15" t="s">
        <v>1140</v>
      </c>
    </row>
    <row r="201" spans="1:3">
      <c r="A201" s="15" t="s">
        <v>1141</v>
      </c>
      <c r="B201" s="15">
        <v>3.5</v>
      </c>
      <c r="C201" s="5" t="s">
        <v>1142</v>
      </c>
    </row>
    <row r="202" spans="1:3">
      <c r="A202" s="15" t="s">
        <v>1143</v>
      </c>
      <c r="B202" s="15">
        <v>1</v>
      </c>
      <c r="C202" s="15" t="s">
        <v>1144</v>
      </c>
    </row>
    <row r="203" spans="1:3">
      <c r="A203" s="15" t="s">
        <v>1145</v>
      </c>
      <c r="B203" s="15">
        <v>1.5</v>
      </c>
      <c r="C203" s="15" t="s">
        <v>1146</v>
      </c>
    </row>
    <row r="204" spans="1:3">
      <c r="A204" s="15" t="s">
        <v>1147</v>
      </c>
      <c r="B204" s="15">
        <v>2.5</v>
      </c>
      <c r="C204" s="15" t="s">
        <v>1148</v>
      </c>
    </row>
    <row r="205" spans="1:3">
      <c r="A205" s="15" t="s">
        <v>1149</v>
      </c>
      <c r="B205" s="15">
        <v>3</v>
      </c>
      <c r="C205" s="15" t="s">
        <v>1150</v>
      </c>
    </row>
    <row r="206" spans="1:3">
      <c r="A206" s="15" t="s">
        <v>1151</v>
      </c>
      <c r="B206" s="15">
        <v>0</v>
      </c>
      <c r="C206" s="15" t="s">
        <v>1152</v>
      </c>
    </row>
    <row r="207" spans="1:3">
      <c r="A207" s="15" t="s">
        <v>1153</v>
      </c>
      <c r="B207" s="15">
        <v>3.5</v>
      </c>
      <c r="C207" s="5" t="s">
        <v>1154</v>
      </c>
    </row>
    <row r="208" spans="1:3">
      <c r="A208" s="15" t="s">
        <v>1155</v>
      </c>
      <c r="B208" s="15">
        <v>3</v>
      </c>
      <c r="C208" s="5" t="s">
        <v>1156</v>
      </c>
    </row>
    <row r="209" spans="1:3">
      <c r="A209" s="15" t="s">
        <v>1157</v>
      </c>
      <c r="B209" s="15" t="s">
        <v>896</v>
      </c>
      <c r="C209" s="5" t="s">
        <v>1158</v>
      </c>
    </row>
    <row r="210" spans="1:3">
      <c r="A210" s="15" t="s">
        <v>1159</v>
      </c>
      <c r="B210" s="15">
        <v>3.5</v>
      </c>
      <c r="C210" s="5" t="s">
        <v>1160</v>
      </c>
    </row>
    <row r="211" spans="1:3">
      <c r="A211" s="15" t="s">
        <v>1161</v>
      </c>
      <c r="B211" s="15">
        <v>3</v>
      </c>
      <c r="C211" s="15" t="s">
        <v>1162</v>
      </c>
    </row>
    <row r="212" spans="1:3">
      <c r="A212" s="15" t="s">
        <v>1163</v>
      </c>
      <c r="B212" s="15">
        <v>2.5</v>
      </c>
      <c r="C212" s="5" t="s">
        <v>1164</v>
      </c>
    </row>
    <row r="213" spans="1:3">
      <c r="A213" s="15" t="s">
        <v>1165</v>
      </c>
      <c r="B213" s="15">
        <v>3</v>
      </c>
      <c r="C213" s="5" t="s">
        <v>1166</v>
      </c>
    </row>
    <row r="214" spans="1:3">
      <c r="A214" s="15" t="s">
        <v>1167</v>
      </c>
      <c r="B214" s="15">
        <v>0</v>
      </c>
      <c r="C214" s="15" t="s">
        <v>1168</v>
      </c>
    </row>
    <row r="215" spans="1:3">
      <c r="A215" s="15" t="s">
        <v>1169</v>
      </c>
      <c r="B215" s="15">
        <v>1.5</v>
      </c>
      <c r="C215" s="15" t="s">
        <v>1170</v>
      </c>
    </row>
    <row r="216" spans="1:3">
      <c r="A216" s="15" t="s">
        <v>1171</v>
      </c>
      <c r="B216" s="15" t="s">
        <v>818</v>
      </c>
      <c r="C216" s="5" t="s">
        <v>1172</v>
      </c>
    </row>
    <row r="217" spans="1:3">
      <c r="A217" s="15" t="s">
        <v>1173</v>
      </c>
      <c r="B217" s="15" t="s">
        <v>896</v>
      </c>
      <c r="C217" s="15" t="s">
        <v>1174</v>
      </c>
    </row>
    <row r="218" spans="1:3">
      <c r="A218" s="15" t="s">
        <v>1175</v>
      </c>
      <c r="B218" s="15">
        <v>3.5</v>
      </c>
      <c r="C218" s="5" t="s">
        <v>1176</v>
      </c>
    </row>
    <row r="219" spans="1:3">
      <c r="A219" s="15" t="s">
        <v>1177</v>
      </c>
      <c r="B219" s="15">
        <v>4</v>
      </c>
      <c r="C219" s="5" t="s">
        <v>1178</v>
      </c>
    </row>
    <row r="220" spans="1:3">
      <c r="A220" s="15" t="s">
        <v>1179</v>
      </c>
      <c r="B220" s="15">
        <v>3</v>
      </c>
      <c r="C220" s="15" t="s">
        <v>1180</v>
      </c>
    </row>
    <row r="221" spans="1:3">
      <c r="A221" s="15" t="s">
        <v>1181</v>
      </c>
      <c r="B221" s="15">
        <v>3.5</v>
      </c>
      <c r="C221" s="5" t="s">
        <v>1182</v>
      </c>
    </row>
    <row r="222" spans="1:3">
      <c r="A222" s="15" t="s">
        <v>1183</v>
      </c>
      <c r="B222" s="15">
        <v>0.5</v>
      </c>
      <c r="C222" s="15" t="s">
        <v>1184</v>
      </c>
    </row>
    <row r="223" spans="1:3">
      <c r="A223" s="15" t="s">
        <v>1185</v>
      </c>
      <c r="B223" s="15">
        <v>4</v>
      </c>
      <c r="C223" s="5" t="s">
        <v>1186</v>
      </c>
    </row>
    <row r="224" spans="1:3">
      <c r="A224" s="15" t="s">
        <v>1187</v>
      </c>
      <c r="B224" s="15">
        <v>3.5</v>
      </c>
      <c r="C224" s="5" t="s">
        <v>1188</v>
      </c>
    </row>
    <row r="225" spans="1:3">
      <c r="A225" s="15" t="s">
        <v>1189</v>
      </c>
      <c r="B225" s="15">
        <v>0</v>
      </c>
      <c r="C225" s="15" t="s">
        <v>1190</v>
      </c>
    </row>
    <row r="226" spans="1:3">
      <c r="A226" s="15" t="s">
        <v>1191</v>
      </c>
      <c r="B226" s="15">
        <v>3</v>
      </c>
      <c r="C226" s="5" t="s">
        <v>1192</v>
      </c>
    </row>
    <row r="227" spans="1:3">
      <c r="A227" s="15" t="s">
        <v>1193</v>
      </c>
      <c r="B227" s="15">
        <v>3.5</v>
      </c>
      <c r="C227" s="5" t="s">
        <v>1194</v>
      </c>
    </row>
    <row r="228" spans="1:3">
      <c r="A228" s="15" t="s">
        <v>1195</v>
      </c>
      <c r="B228" s="15">
        <v>3.5</v>
      </c>
      <c r="C228" s="5" t="s">
        <v>1196</v>
      </c>
    </row>
    <row r="229" spans="1:3">
      <c r="A229" s="15" t="s">
        <v>1197</v>
      </c>
      <c r="B229" s="15">
        <v>1</v>
      </c>
      <c r="C229" s="15" t="s">
        <v>1198</v>
      </c>
    </row>
    <row r="230" spans="1:3">
      <c r="A230" s="15" t="s">
        <v>1199</v>
      </c>
      <c r="B230" s="15">
        <v>2.5</v>
      </c>
      <c r="C230" s="15" t="s">
        <v>1200</v>
      </c>
    </row>
    <row r="231" spans="1:3">
      <c r="A231" s="15" t="s">
        <v>1201</v>
      </c>
      <c r="B231" s="15">
        <v>4</v>
      </c>
      <c r="C231" s="15" t="s">
        <v>1202</v>
      </c>
    </row>
    <row r="232" spans="1:3">
      <c r="A232" s="15" t="s">
        <v>1203</v>
      </c>
      <c r="B232" s="15">
        <v>3.5</v>
      </c>
      <c r="C232" s="5" t="s">
        <v>1204</v>
      </c>
    </row>
    <row r="233" spans="1:3">
      <c r="A233" s="15" t="s">
        <v>1205</v>
      </c>
      <c r="B233" s="15">
        <v>3.5</v>
      </c>
      <c r="C233" s="15" t="s">
        <v>1206</v>
      </c>
    </row>
    <row r="234" spans="1:3">
      <c r="A234" s="15" t="s">
        <v>1207</v>
      </c>
      <c r="B234" s="15">
        <v>2</v>
      </c>
      <c r="C234" s="5" t="s">
        <v>1208</v>
      </c>
    </row>
    <row r="235" spans="1:3">
      <c r="A235" s="15" t="s">
        <v>1209</v>
      </c>
      <c r="B235" s="15">
        <v>1.5</v>
      </c>
      <c r="C235" s="15" t="s">
        <v>1210</v>
      </c>
    </row>
    <row r="236" spans="1:3">
      <c r="A236" s="15" t="s">
        <v>1211</v>
      </c>
      <c r="B236" s="15">
        <v>3</v>
      </c>
      <c r="C236" s="5" t="s">
        <v>1212</v>
      </c>
    </row>
    <row r="237" spans="1:3">
      <c r="A237" s="15" t="s">
        <v>1213</v>
      </c>
      <c r="B237" s="15">
        <v>3</v>
      </c>
      <c r="C237" s="5" t="s">
        <v>1214</v>
      </c>
    </row>
    <row r="238" spans="1:3">
      <c r="A238" s="15" t="s">
        <v>1215</v>
      </c>
      <c r="B238" s="15">
        <v>0.5</v>
      </c>
      <c r="C238" s="15" t="s">
        <v>1216</v>
      </c>
    </row>
    <row r="239" spans="1:3">
      <c r="A239" s="15" t="s">
        <v>1217</v>
      </c>
      <c r="B239" s="15">
        <v>4.5</v>
      </c>
      <c r="C239" s="5" t="s">
        <v>1218</v>
      </c>
    </row>
    <row r="240" spans="1:3">
      <c r="A240" s="15" t="s">
        <v>1219</v>
      </c>
      <c r="B240" s="15">
        <v>4</v>
      </c>
      <c r="C240" s="15" t="s">
        <v>1220</v>
      </c>
    </row>
    <row r="241" spans="1:3">
      <c r="A241" s="15" t="s">
        <v>1221</v>
      </c>
      <c r="B241" s="15">
        <v>5</v>
      </c>
    </row>
    <row r="242" spans="1:3">
      <c r="A242" s="15" t="s">
        <v>1222</v>
      </c>
      <c r="B242" s="15" t="s">
        <v>1223</v>
      </c>
      <c r="C242" s="5" t="s">
        <v>1224</v>
      </c>
    </row>
    <row r="243" spans="1:3">
      <c r="A243" s="15" t="s">
        <v>1225</v>
      </c>
      <c r="B243" s="15">
        <v>4.5</v>
      </c>
      <c r="C243" s="5" t="s">
        <v>1226</v>
      </c>
    </row>
    <row r="244" spans="1:3">
      <c r="A244" s="15" t="s">
        <v>1227</v>
      </c>
      <c r="B244" s="15">
        <v>1.5</v>
      </c>
      <c r="C244" s="15" t="s">
        <v>1228</v>
      </c>
    </row>
    <row r="245" spans="1:3">
      <c r="A245" s="15" t="s">
        <v>1229</v>
      </c>
      <c r="B245" s="15">
        <v>4.5</v>
      </c>
      <c r="C245" s="5" t="s">
        <v>1230</v>
      </c>
    </row>
    <row r="246" spans="1:3">
      <c r="A246" s="15" t="s">
        <v>1231</v>
      </c>
      <c r="B246" s="15">
        <v>4.5</v>
      </c>
      <c r="C246" s="5" t="s">
        <v>1232</v>
      </c>
    </row>
    <row r="247" spans="1:3">
      <c r="A247" s="15" t="s">
        <v>1233</v>
      </c>
      <c r="B247" s="15">
        <v>3</v>
      </c>
      <c r="C247" s="5" t="s">
        <v>1234</v>
      </c>
    </row>
    <row r="248" spans="1:3">
      <c r="A248" s="15" t="s">
        <v>1235</v>
      </c>
      <c r="B248" s="15">
        <v>4.5</v>
      </c>
      <c r="C248" s="15" t="s">
        <v>1236</v>
      </c>
    </row>
    <row r="249" spans="1:3">
      <c r="A249" s="15" t="s">
        <v>1237</v>
      </c>
      <c r="B249" s="15">
        <v>5</v>
      </c>
      <c r="C249" s="5" t="s">
        <v>1238</v>
      </c>
    </row>
    <row r="250" spans="1:3">
      <c r="A250" s="15" t="s">
        <v>1239</v>
      </c>
      <c r="B250" s="15">
        <v>0.5</v>
      </c>
      <c r="C250" s="5" t="s">
        <v>1240</v>
      </c>
    </row>
    <row r="251" spans="1:3">
      <c r="A251" s="15" t="s">
        <v>1241</v>
      </c>
      <c r="B251" s="15">
        <v>1</v>
      </c>
      <c r="C251" s="5" t="s">
        <v>1242</v>
      </c>
    </row>
    <row r="252" spans="1:3">
      <c r="A252" s="15" t="s">
        <v>1243</v>
      </c>
      <c r="B252" s="15">
        <v>1</v>
      </c>
      <c r="C252" s="5" t="s">
        <v>1244</v>
      </c>
    </row>
    <row r="253" spans="1:3">
      <c r="A253" s="15" t="s">
        <v>1245</v>
      </c>
      <c r="B253" s="15">
        <v>1</v>
      </c>
      <c r="C253" s="15" t="s">
        <v>1246</v>
      </c>
    </row>
    <row r="254" spans="1:3">
      <c r="A254" s="15" t="s">
        <v>1247</v>
      </c>
      <c r="B254" s="15">
        <v>2.5</v>
      </c>
      <c r="C254" s="5" t="s">
        <v>1248</v>
      </c>
    </row>
    <row r="255" spans="1:3">
      <c r="A255" s="15" t="s">
        <v>1249</v>
      </c>
      <c r="B255" s="15">
        <v>0</v>
      </c>
      <c r="C255" s="15" t="s">
        <v>1250</v>
      </c>
    </row>
    <row r="256" spans="1:3">
      <c r="A256" s="15" t="s">
        <v>1251</v>
      </c>
      <c r="B256" s="15">
        <v>1.5</v>
      </c>
      <c r="C256" s="5" t="s">
        <v>1252</v>
      </c>
    </row>
    <row r="257" spans="1:3">
      <c r="A257" s="15" t="s">
        <v>1253</v>
      </c>
      <c r="B257" s="15">
        <v>2</v>
      </c>
      <c r="C257" s="15" t="s">
        <v>1254</v>
      </c>
    </row>
    <row r="258" spans="1:3">
      <c r="A258" s="15" t="s">
        <v>1255</v>
      </c>
      <c r="B258" s="15">
        <v>1</v>
      </c>
      <c r="C258" s="5" t="s">
        <v>1256</v>
      </c>
    </row>
    <row r="259" spans="1:3">
      <c r="A259" s="15" t="s">
        <v>1257</v>
      </c>
      <c r="B259" s="15">
        <v>0.5</v>
      </c>
      <c r="C259" s="5" t="s">
        <v>1258</v>
      </c>
    </row>
    <row r="260" spans="1:3">
      <c r="A260" s="15" t="s">
        <v>1259</v>
      </c>
      <c r="B260" s="15">
        <v>1</v>
      </c>
      <c r="C260" s="5" t="s">
        <v>1260</v>
      </c>
    </row>
    <row r="261" spans="1:3">
      <c r="A261" s="15" t="s">
        <v>1261</v>
      </c>
      <c r="B261" s="15">
        <v>1.5</v>
      </c>
      <c r="C261" s="5" t="s">
        <v>1262</v>
      </c>
    </row>
    <row r="262" spans="1:3">
      <c r="A262" s="15" t="s">
        <v>1263</v>
      </c>
      <c r="B262" s="15">
        <v>3</v>
      </c>
      <c r="C262" s="5" t="s">
        <v>1264</v>
      </c>
    </row>
    <row r="263" spans="1:3">
      <c r="A263" s="15" t="s">
        <v>1265</v>
      </c>
      <c r="B263" s="15">
        <v>3.5</v>
      </c>
      <c r="C263" s="5" t="s">
        <v>1266</v>
      </c>
    </row>
    <row r="264" spans="1:3">
      <c r="A264" s="15" t="s">
        <v>1267</v>
      </c>
      <c r="B264" s="15">
        <v>2.5</v>
      </c>
      <c r="C264" s="15" t="s">
        <v>1268</v>
      </c>
    </row>
    <row r="265" spans="1:3">
      <c r="A265" s="15" t="s">
        <v>1269</v>
      </c>
      <c r="B265" s="15" t="s">
        <v>1095</v>
      </c>
      <c r="C265" s="5" t="s">
        <v>1270</v>
      </c>
    </row>
    <row r="266" spans="1:3">
      <c r="A266" s="15" t="s">
        <v>1271</v>
      </c>
      <c r="B266" s="15">
        <v>1.5</v>
      </c>
      <c r="C266" s="15" t="s">
        <v>1272</v>
      </c>
    </row>
    <row r="267" spans="1:3">
      <c r="A267" s="15" t="s">
        <v>1273</v>
      </c>
      <c r="B267" s="15">
        <v>3</v>
      </c>
      <c r="C267" s="5" t="s">
        <v>1274</v>
      </c>
    </row>
    <row r="268" spans="1:3">
      <c r="A268" s="15" t="s">
        <v>1275</v>
      </c>
      <c r="B268" s="15" t="s">
        <v>1276</v>
      </c>
      <c r="C268" s="5" t="s">
        <v>1277</v>
      </c>
    </row>
    <row r="269" spans="1:3">
      <c r="A269" s="15" t="s">
        <v>1278</v>
      </c>
      <c r="B269" s="15">
        <v>2</v>
      </c>
      <c r="C269" s="15" t="s">
        <v>1279</v>
      </c>
    </row>
    <row r="270" spans="1:3">
      <c r="A270" s="15" t="s">
        <v>1280</v>
      </c>
      <c r="B270" s="15">
        <v>4.5</v>
      </c>
      <c r="C270" s="5" t="s">
        <v>1281</v>
      </c>
    </row>
  </sheetData>
  <phoneticPr fontId="5"/>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sheetPr codeName="Sheet3"/>
  <dimension ref="A1:C205"/>
  <sheetViews>
    <sheetView workbookViewId="0">
      <selection activeCell="D45" sqref="D45"/>
    </sheetView>
  </sheetViews>
  <sheetFormatPr defaultRowHeight="11.25"/>
  <cols>
    <col min="1" max="16384" width="9" style="1"/>
  </cols>
  <sheetData>
    <row r="1" spans="1:3">
      <c r="A1" s="1">
        <v>1</v>
      </c>
      <c r="B1" s="1" t="s">
        <v>196</v>
      </c>
      <c r="C1" s="1">
        <v>1.9</v>
      </c>
    </row>
    <row r="2" spans="1:3">
      <c r="A2" s="1">
        <v>2</v>
      </c>
      <c r="B2" s="1" t="s">
        <v>174</v>
      </c>
      <c r="C2" s="1">
        <v>10</v>
      </c>
    </row>
    <row r="3" spans="1:3">
      <c r="A3" s="1">
        <v>3</v>
      </c>
      <c r="B3" s="1" t="s">
        <v>197</v>
      </c>
      <c r="C3" s="1">
        <v>9.5</v>
      </c>
    </row>
    <row r="4" spans="1:3">
      <c r="A4" s="1">
        <v>4</v>
      </c>
      <c r="B4" s="1" t="s">
        <v>198</v>
      </c>
      <c r="C4" s="1">
        <v>1.7</v>
      </c>
    </row>
    <row r="5" spans="1:3">
      <c r="A5" s="1">
        <v>5</v>
      </c>
      <c r="B5" s="1" t="s">
        <v>199</v>
      </c>
      <c r="C5" s="1">
        <v>9.6999999999999993</v>
      </c>
    </row>
    <row r="6" spans="1:3">
      <c r="A6" s="1">
        <v>6</v>
      </c>
      <c r="B6" s="2" t="s">
        <v>373</v>
      </c>
      <c r="C6" s="1">
        <v>10</v>
      </c>
    </row>
    <row r="7" spans="1:3">
      <c r="A7" s="1">
        <v>7</v>
      </c>
      <c r="B7" s="1" t="s">
        <v>201</v>
      </c>
      <c r="C7" s="1">
        <v>5.4</v>
      </c>
    </row>
    <row r="8" spans="1:3">
      <c r="A8" s="1">
        <v>8</v>
      </c>
      <c r="B8" s="1" t="s">
        <v>181</v>
      </c>
      <c r="C8" s="1">
        <v>1</v>
      </c>
    </row>
    <row r="9" spans="1:3">
      <c r="A9" s="1">
        <v>9</v>
      </c>
      <c r="B9" s="1" t="s">
        <v>202</v>
      </c>
      <c r="C9" s="1">
        <v>1.1000000000000001</v>
      </c>
    </row>
    <row r="10" spans="1:3">
      <c r="A10" s="1">
        <v>10</v>
      </c>
      <c r="B10" s="1" t="s">
        <v>182</v>
      </c>
      <c r="C10" s="1">
        <v>1.2</v>
      </c>
    </row>
    <row r="11" spans="1:3">
      <c r="A11" s="1">
        <v>11</v>
      </c>
      <c r="B11" s="1" t="s">
        <v>203</v>
      </c>
      <c r="C11" s="1">
        <v>1.7</v>
      </c>
    </row>
    <row r="12" spans="1:3">
      <c r="A12" s="1">
        <v>12</v>
      </c>
      <c r="B12" s="1" t="s">
        <v>204</v>
      </c>
      <c r="C12" s="1">
        <v>1.4</v>
      </c>
    </row>
    <row r="13" spans="1:3">
      <c r="A13" s="1">
        <v>13</v>
      </c>
      <c r="B13" s="1" t="s">
        <v>1</v>
      </c>
      <c r="C13" s="1">
        <v>2.5</v>
      </c>
    </row>
    <row r="14" spans="1:3">
      <c r="A14" s="1">
        <v>14</v>
      </c>
      <c r="B14" s="1" t="s">
        <v>3</v>
      </c>
      <c r="C14" s="1">
        <v>1</v>
      </c>
    </row>
    <row r="15" spans="1:3">
      <c r="A15" s="1">
        <v>15</v>
      </c>
      <c r="B15" s="1" t="s">
        <v>228</v>
      </c>
      <c r="C15" s="1">
        <v>8.8000000000000007</v>
      </c>
    </row>
    <row r="16" spans="1:3">
      <c r="A16" s="1">
        <v>16</v>
      </c>
      <c r="B16" s="1" t="s">
        <v>5</v>
      </c>
      <c r="C16" s="1">
        <v>1.9</v>
      </c>
    </row>
    <row r="17" spans="1:3">
      <c r="A17" s="1">
        <v>17</v>
      </c>
      <c r="B17" s="1" t="s">
        <v>225</v>
      </c>
      <c r="C17" s="1">
        <v>9.6999999999999993</v>
      </c>
    </row>
    <row r="18" spans="1:3">
      <c r="A18" s="1">
        <v>18</v>
      </c>
      <c r="B18" s="1" t="s">
        <v>7</v>
      </c>
      <c r="C18" s="1">
        <v>2.2999999999999998</v>
      </c>
    </row>
    <row r="19" spans="1:3">
      <c r="A19" s="1">
        <v>19</v>
      </c>
      <c r="B19" s="1" t="s">
        <v>9</v>
      </c>
      <c r="C19" s="1">
        <v>1.2</v>
      </c>
    </row>
    <row r="20" spans="1:3">
      <c r="A20" s="1">
        <v>20</v>
      </c>
      <c r="B20" s="1" t="s">
        <v>11</v>
      </c>
      <c r="C20" s="1">
        <v>0.6</v>
      </c>
    </row>
    <row r="21" spans="1:3">
      <c r="A21" s="1">
        <v>21</v>
      </c>
      <c r="B21" s="1" t="s">
        <v>13</v>
      </c>
      <c r="C21" s="1">
        <v>1.4</v>
      </c>
    </row>
    <row r="22" spans="1:3">
      <c r="A22" s="1">
        <v>22</v>
      </c>
      <c r="B22" s="1" t="s">
        <v>15</v>
      </c>
      <c r="C22" s="1">
        <v>2.2000000000000002</v>
      </c>
    </row>
    <row r="23" spans="1:3">
      <c r="A23" s="1">
        <v>23</v>
      </c>
      <c r="B23" s="1" t="s">
        <v>234</v>
      </c>
      <c r="C23" s="1">
        <v>2.8</v>
      </c>
    </row>
    <row r="24" spans="1:3">
      <c r="A24" s="1">
        <v>24</v>
      </c>
      <c r="B24" s="1" t="s">
        <v>17</v>
      </c>
      <c r="C24" s="1">
        <v>3.4</v>
      </c>
    </row>
    <row r="25" spans="1:3">
      <c r="A25" s="1">
        <v>25</v>
      </c>
      <c r="B25" s="1" t="s">
        <v>19</v>
      </c>
      <c r="C25" s="1">
        <v>1.1000000000000001</v>
      </c>
    </row>
    <row r="26" spans="1:3">
      <c r="A26" s="1">
        <v>26</v>
      </c>
      <c r="B26" s="1" t="s">
        <v>21</v>
      </c>
      <c r="C26" s="1">
        <v>1.1000000000000001</v>
      </c>
    </row>
    <row r="27" spans="1:3">
      <c r="A27" s="1">
        <v>27</v>
      </c>
      <c r="B27" s="1" t="s">
        <v>23</v>
      </c>
      <c r="C27" s="1">
        <v>1.4</v>
      </c>
    </row>
    <row r="28" spans="1:3">
      <c r="A28" s="1">
        <v>28</v>
      </c>
      <c r="B28" s="1" t="s">
        <v>223</v>
      </c>
      <c r="C28" s="1">
        <v>10</v>
      </c>
    </row>
    <row r="29" spans="1:3">
      <c r="A29" s="1">
        <v>29</v>
      </c>
      <c r="B29" s="1" t="s">
        <v>25</v>
      </c>
      <c r="C29" s="1">
        <v>1</v>
      </c>
    </row>
    <row r="30" spans="1:3">
      <c r="A30" s="1">
        <v>30</v>
      </c>
      <c r="B30" s="1" t="s">
        <v>27</v>
      </c>
      <c r="C30" s="1">
        <v>1.1000000000000001</v>
      </c>
    </row>
    <row r="31" spans="1:3">
      <c r="A31" s="1">
        <v>31</v>
      </c>
      <c r="B31" s="1" t="s">
        <v>29</v>
      </c>
      <c r="C31" s="1">
        <v>1.1000000000000001</v>
      </c>
    </row>
    <row r="32" spans="1:3">
      <c r="A32" s="1">
        <v>32</v>
      </c>
      <c r="B32" s="1" t="s">
        <v>31</v>
      </c>
      <c r="C32" s="1">
        <v>0.7</v>
      </c>
    </row>
    <row r="33" spans="1:3">
      <c r="A33" s="1">
        <v>33</v>
      </c>
      <c r="B33" s="1" t="s">
        <v>233</v>
      </c>
      <c r="C33" s="1">
        <v>3.4</v>
      </c>
    </row>
    <row r="34" spans="1:3">
      <c r="A34" s="1">
        <v>34</v>
      </c>
      <c r="B34" s="1" t="s">
        <v>33</v>
      </c>
      <c r="C34" s="1">
        <v>1</v>
      </c>
    </row>
    <row r="35" spans="1:3">
      <c r="A35" s="1">
        <v>35</v>
      </c>
      <c r="B35" s="1" t="s">
        <v>35</v>
      </c>
      <c r="C35" s="1">
        <v>1</v>
      </c>
    </row>
    <row r="36" spans="1:3">
      <c r="A36" s="1">
        <v>36</v>
      </c>
      <c r="B36" s="1" t="s">
        <v>37</v>
      </c>
      <c r="C36" s="1">
        <v>0.8</v>
      </c>
    </row>
    <row r="37" spans="1:3">
      <c r="A37" s="1">
        <v>37</v>
      </c>
      <c r="B37" s="1" t="s">
        <v>39</v>
      </c>
      <c r="C37" s="1">
        <v>0.9</v>
      </c>
    </row>
    <row r="38" spans="1:3">
      <c r="A38" s="1">
        <v>38</v>
      </c>
      <c r="B38" s="1" t="s">
        <v>255</v>
      </c>
      <c r="C38" s="1">
        <v>1</v>
      </c>
    </row>
    <row r="39" spans="1:3">
      <c r="A39" s="1">
        <v>39</v>
      </c>
      <c r="B39" s="1" t="s">
        <v>41</v>
      </c>
      <c r="C39" s="1">
        <v>9.4</v>
      </c>
    </row>
    <row r="40" spans="1:3">
      <c r="A40" s="1">
        <v>40</v>
      </c>
      <c r="B40" s="1" t="s">
        <v>43</v>
      </c>
      <c r="C40" s="1">
        <v>9.1</v>
      </c>
    </row>
    <row r="41" spans="1:3">
      <c r="A41" s="1">
        <v>41</v>
      </c>
      <c r="B41" s="1" t="s">
        <v>45</v>
      </c>
      <c r="C41" s="1">
        <v>0.9</v>
      </c>
    </row>
    <row r="42" spans="1:3">
      <c r="A42" s="1">
        <v>42</v>
      </c>
      <c r="B42" s="1" t="s">
        <v>47</v>
      </c>
      <c r="C42" s="1">
        <v>1.7</v>
      </c>
    </row>
    <row r="43" spans="1:3">
      <c r="A43" s="1">
        <v>43</v>
      </c>
      <c r="B43" s="1" t="s">
        <v>49</v>
      </c>
      <c r="C43" s="1">
        <v>1</v>
      </c>
    </row>
    <row r="44" spans="1:3">
      <c r="A44" s="1">
        <v>44</v>
      </c>
      <c r="B44" s="1" t="s">
        <v>51</v>
      </c>
      <c r="C44" s="1">
        <v>1.1000000000000001</v>
      </c>
    </row>
    <row r="45" spans="1:3">
      <c r="A45" s="1">
        <v>45</v>
      </c>
      <c r="B45" s="1" t="s">
        <v>53</v>
      </c>
      <c r="C45" s="1">
        <v>3.8</v>
      </c>
    </row>
    <row r="46" spans="1:3">
      <c r="A46" s="1">
        <v>46</v>
      </c>
      <c r="B46" s="1" t="s">
        <v>55</v>
      </c>
      <c r="C46" s="1">
        <v>10</v>
      </c>
    </row>
    <row r="47" spans="1:3">
      <c r="A47" s="1">
        <v>47</v>
      </c>
      <c r="B47" s="1" t="s">
        <v>227</v>
      </c>
      <c r="C47" s="1">
        <v>8.8000000000000007</v>
      </c>
    </row>
    <row r="48" spans="1:3">
      <c r="A48" s="1">
        <v>48</v>
      </c>
      <c r="B48" s="1" t="s">
        <v>57</v>
      </c>
      <c r="C48" s="1">
        <v>1</v>
      </c>
    </row>
    <row r="49" spans="1:3">
      <c r="A49" s="1">
        <v>49</v>
      </c>
      <c r="B49" s="1" t="s">
        <v>59</v>
      </c>
      <c r="C49" s="1">
        <v>2.7</v>
      </c>
    </row>
    <row r="50" spans="1:3">
      <c r="A50" s="1">
        <v>50</v>
      </c>
      <c r="B50" s="1" t="s">
        <v>61</v>
      </c>
      <c r="C50" s="1">
        <v>1.4</v>
      </c>
    </row>
    <row r="51" spans="1:3">
      <c r="A51" s="1">
        <v>51</v>
      </c>
      <c r="B51" s="1" t="s">
        <v>63</v>
      </c>
      <c r="C51" s="1">
        <v>0.7</v>
      </c>
    </row>
    <row r="52" spans="1:3">
      <c r="A52" s="1">
        <v>52</v>
      </c>
      <c r="B52" s="1" t="s">
        <v>65</v>
      </c>
      <c r="C52" s="1">
        <v>0.7</v>
      </c>
    </row>
    <row r="53" spans="1:3">
      <c r="A53" s="1">
        <v>53</v>
      </c>
      <c r="B53" s="1" t="s">
        <v>67</v>
      </c>
      <c r="C53" s="1">
        <v>0.9</v>
      </c>
    </row>
    <row r="54" spans="1:3">
      <c r="A54" s="1">
        <v>54</v>
      </c>
      <c r="B54" s="1" t="s">
        <v>248</v>
      </c>
      <c r="C54" s="1">
        <v>1.5</v>
      </c>
    </row>
    <row r="55" spans="1:3">
      <c r="A55" s="1">
        <v>55</v>
      </c>
      <c r="B55" s="1" t="s">
        <v>69</v>
      </c>
      <c r="C55" s="1">
        <v>0.8</v>
      </c>
    </row>
    <row r="56" spans="1:3">
      <c r="A56" s="1">
        <v>56</v>
      </c>
      <c r="B56" s="1" t="s">
        <v>231</v>
      </c>
      <c r="C56" s="1">
        <v>7.3</v>
      </c>
    </row>
    <row r="57" spans="1:3">
      <c r="A57" s="1">
        <v>57</v>
      </c>
      <c r="B57" s="1" t="s">
        <v>71</v>
      </c>
      <c r="C57" s="1">
        <v>1</v>
      </c>
    </row>
    <row r="58" spans="1:3">
      <c r="A58" s="1">
        <v>58</v>
      </c>
      <c r="B58" s="1" t="s">
        <v>73</v>
      </c>
      <c r="C58" s="1">
        <v>1</v>
      </c>
    </row>
    <row r="59" spans="1:3">
      <c r="A59" s="1">
        <v>59</v>
      </c>
      <c r="B59" s="1" t="s">
        <v>75</v>
      </c>
      <c r="C59" s="1">
        <v>1</v>
      </c>
    </row>
    <row r="60" spans="1:3">
      <c r="A60" s="1">
        <v>60</v>
      </c>
      <c r="B60" s="1" t="s">
        <v>77</v>
      </c>
      <c r="C60" s="1">
        <v>1</v>
      </c>
    </row>
    <row r="61" spans="1:3">
      <c r="A61" s="1">
        <v>61</v>
      </c>
      <c r="B61" s="1" t="s">
        <v>254</v>
      </c>
      <c r="C61" s="1">
        <v>1</v>
      </c>
    </row>
    <row r="62" spans="1:3">
      <c r="A62" s="1">
        <v>62</v>
      </c>
      <c r="B62" s="1" t="s">
        <v>79</v>
      </c>
      <c r="C62" s="1">
        <v>1.7</v>
      </c>
    </row>
    <row r="63" spans="1:3">
      <c r="A63" s="1">
        <v>63</v>
      </c>
      <c r="B63" s="1" t="s">
        <v>247</v>
      </c>
      <c r="C63" s="1">
        <v>1.6</v>
      </c>
    </row>
    <row r="64" spans="1:3">
      <c r="A64" s="1">
        <v>64</v>
      </c>
      <c r="B64" s="1" t="s">
        <v>81</v>
      </c>
      <c r="C64" s="1">
        <v>4.4000000000000004</v>
      </c>
    </row>
    <row r="65" spans="1:3">
      <c r="A65" s="1">
        <v>65</v>
      </c>
      <c r="B65" s="1" t="s">
        <v>83</v>
      </c>
      <c r="C65" s="1">
        <v>5.5</v>
      </c>
    </row>
    <row r="66" spans="1:3">
      <c r="A66" s="1">
        <v>66</v>
      </c>
      <c r="B66" s="1" t="s">
        <v>85</v>
      </c>
      <c r="C66" s="1">
        <v>1.2</v>
      </c>
    </row>
    <row r="67" spans="1:3">
      <c r="A67" s="1">
        <v>67</v>
      </c>
      <c r="B67" s="1" t="s">
        <v>87</v>
      </c>
      <c r="C67" s="1">
        <v>0.9</v>
      </c>
    </row>
    <row r="68" spans="1:3">
      <c r="A68" s="1">
        <v>68</v>
      </c>
      <c r="B68" s="1" t="s">
        <v>89</v>
      </c>
      <c r="C68" s="1">
        <v>0.9</v>
      </c>
    </row>
    <row r="69" spans="1:3">
      <c r="A69" s="1">
        <v>69</v>
      </c>
      <c r="B69" s="1" t="s">
        <v>91</v>
      </c>
      <c r="C69" s="1">
        <v>4.2</v>
      </c>
    </row>
    <row r="70" spans="1:3">
      <c r="A70" s="1">
        <v>70</v>
      </c>
      <c r="B70" s="1" t="s">
        <v>260</v>
      </c>
      <c r="C70" s="1">
        <v>0.9</v>
      </c>
    </row>
    <row r="71" spans="1:3">
      <c r="A71" s="1">
        <v>71</v>
      </c>
      <c r="B71" s="1" t="s">
        <v>93</v>
      </c>
      <c r="C71" s="1">
        <v>2.7</v>
      </c>
    </row>
    <row r="72" spans="1:3">
      <c r="A72" s="1">
        <v>72</v>
      </c>
      <c r="B72" s="1" t="s">
        <v>95</v>
      </c>
      <c r="C72" s="1">
        <v>9.9</v>
      </c>
    </row>
    <row r="73" spans="1:3">
      <c r="A73" s="1">
        <v>73</v>
      </c>
      <c r="B73" s="1" t="s">
        <v>97</v>
      </c>
      <c r="C73" s="1">
        <v>1</v>
      </c>
    </row>
    <row r="74" spans="1:3">
      <c r="A74" s="1">
        <v>74</v>
      </c>
      <c r="B74" s="1" t="s">
        <v>99</v>
      </c>
      <c r="C74" s="1">
        <v>0.9</v>
      </c>
    </row>
    <row r="75" spans="1:3">
      <c r="A75" s="1">
        <v>75</v>
      </c>
      <c r="B75" s="1" t="s">
        <v>101</v>
      </c>
      <c r="C75" s="1">
        <v>0.9</v>
      </c>
    </row>
    <row r="76" spans="1:3">
      <c r="A76" s="1">
        <v>76</v>
      </c>
      <c r="B76" s="1" t="s">
        <v>103</v>
      </c>
      <c r="C76" s="1">
        <v>1</v>
      </c>
    </row>
    <row r="77" spans="1:3">
      <c r="A77" s="1">
        <v>77</v>
      </c>
      <c r="B77" s="1" t="s">
        <v>105</v>
      </c>
      <c r="C77" s="1">
        <v>1.3</v>
      </c>
    </row>
    <row r="78" spans="1:3">
      <c r="A78" s="1">
        <v>78</v>
      </c>
      <c r="B78" s="1" t="s">
        <v>107</v>
      </c>
      <c r="C78" s="1">
        <v>0.8</v>
      </c>
    </row>
    <row r="79" spans="1:3">
      <c r="A79" s="1">
        <v>79</v>
      </c>
      <c r="B79" s="1" t="s">
        <v>109</v>
      </c>
      <c r="C79" s="1">
        <v>1.3</v>
      </c>
    </row>
    <row r="80" spans="1:3">
      <c r="A80" s="1">
        <v>80</v>
      </c>
      <c r="B80" s="1" t="s">
        <v>111</v>
      </c>
      <c r="C80" s="1">
        <v>7.6</v>
      </c>
    </row>
    <row r="81" spans="1:3">
      <c r="A81" s="1">
        <v>81</v>
      </c>
      <c r="B81" s="1" t="s">
        <v>113</v>
      </c>
      <c r="C81" s="1">
        <v>1.6</v>
      </c>
    </row>
    <row r="82" spans="1:3">
      <c r="A82" s="1">
        <v>82</v>
      </c>
      <c r="B82" s="1" t="s">
        <v>114</v>
      </c>
      <c r="C82" s="1">
        <v>1</v>
      </c>
    </row>
    <row r="83" spans="1:3">
      <c r="A83" s="1">
        <v>83</v>
      </c>
      <c r="B83" s="1" t="s">
        <v>115</v>
      </c>
      <c r="C83" s="1">
        <v>0.9</v>
      </c>
    </row>
    <row r="84" spans="1:3">
      <c r="A84" s="1">
        <v>84</v>
      </c>
      <c r="B84" s="1" t="s">
        <v>116</v>
      </c>
      <c r="C84" s="1">
        <v>1</v>
      </c>
    </row>
    <row r="85" spans="1:3">
      <c r="A85" s="1">
        <v>85</v>
      </c>
      <c r="B85" s="1" t="s">
        <v>117</v>
      </c>
      <c r="C85" s="1">
        <v>7</v>
      </c>
    </row>
    <row r="86" spans="1:3">
      <c r="A86" s="1">
        <v>86</v>
      </c>
      <c r="B86" s="1" t="s">
        <v>118</v>
      </c>
      <c r="C86" s="1">
        <v>9.1999999999999993</v>
      </c>
    </row>
    <row r="87" spans="1:3">
      <c r="A87" s="1">
        <v>87</v>
      </c>
      <c r="B87" s="1" t="s">
        <v>119</v>
      </c>
      <c r="C87" s="1">
        <v>8.8000000000000007</v>
      </c>
    </row>
    <row r="88" spans="1:3">
      <c r="A88" s="1">
        <v>88</v>
      </c>
      <c r="B88" s="1" t="s">
        <v>120</v>
      </c>
      <c r="C88" s="1">
        <v>1.6</v>
      </c>
    </row>
    <row r="89" spans="1:3">
      <c r="A89" s="1">
        <v>89</v>
      </c>
      <c r="B89" s="1" t="s">
        <v>121</v>
      </c>
      <c r="C89" s="1">
        <v>1</v>
      </c>
    </row>
    <row r="90" spans="1:3">
      <c r="A90" s="1">
        <v>90</v>
      </c>
      <c r="B90" s="1" t="s">
        <v>122</v>
      </c>
      <c r="C90" s="1">
        <v>1.1000000000000001</v>
      </c>
    </row>
    <row r="91" spans="1:3">
      <c r="A91" s="1">
        <v>91</v>
      </c>
      <c r="B91" s="1" t="s">
        <v>251</v>
      </c>
      <c r="C91" s="1">
        <v>1.3</v>
      </c>
    </row>
    <row r="92" spans="1:3">
      <c r="A92" s="1">
        <v>92</v>
      </c>
      <c r="B92" s="1" t="s">
        <v>123</v>
      </c>
      <c r="C92" s="1">
        <v>2.5</v>
      </c>
    </row>
    <row r="93" spans="1:3">
      <c r="A93" s="1">
        <v>93</v>
      </c>
      <c r="B93" s="1" t="s">
        <v>0</v>
      </c>
      <c r="C93" s="1">
        <v>10</v>
      </c>
    </row>
    <row r="94" spans="1:3">
      <c r="A94" s="1">
        <v>94</v>
      </c>
      <c r="B94" s="1" t="s">
        <v>245</v>
      </c>
      <c r="C94" s="1">
        <v>1.7</v>
      </c>
    </row>
    <row r="95" spans="1:3">
      <c r="A95" s="1">
        <v>95</v>
      </c>
      <c r="B95" s="1" t="s">
        <v>124</v>
      </c>
      <c r="C95" s="1">
        <v>2.1</v>
      </c>
    </row>
    <row r="96" spans="1:3">
      <c r="A96" s="1">
        <v>96</v>
      </c>
      <c r="B96" s="1" t="s">
        <v>244</v>
      </c>
      <c r="C96" s="1">
        <v>1.7</v>
      </c>
    </row>
    <row r="97" spans="1:3">
      <c r="A97" s="1">
        <v>97</v>
      </c>
      <c r="B97" s="1" t="s">
        <v>125</v>
      </c>
      <c r="C97" s="1">
        <v>5</v>
      </c>
    </row>
    <row r="98" spans="1:3">
      <c r="A98" s="1">
        <v>98</v>
      </c>
      <c r="B98" s="1" t="s">
        <v>126</v>
      </c>
      <c r="C98" s="1">
        <v>8</v>
      </c>
    </row>
    <row r="99" spans="1:3">
      <c r="A99" s="1">
        <v>99</v>
      </c>
      <c r="B99" s="1" t="s">
        <v>127</v>
      </c>
      <c r="C99" s="1">
        <v>3.3</v>
      </c>
    </row>
    <row r="100" spans="1:3">
      <c r="A100" s="1">
        <v>100</v>
      </c>
      <c r="B100" s="1" t="s">
        <v>250</v>
      </c>
      <c r="C100" s="1">
        <v>1.5</v>
      </c>
    </row>
    <row r="101" spans="1:3">
      <c r="A101" s="1">
        <v>101</v>
      </c>
      <c r="B101" s="1" t="s">
        <v>128</v>
      </c>
      <c r="C101" s="1">
        <v>0.8</v>
      </c>
    </row>
    <row r="102" spans="1:3">
      <c r="A102" s="1">
        <v>102</v>
      </c>
      <c r="B102" s="1" t="s">
        <v>129</v>
      </c>
      <c r="C102" s="1">
        <v>1.1000000000000001</v>
      </c>
    </row>
    <row r="103" spans="1:3">
      <c r="A103" s="1">
        <v>103</v>
      </c>
      <c r="B103" s="1" t="s">
        <v>130</v>
      </c>
      <c r="C103" s="1">
        <v>2.2999999999999998</v>
      </c>
    </row>
    <row r="104" spans="1:3">
      <c r="A104" s="1">
        <v>104</v>
      </c>
      <c r="B104" s="1" t="s">
        <v>131</v>
      </c>
      <c r="C104" s="1">
        <v>1</v>
      </c>
    </row>
    <row r="105" spans="1:3">
      <c r="A105" s="1">
        <v>105</v>
      </c>
      <c r="B105" s="1" t="s">
        <v>132</v>
      </c>
      <c r="C105" s="1">
        <v>0.8</v>
      </c>
    </row>
    <row r="106" spans="1:3">
      <c r="A106" s="1">
        <v>106</v>
      </c>
      <c r="B106" s="1" t="s">
        <v>133</v>
      </c>
      <c r="C106" s="1">
        <v>6.5</v>
      </c>
    </row>
    <row r="107" spans="1:3">
      <c r="A107" s="1">
        <v>107</v>
      </c>
      <c r="B107" s="1" t="s">
        <v>134</v>
      </c>
      <c r="C107" s="1">
        <v>1</v>
      </c>
    </row>
    <row r="108" spans="1:3">
      <c r="A108" s="1">
        <v>108</v>
      </c>
      <c r="B108" s="1" t="s">
        <v>135</v>
      </c>
      <c r="C108" s="1">
        <v>1.1000000000000001</v>
      </c>
    </row>
    <row r="109" spans="1:3">
      <c r="A109" s="1">
        <v>109</v>
      </c>
      <c r="B109" s="1" t="s">
        <v>136</v>
      </c>
      <c r="C109" s="1">
        <v>5.4</v>
      </c>
    </row>
    <row r="110" spans="1:3">
      <c r="A110" s="1">
        <v>110</v>
      </c>
      <c r="B110" s="1" t="s">
        <v>137</v>
      </c>
      <c r="C110" s="1">
        <v>1.1000000000000001</v>
      </c>
    </row>
    <row r="111" spans="1:3">
      <c r="A111" s="1">
        <v>111</v>
      </c>
      <c r="B111" s="1" t="s">
        <v>229</v>
      </c>
      <c r="C111" s="1">
        <v>7.8</v>
      </c>
    </row>
    <row r="112" spans="1:3">
      <c r="A112" s="1">
        <v>112</v>
      </c>
      <c r="B112" s="1" t="s">
        <v>138</v>
      </c>
      <c r="C112" s="1">
        <v>1</v>
      </c>
    </row>
    <row r="113" spans="1:3">
      <c r="A113" s="1">
        <v>113</v>
      </c>
      <c r="B113" s="1" t="s">
        <v>139</v>
      </c>
      <c r="C113" s="1">
        <v>1</v>
      </c>
    </row>
    <row r="114" spans="1:3">
      <c r="A114" s="1">
        <v>114</v>
      </c>
      <c r="B114" s="1" t="s">
        <v>140</v>
      </c>
      <c r="C114" s="1">
        <v>1</v>
      </c>
    </row>
    <row r="115" spans="1:3">
      <c r="A115" s="1">
        <v>115</v>
      </c>
      <c r="B115" s="1" t="s">
        <v>141</v>
      </c>
      <c r="C115" s="1">
        <v>1.2</v>
      </c>
    </row>
    <row r="116" spans="1:3">
      <c r="A116" s="1">
        <v>116</v>
      </c>
      <c r="B116" s="1" t="s">
        <v>249</v>
      </c>
      <c r="C116" s="1">
        <v>1.5</v>
      </c>
    </row>
    <row r="117" spans="1:3">
      <c r="A117" s="1">
        <v>117</v>
      </c>
      <c r="B117" s="1" t="s">
        <v>142</v>
      </c>
      <c r="C117" s="1">
        <v>9</v>
      </c>
    </row>
    <row r="118" spans="1:3">
      <c r="A118" s="1">
        <v>118</v>
      </c>
      <c r="B118" s="1" t="s">
        <v>143</v>
      </c>
      <c r="C118" s="1">
        <v>7</v>
      </c>
    </row>
    <row r="119" spans="1:3">
      <c r="A119" s="1">
        <v>119</v>
      </c>
      <c r="B119" s="1" t="s">
        <v>144</v>
      </c>
      <c r="C119" s="1">
        <v>1.3</v>
      </c>
    </row>
    <row r="120" spans="1:3">
      <c r="A120" s="1">
        <v>120</v>
      </c>
      <c r="B120" s="1" t="s">
        <v>145</v>
      </c>
      <c r="C120" s="1">
        <v>0.9</v>
      </c>
    </row>
    <row r="121" spans="1:3">
      <c r="A121" s="1">
        <v>121</v>
      </c>
      <c r="B121" s="1" t="s">
        <v>146</v>
      </c>
      <c r="C121" s="1">
        <v>1</v>
      </c>
    </row>
    <row r="122" spans="1:3">
      <c r="A122" s="1">
        <v>122</v>
      </c>
      <c r="B122" s="1" t="s">
        <v>147</v>
      </c>
      <c r="C122" s="1">
        <v>1.4</v>
      </c>
    </row>
    <row r="123" spans="1:3">
      <c r="A123" s="1">
        <v>123</v>
      </c>
      <c r="B123" s="1" t="s">
        <v>148</v>
      </c>
      <c r="C123" s="1">
        <v>9.5</v>
      </c>
    </row>
    <row r="124" spans="1:3">
      <c r="A124" s="1">
        <v>124</v>
      </c>
      <c r="B124" s="1" t="s">
        <v>240</v>
      </c>
      <c r="C124" s="1">
        <v>2</v>
      </c>
    </row>
    <row r="125" spans="1:3">
      <c r="A125" s="1">
        <v>125</v>
      </c>
      <c r="B125" s="1" t="s">
        <v>246</v>
      </c>
      <c r="C125" s="1">
        <v>1.6</v>
      </c>
    </row>
    <row r="126" spans="1:3">
      <c r="A126" s="1">
        <v>126</v>
      </c>
      <c r="B126" s="1" t="s">
        <v>149</v>
      </c>
      <c r="C126" s="1">
        <v>0.9</v>
      </c>
    </row>
    <row r="127" spans="1:3">
      <c r="A127" s="1">
        <v>127</v>
      </c>
      <c r="B127" s="1" t="s">
        <v>150</v>
      </c>
      <c r="C127" s="1">
        <v>1</v>
      </c>
    </row>
    <row r="128" spans="1:3">
      <c r="A128" s="1">
        <v>128</v>
      </c>
      <c r="B128" s="1" t="s">
        <v>151</v>
      </c>
      <c r="C128" s="1">
        <v>2</v>
      </c>
    </row>
    <row r="129" spans="1:3">
      <c r="A129" s="1">
        <v>129</v>
      </c>
      <c r="B129" s="1" t="s">
        <v>152</v>
      </c>
      <c r="C129" s="1">
        <v>2</v>
      </c>
    </row>
    <row r="130" spans="1:3">
      <c r="A130" s="1">
        <v>130</v>
      </c>
      <c r="B130" s="1" t="s">
        <v>230</v>
      </c>
      <c r="C130" s="1">
        <v>7.4</v>
      </c>
    </row>
    <row r="131" spans="1:3">
      <c r="A131" s="1">
        <v>131</v>
      </c>
      <c r="B131" s="1" t="s">
        <v>153</v>
      </c>
      <c r="C131" s="1">
        <v>0.7</v>
      </c>
    </row>
    <row r="132" spans="1:3">
      <c r="A132" s="1">
        <v>132</v>
      </c>
      <c r="B132" s="1" t="s">
        <v>154</v>
      </c>
      <c r="C132" s="1">
        <v>6.1</v>
      </c>
    </row>
    <row r="133" spans="1:3">
      <c r="A133" s="1">
        <v>133</v>
      </c>
      <c r="B133" s="1" t="s">
        <v>155</v>
      </c>
      <c r="C133" s="1">
        <v>3.8</v>
      </c>
    </row>
    <row r="134" spans="1:3">
      <c r="A134" s="1">
        <v>134</v>
      </c>
      <c r="B134" s="1" t="s">
        <v>156</v>
      </c>
      <c r="C134" s="1">
        <v>1.5</v>
      </c>
    </row>
    <row r="135" spans="1:3">
      <c r="A135" s="1">
        <v>135</v>
      </c>
      <c r="B135" s="1" t="s">
        <v>157</v>
      </c>
      <c r="C135" s="1">
        <v>0.9</v>
      </c>
    </row>
    <row r="136" spans="1:3">
      <c r="A136" s="1">
        <v>136</v>
      </c>
      <c r="B136" s="1" t="s">
        <v>158</v>
      </c>
      <c r="C136" s="1">
        <v>10</v>
      </c>
    </row>
    <row r="137" spans="1:3">
      <c r="A137" s="1">
        <v>137</v>
      </c>
      <c r="B137" s="1" t="s">
        <v>224</v>
      </c>
      <c r="C137" s="1">
        <v>9.8000000000000007</v>
      </c>
    </row>
    <row r="138" spans="1:3">
      <c r="A138" s="1">
        <v>138</v>
      </c>
      <c r="B138" s="1" t="s">
        <v>159</v>
      </c>
      <c r="C138" s="1">
        <v>0.9</v>
      </c>
    </row>
    <row r="139" spans="1:3">
      <c r="A139" s="1">
        <v>139</v>
      </c>
      <c r="B139" s="1" t="s">
        <v>160</v>
      </c>
      <c r="C139" s="1">
        <v>0.7</v>
      </c>
    </row>
    <row r="140" spans="1:3">
      <c r="A140" s="1">
        <v>140</v>
      </c>
      <c r="B140" s="1" t="s">
        <v>161</v>
      </c>
      <c r="C140" s="1">
        <v>2.5</v>
      </c>
    </row>
    <row r="141" spans="1:3">
      <c r="A141" s="1">
        <v>141</v>
      </c>
      <c r="B141" s="1" t="s">
        <v>162</v>
      </c>
      <c r="C141" s="1">
        <v>0.9</v>
      </c>
    </row>
    <row r="142" spans="1:3">
      <c r="A142" s="1">
        <v>142</v>
      </c>
      <c r="B142" s="1" t="s">
        <v>235</v>
      </c>
      <c r="C142" s="1">
        <v>2.6</v>
      </c>
    </row>
    <row r="143" spans="1:3">
      <c r="A143" s="1">
        <v>143</v>
      </c>
      <c r="B143" s="1" t="s">
        <v>163</v>
      </c>
      <c r="C143" s="1">
        <v>1.4</v>
      </c>
    </row>
    <row r="144" spans="1:3">
      <c r="A144" s="1">
        <v>144</v>
      </c>
      <c r="B144" s="1" t="s">
        <v>164</v>
      </c>
      <c r="C144" s="1">
        <v>0.7</v>
      </c>
    </row>
    <row r="145" spans="1:3">
      <c r="A145" s="1">
        <v>145</v>
      </c>
      <c r="B145" s="1" t="s">
        <v>165</v>
      </c>
      <c r="C145" s="1">
        <v>1</v>
      </c>
    </row>
    <row r="146" spans="1:3">
      <c r="A146" s="1">
        <v>146</v>
      </c>
      <c r="B146" s="1" t="s">
        <v>166</v>
      </c>
      <c r="C146" s="1">
        <v>7.8</v>
      </c>
    </row>
    <row r="147" spans="1:3">
      <c r="A147" s="1">
        <v>147</v>
      </c>
      <c r="B147" s="1" t="s">
        <v>167</v>
      </c>
      <c r="C147" s="1">
        <v>1.1000000000000001</v>
      </c>
    </row>
    <row r="148" spans="1:3">
      <c r="A148" s="1">
        <v>148</v>
      </c>
      <c r="B148" s="1" t="s">
        <v>252</v>
      </c>
      <c r="C148" s="1">
        <v>1.2</v>
      </c>
    </row>
    <row r="149" spans="1:3">
      <c r="A149" s="1">
        <v>149</v>
      </c>
      <c r="B149" s="1" t="s">
        <v>168</v>
      </c>
      <c r="C149" s="1">
        <v>1.4</v>
      </c>
    </row>
    <row r="150" spans="1:3">
      <c r="A150" s="1">
        <v>150</v>
      </c>
      <c r="B150" s="1" t="s">
        <v>169</v>
      </c>
      <c r="C150" s="1">
        <v>1.1000000000000001</v>
      </c>
    </row>
    <row r="151" spans="1:3">
      <c r="A151" s="1">
        <v>151</v>
      </c>
      <c r="B151" s="1" t="s">
        <v>170</v>
      </c>
      <c r="C151" s="1">
        <v>1</v>
      </c>
    </row>
    <row r="152" spans="1:3">
      <c r="A152" s="1">
        <v>152</v>
      </c>
      <c r="B152" s="1" t="s">
        <v>171</v>
      </c>
      <c r="C152" s="1">
        <v>2.7</v>
      </c>
    </row>
    <row r="153" spans="1:3">
      <c r="A153" s="1">
        <v>153</v>
      </c>
      <c r="B153" s="1" t="s">
        <v>172</v>
      </c>
      <c r="C153" s="1">
        <v>0.9</v>
      </c>
    </row>
    <row r="154" spans="1:3">
      <c r="A154" s="1">
        <v>154</v>
      </c>
      <c r="B154" s="1" t="s">
        <v>173</v>
      </c>
      <c r="C154" s="1">
        <v>0.9</v>
      </c>
    </row>
    <row r="155" spans="1:3">
      <c r="A155" s="1">
        <v>155</v>
      </c>
      <c r="B155" s="1" t="s">
        <v>175</v>
      </c>
      <c r="C155" s="1">
        <v>5.0999999999999996</v>
      </c>
    </row>
    <row r="156" spans="1:3">
      <c r="A156" s="1">
        <v>156</v>
      </c>
      <c r="B156" s="1" t="s">
        <v>232</v>
      </c>
      <c r="C156" s="1">
        <v>6.8</v>
      </c>
    </row>
    <row r="157" spans="1:3">
      <c r="A157" s="1">
        <v>157</v>
      </c>
      <c r="B157" s="1" t="s">
        <v>261</v>
      </c>
      <c r="C157" s="1">
        <v>0.7</v>
      </c>
    </row>
    <row r="158" spans="1:3">
      <c r="A158" s="1">
        <v>158</v>
      </c>
      <c r="B158" s="1" t="s">
        <v>177</v>
      </c>
      <c r="C158" s="1">
        <v>2.1</v>
      </c>
    </row>
    <row r="159" spans="1:3">
      <c r="A159" s="1">
        <v>159</v>
      </c>
      <c r="B159" s="1" t="s">
        <v>178</v>
      </c>
      <c r="C159" s="1">
        <v>2</v>
      </c>
    </row>
    <row r="160" spans="1:3">
      <c r="A160" s="1">
        <v>160</v>
      </c>
      <c r="B160" s="1" t="s">
        <v>257</v>
      </c>
      <c r="C160" s="1">
        <v>1</v>
      </c>
    </row>
    <row r="161" spans="1:3">
      <c r="A161" s="1">
        <v>161</v>
      </c>
      <c r="B161" s="1" t="s">
        <v>179</v>
      </c>
      <c r="C161" s="1">
        <v>2.2000000000000002</v>
      </c>
    </row>
    <row r="162" spans="1:3">
      <c r="A162" s="1">
        <v>162</v>
      </c>
      <c r="B162" s="1" t="s">
        <v>180</v>
      </c>
      <c r="C162" s="1">
        <v>10</v>
      </c>
    </row>
    <row r="163" spans="1:3">
      <c r="A163" s="1">
        <v>163</v>
      </c>
      <c r="B163" s="1" t="s">
        <v>238</v>
      </c>
      <c r="C163" s="1">
        <v>2</v>
      </c>
    </row>
    <row r="164" spans="1:3">
      <c r="A164" s="1">
        <v>164</v>
      </c>
      <c r="B164" s="1" t="s">
        <v>183</v>
      </c>
      <c r="C164" s="1">
        <v>2.2999999999999998</v>
      </c>
    </row>
    <row r="165" spans="1:3">
      <c r="A165" s="1">
        <v>165</v>
      </c>
      <c r="B165" s="1" t="s">
        <v>184</v>
      </c>
      <c r="C165" s="1">
        <v>2.8</v>
      </c>
    </row>
    <row r="166" spans="1:3">
      <c r="A166" s="1">
        <v>166</v>
      </c>
      <c r="B166" s="1" t="s">
        <v>185</v>
      </c>
      <c r="C166" s="1">
        <v>1.3</v>
      </c>
    </row>
    <row r="167" spans="1:3">
      <c r="A167" s="1">
        <v>167</v>
      </c>
      <c r="B167" s="1" t="s">
        <v>186</v>
      </c>
      <c r="C167" s="1">
        <v>1</v>
      </c>
    </row>
    <row r="168" spans="1:3">
      <c r="A168" s="1">
        <v>168</v>
      </c>
      <c r="B168" s="1" t="s">
        <v>237</v>
      </c>
      <c r="C168" s="1">
        <v>2.2999999999999998</v>
      </c>
    </row>
    <row r="169" spans="1:3">
      <c r="A169" s="1">
        <v>169</v>
      </c>
      <c r="B169" s="1" t="s">
        <v>187</v>
      </c>
      <c r="C169" s="1">
        <v>3.2</v>
      </c>
    </row>
    <row r="170" spans="1:3">
      <c r="A170" s="1">
        <v>170</v>
      </c>
      <c r="B170" s="1" t="s">
        <v>188</v>
      </c>
      <c r="C170" s="1">
        <v>6</v>
      </c>
    </row>
    <row r="171" spans="1:3">
      <c r="A171" s="1">
        <v>171</v>
      </c>
      <c r="B171" s="1" t="s">
        <v>189</v>
      </c>
      <c r="C171" s="1">
        <v>0.8</v>
      </c>
    </row>
    <row r="172" spans="1:3">
      <c r="A172" s="1">
        <v>172</v>
      </c>
      <c r="B172" s="1" t="s">
        <v>190</v>
      </c>
      <c r="C172" s="1">
        <v>0.8</v>
      </c>
    </row>
    <row r="173" spans="1:3">
      <c r="A173" s="1">
        <v>173</v>
      </c>
      <c r="B173" s="1" t="s">
        <v>191</v>
      </c>
      <c r="C173" s="1">
        <v>1</v>
      </c>
    </row>
    <row r="174" spans="1:3">
      <c r="A174" s="1">
        <v>174</v>
      </c>
      <c r="B174" s="1" t="s">
        <v>242</v>
      </c>
      <c r="C174" s="1">
        <v>1.8</v>
      </c>
    </row>
    <row r="175" spans="1:3">
      <c r="A175" s="1">
        <v>175</v>
      </c>
      <c r="B175" s="1" t="s">
        <v>243</v>
      </c>
      <c r="C175" s="1">
        <v>1.8</v>
      </c>
    </row>
    <row r="176" spans="1:3">
      <c r="A176" s="1">
        <v>176</v>
      </c>
      <c r="B176" s="1" t="s">
        <v>192</v>
      </c>
      <c r="C176" s="1">
        <v>7.3</v>
      </c>
    </row>
    <row r="177" spans="1:3">
      <c r="A177" s="1">
        <v>177</v>
      </c>
      <c r="B177" s="1" t="s">
        <v>193</v>
      </c>
      <c r="C177" s="1">
        <v>0.8</v>
      </c>
    </row>
    <row r="178" spans="1:3">
      <c r="A178" s="1">
        <v>178</v>
      </c>
      <c r="B178" s="1" t="s">
        <v>194</v>
      </c>
      <c r="C178" s="1">
        <v>0.9</v>
      </c>
    </row>
    <row r="179" spans="1:3">
      <c r="A179" s="1">
        <v>179</v>
      </c>
      <c r="B179" s="1" t="s">
        <v>259</v>
      </c>
      <c r="C179" s="1">
        <v>0.9</v>
      </c>
    </row>
    <row r="180" spans="1:3">
      <c r="A180" s="1">
        <v>180</v>
      </c>
      <c r="B180" s="1" t="s">
        <v>195</v>
      </c>
      <c r="C180" s="1">
        <v>1.1000000000000001</v>
      </c>
    </row>
    <row r="181" spans="1:3">
      <c r="A181" s="1">
        <v>181</v>
      </c>
      <c r="B181" s="1" t="s">
        <v>211</v>
      </c>
      <c r="C181" s="1">
        <v>8.4</v>
      </c>
    </row>
    <row r="182" spans="1:3">
      <c r="A182" s="1">
        <v>182</v>
      </c>
      <c r="B182" s="1" t="s">
        <v>212</v>
      </c>
      <c r="C182" s="1">
        <v>0.9</v>
      </c>
    </row>
    <row r="183" spans="1:3">
      <c r="A183" s="1">
        <v>183</v>
      </c>
      <c r="B183" s="1" t="s">
        <v>213</v>
      </c>
      <c r="C183" s="1">
        <v>9.3000000000000007</v>
      </c>
    </row>
    <row r="184" spans="1:3">
      <c r="A184" s="1">
        <v>184</v>
      </c>
      <c r="B184" s="1" t="s">
        <v>214</v>
      </c>
      <c r="C184" s="1">
        <v>8.6</v>
      </c>
    </row>
    <row r="185" spans="1:3">
      <c r="A185" s="1">
        <v>185</v>
      </c>
      <c r="B185" s="1" t="s">
        <v>215</v>
      </c>
      <c r="C185" s="1">
        <v>9.8000000000000007</v>
      </c>
    </row>
    <row r="186" spans="1:3">
      <c r="A186" s="1">
        <v>186</v>
      </c>
      <c r="B186" s="1" t="s">
        <v>216</v>
      </c>
      <c r="C186" s="1">
        <v>1.1000000000000001</v>
      </c>
    </row>
    <row r="187" spans="1:3">
      <c r="A187" s="1">
        <v>187</v>
      </c>
      <c r="B187" s="1" t="s">
        <v>217</v>
      </c>
      <c r="C187" s="1">
        <v>1</v>
      </c>
    </row>
    <row r="188" spans="1:3">
      <c r="A188" s="1">
        <v>188</v>
      </c>
      <c r="B188" s="1" t="s">
        <v>218</v>
      </c>
      <c r="C188" s="1">
        <v>1</v>
      </c>
    </row>
    <row r="189" spans="1:3">
      <c r="A189" s="1">
        <v>189</v>
      </c>
      <c r="B189" s="1" t="s">
        <v>219</v>
      </c>
      <c r="C189" s="1">
        <v>8.9</v>
      </c>
    </row>
    <row r="190" spans="1:3">
      <c r="A190" s="1">
        <v>190</v>
      </c>
      <c r="B190" s="1" t="s">
        <v>220</v>
      </c>
      <c r="C190" s="1">
        <v>10</v>
      </c>
    </row>
    <row r="191" spans="1:3">
      <c r="A191" s="1">
        <v>191</v>
      </c>
      <c r="B191" s="1" t="s">
        <v>226</v>
      </c>
      <c r="C191" s="1">
        <v>9.6999999999999993</v>
      </c>
    </row>
    <row r="192" spans="1:3">
      <c r="A192" s="1">
        <v>192</v>
      </c>
      <c r="B192" s="1" t="s">
        <v>258</v>
      </c>
      <c r="C192" s="1">
        <v>1</v>
      </c>
    </row>
    <row r="193" spans="1:3">
      <c r="A193" s="1">
        <v>193</v>
      </c>
      <c r="B193" s="1" t="s">
        <v>241</v>
      </c>
      <c r="C193" s="1">
        <v>1.9</v>
      </c>
    </row>
    <row r="194" spans="1:3">
      <c r="A194" s="1">
        <v>194</v>
      </c>
      <c r="B194" s="1" t="s">
        <v>253</v>
      </c>
      <c r="C194" s="1">
        <v>1</v>
      </c>
    </row>
    <row r="195" spans="1:3">
      <c r="A195" s="1">
        <v>195</v>
      </c>
      <c r="B195" s="1" t="s">
        <v>205</v>
      </c>
      <c r="C195" s="1">
        <v>1</v>
      </c>
    </row>
    <row r="196" spans="1:3">
      <c r="A196" s="1">
        <v>196</v>
      </c>
      <c r="B196" s="1" t="s">
        <v>206</v>
      </c>
      <c r="C196" s="1">
        <v>1</v>
      </c>
    </row>
    <row r="197" spans="1:3">
      <c r="A197" s="1">
        <v>197</v>
      </c>
      <c r="B197" s="1" t="s">
        <v>207</v>
      </c>
      <c r="C197" s="1">
        <v>0.9</v>
      </c>
    </row>
    <row r="198" spans="1:3">
      <c r="A198" s="1">
        <v>198</v>
      </c>
      <c r="B198" s="1" t="s">
        <v>256</v>
      </c>
      <c r="C198" s="1">
        <v>1</v>
      </c>
    </row>
    <row r="199" spans="1:3">
      <c r="A199" s="1">
        <v>199</v>
      </c>
      <c r="B199" s="1" t="s">
        <v>208</v>
      </c>
      <c r="C199" s="1">
        <v>1.3</v>
      </c>
    </row>
    <row r="200" spans="1:3">
      <c r="A200" s="1">
        <v>200</v>
      </c>
      <c r="B200" s="1" t="s">
        <v>236</v>
      </c>
      <c r="C200" s="1">
        <v>2.5</v>
      </c>
    </row>
    <row r="201" spans="1:3">
      <c r="A201" s="1">
        <v>201</v>
      </c>
      <c r="B201" s="1" t="s">
        <v>209</v>
      </c>
      <c r="C201" s="1">
        <v>1</v>
      </c>
    </row>
    <row r="202" spans="1:3">
      <c r="A202" s="1">
        <v>202</v>
      </c>
      <c r="B202" s="1" t="s">
        <v>210</v>
      </c>
      <c r="C202" s="1">
        <v>0.9</v>
      </c>
    </row>
    <row r="203" spans="1:3">
      <c r="A203" s="1">
        <v>203</v>
      </c>
      <c r="B203" s="1" t="s">
        <v>221</v>
      </c>
      <c r="C203" s="1">
        <v>1</v>
      </c>
    </row>
    <row r="204" spans="1:3">
      <c r="A204" s="1">
        <v>204</v>
      </c>
      <c r="B204" s="1" t="s">
        <v>239</v>
      </c>
      <c r="C204" s="1">
        <v>2</v>
      </c>
    </row>
    <row r="205" spans="1:3">
      <c r="A205" s="1">
        <v>205</v>
      </c>
      <c r="B205" s="1" t="s">
        <v>222</v>
      </c>
      <c r="C205" s="1">
        <v>0.6</v>
      </c>
    </row>
  </sheetData>
  <sortState ref="A1:C205">
    <sortCondition ref="A23"/>
  </sortState>
  <phoneticPr fontId="5"/>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sheetPr codeName="Sheet4"/>
  <dimension ref="A1:E273"/>
  <sheetViews>
    <sheetView tabSelected="1" workbookViewId="0">
      <selection activeCell="B6" sqref="B6"/>
    </sheetView>
  </sheetViews>
  <sheetFormatPr defaultRowHeight="11.25"/>
  <cols>
    <col min="1" max="3" width="9" style="6"/>
    <col min="4" max="4" width="63.75" style="6" customWidth="1"/>
    <col min="5" max="16384" width="9" style="6"/>
  </cols>
  <sheetData>
    <row r="1" spans="1:5">
      <c r="A1" s="6" t="s">
        <v>374</v>
      </c>
      <c r="B1" s="6" t="s">
        <v>1282</v>
      </c>
    </row>
    <row r="2" spans="1:5">
      <c r="A2" s="6" t="s">
        <v>721</v>
      </c>
      <c r="B2" s="6" t="s">
        <v>561</v>
      </c>
      <c r="C2" s="6" t="s">
        <v>414</v>
      </c>
      <c r="D2" s="3" t="s">
        <v>1283</v>
      </c>
    </row>
    <row r="3" spans="1:5" ht="33.75">
      <c r="A3" s="6" t="s">
        <v>723</v>
      </c>
      <c r="B3" s="6" t="s">
        <v>1284</v>
      </c>
      <c r="C3" s="6" t="s">
        <v>414</v>
      </c>
      <c r="D3" s="4" t="s">
        <v>1285</v>
      </c>
    </row>
    <row r="4" spans="1:5" ht="22.5">
      <c r="A4" s="6" t="s">
        <v>725</v>
      </c>
      <c r="B4" s="6" t="s">
        <v>557</v>
      </c>
      <c r="C4" s="6" t="s">
        <v>414</v>
      </c>
      <c r="D4" s="4" t="s">
        <v>1286</v>
      </c>
    </row>
    <row r="5" spans="1:5" ht="22.5">
      <c r="A5" s="6" t="s">
        <v>727</v>
      </c>
      <c r="B5" s="6" t="s">
        <v>563</v>
      </c>
      <c r="C5" s="6" t="s">
        <v>414</v>
      </c>
      <c r="D5" s="4" t="s">
        <v>1287</v>
      </c>
    </row>
    <row r="6" spans="1:5" ht="67.5">
      <c r="A6" s="6" t="s">
        <v>1288</v>
      </c>
      <c r="B6" s="6" t="s">
        <v>579</v>
      </c>
      <c r="C6" s="6" t="s">
        <v>414</v>
      </c>
      <c r="D6" s="3" t="s">
        <v>1289</v>
      </c>
    </row>
    <row r="7" spans="1:5">
      <c r="A7" s="6" t="s">
        <v>1290</v>
      </c>
      <c r="B7" s="6" t="s">
        <v>563</v>
      </c>
      <c r="C7" s="6" t="s">
        <v>414</v>
      </c>
      <c r="D7" s="6" t="s">
        <v>1291</v>
      </c>
      <c r="E7" s="4"/>
    </row>
    <row r="8" spans="1:5" ht="45">
      <c r="A8" s="6" t="s">
        <v>737</v>
      </c>
      <c r="B8" s="6" t="s">
        <v>557</v>
      </c>
      <c r="C8" s="6" t="s">
        <v>414</v>
      </c>
      <c r="D8" s="3" t="s">
        <v>1292</v>
      </c>
    </row>
    <row r="9" spans="1:5" ht="33.75">
      <c r="A9" s="6" t="s">
        <v>739</v>
      </c>
      <c r="B9" s="6" t="s">
        <v>557</v>
      </c>
      <c r="C9" s="6" t="s">
        <v>414</v>
      </c>
      <c r="D9" s="3" t="s">
        <v>1293</v>
      </c>
    </row>
    <row r="10" spans="1:5" ht="22.5">
      <c r="A10" s="6" t="s">
        <v>1294</v>
      </c>
      <c r="B10" s="6" t="s">
        <v>557</v>
      </c>
      <c r="C10" s="6" t="s">
        <v>414</v>
      </c>
      <c r="D10" s="3" t="s">
        <v>1295</v>
      </c>
    </row>
    <row r="11" spans="1:5">
      <c r="A11" s="6" t="s">
        <v>1296</v>
      </c>
      <c r="B11" s="6" t="s">
        <v>576</v>
      </c>
      <c r="C11" s="6" t="s">
        <v>376</v>
      </c>
      <c r="D11" s="3" t="s">
        <v>1297</v>
      </c>
    </row>
    <row r="12" spans="1:5" ht="22.5">
      <c r="A12" s="6" t="s">
        <v>745</v>
      </c>
      <c r="B12" s="6" t="s">
        <v>557</v>
      </c>
      <c r="C12" s="6" t="s">
        <v>414</v>
      </c>
      <c r="D12" s="3" t="s">
        <v>1298</v>
      </c>
    </row>
    <row r="13" spans="1:5" ht="22.5">
      <c r="A13" s="6" t="s">
        <v>747</v>
      </c>
      <c r="B13" s="6" t="s">
        <v>555</v>
      </c>
      <c r="C13" s="6" t="s">
        <v>414</v>
      </c>
      <c r="D13" s="3" t="s">
        <v>1299</v>
      </c>
    </row>
    <row r="14" spans="1:5" ht="33.75">
      <c r="A14" s="6" t="s">
        <v>749</v>
      </c>
      <c r="B14" s="6" t="s">
        <v>564</v>
      </c>
      <c r="C14" s="6" t="s">
        <v>414</v>
      </c>
      <c r="D14" s="3" t="s">
        <v>1300</v>
      </c>
    </row>
    <row r="15" spans="1:5">
      <c r="A15" s="6" t="s">
        <v>752</v>
      </c>
      <c r="B15" s="6" t="s">
        <v>555</v>
      </c>
      <c r="C15" s="6" t="s">
        <v>414</v>
      </c>
      <c r="D15" s="3"/>
    </row>
    <row r="16" spans="1:5">
      <c r="A16" s="6" t="s">
        <v>754</v>
      </c>
      <c r="B16" s="6" t="s">
        <v>559</v>
      </c>
      <c r="C16" s="6" t="s">
        <v>414</v>
      </c>
      <c r="D16" s="6" t="s">
        <v>1301</v>
      </c>
      <c r="E16" s="3"/>
    </row>
    <row r="17" spans="1:5" ht="22.5">
      <c r="A17" s="6" t="s">
        <v>756</v>
      </c>
      <c r="B17" s="6" t="s">
        <v>557</v>
      </c>
      <c r="C17" s="6" t="s">
        <v>414</v>
      </c>
      <c r="D17" s="3" t="s">
        <v>1302</v>
      </c>
    </row>
    <row r="18" spans="1:5" ht="33.75">
      <c r="A18" s="6" t="s">
        <v>758</v>
      </c>
      <c r="B18" s="6" t="s">
        <v>569</v>
      </c>
      <c r="C18" s="6" t="s">
        <v>414</v>
      </c>
      <c r="D18" s="4" t="s">
        <v>1303</v>
      </c>
    </row>
    <row r="19" spans="1:5">
      <c r="A19" s="6" t="s">
        <v>760</v>
      </c>
      <c r="B19" s="6" t="s">
        <v>557</v>
      </c>
      <c r="C19" s="6" t="s">
        <v>414</v>
      </c>
      <c r="D19" s="6" t="s">
        <v>1304</v>
      </c>
    </row>
    <row r="20" spans="1:5">
      <c r="A20" s="6" t="s">
        <v>762</v>
      </c>
      <c r="B20" s="6" t="s">
        <v>555</v>
      </c>
      <c r="C20" s="6" t="s">
        <v>414</v>
      </c>
      <c r="D20" s="6" t="s">
        <v>1305</v>
      </c>
    </row>
    <row r="21" spans="1:5">
      <c r="A21" s="6" t="s">
        <v>1306</v>
      </c>
      <c r="B21" s="6" t="s">
        <v>576</v>
      </c>
      <c r="C21" s="6" t="s">
        <v>376</v>
      </c>
      <c r="D21" s="6" t="s">
        <v>1307</v>
      </c>
    </row>
    <row r="22" spans="1:5" ht="22.5">
      <c r="A22" s="6" t="s">
        <v>1308</v>
      </c>
      <c r="B22" s="6" t="s">
        <v>555</v>
      </c>
      <c r="C22" s="6" t="s">
        <v>414</v>
      </c>
      <c r="D22" s="3" t="s">
        <v>1309</v>
      </c>
    </row>
    <row r="23" spans="1:5" ht="33.75">
      <c r="A23" s="6" t="s">
        <v>768</v>
      </c>
      <c r="B23" s="6" t="s">
        <v>557</v>
      </c>
      <c r="C23" s="6" t="s">
        <v>414</v>
      </c>
      <c r="D23" s="3" t="s">
        <v>1310</v>
      </c>
    </row>
    <row r="24" spans="1:5" ht="33.75">
      <c r="A24" s="6" t="s">
        <v>770</v>
      </c>
      <c r="B24" s="6" t="s">
        <v>569</v>
      </c>
      <c r="C24" s="6" t="s">
        <v>414</v>
      </c>
      <c r="D24" s="4" t="s">
        <v>1311</v>
      </c>
    </row>
    <row r="25" spans="1:5" ht="22.5">
      <c r="A25" s="6" t="s">
        <v>1312</v>
      </c>
      <c r="B25" s="6" t="s">
        <v>563</v>
      </c>
      <c r="C25" s="6" t="s">
        <v>414</v>
      </c>
      <c r="D25" s="3" t="s">
        <v>1313</v>
      </c>
    </row>
    <row r="26" spans="1:5">
      <c r="A26" s="6" t="s">
        <v>775</v>
      </c>
      <c r="B26" s="6" t="s">
        <v>563</v>
      </c>
      <c r="C26" s="6" t="s">
        <v>414</v>
      </c>
      <c r="D26" s="6" t="s">
        <v>1314</v>
      </c>
    </row>
    <row r="27" spans="1:5">
      <c r="A27" s="6" t="s">
        <v>777</v>
      </c>
      <c r="B27" s="6" t="s">
        <v>557</v>
      </c>
      <c r="C27" s="6" t="s">
        <v>414</v>
      </c>
      <c r="D27" s="6" t="s">
        <v>1315</v>
      </c>
    </row>
    <row r="28" spans="1:5" ht="22.5">
      <c r="A28" s="6" t="s">
        <v>779</v>
      </c>
      <c r="B28" s="6" t="s">
        <v>555</v>
      </c>
      <c r="C28" s="6" t="s">
        <v>414</v>
      </c>
      <c r="D28" s="3" t="s">
        <v>1316</v>
      </c>
    </row>
    <row r="29" spans="1:5">
      <c r="A29" s="6" t="s">
        <v>1317</v>
      </c>
      <c r="B29" s="6" t="s">
        <v>555</v>
      </c>
      <c r="C29" s="6" t="s">
        <v>414</v>
      </c>
      <c r="D29" s="6" t="s">
        <v>1318</v>
      </c>
      <c r="E29" s="3"/>
    </row>
    <row r="30" spans="1:5">
      <c r="A30" s="6" t="s">
        <v>784</v>
      </c>
      <c r="B30" s="6" t="s">
        <v>563</v>
      </c>
      <c r="C30" s="6" t="s">
        <v>414</v>
      </c>
      <c r="D30" s="6" t="s">
        <v>1319</v>
      </c>
    </row>
    <row r="31" spans="1:5">
      <c r="A31" s="6" t="s">
        <v>786</v>
      </c>
      <c r="B31" s="6" t="s">
        <v>555</v>
      </c>
      <c r="C31" s="6" t="s">
        <v>414</v>
      </c>
      <c r="D31" s="6" t="s">
        <v>1320</v>
      </c>
    </row>
    <row r="32" spans="1:5">
      <c r="A32" s="6" t="s">
        <v>1321</v>
      </c>
      <c r="B32" s="6" t="s">
        <v>1322</v>
      </c>
      <c r="C32" s="6" t="s">
        <v>563</v>
      </c>
      <c r="D32" s="6" t="s">
        <v>414</v>
      </c>
      <c r="E32" s="6" t="s">
        <v>1323</v>
      </c>
    </row>
    <row r="33" spans="1:5">
      <c r="A33" s="6" t="s">
        <v>791</v>
      </c>
      <c r="B33" s="6" t="s">
        <v>555</v>
      </c>
      <c r="C33" s="6" t="s">
        <v>414</v>
      </c>
      <c r="D33" s="6" t="s">
        <v>1324</v>
      </c>
    </row>
    <row r="34" spans="1:5" ht="22.5">
      <c r="A34" s="6" t="s">
        <v>793</v>
      </c>
      <c r="B34" s="6" t="s">
        <v>557</v>
      </c>
      <c r="C34" s="6" t="s">
        <v>414</v>
      </c>
      <c r="D34" s="3" t="s">
        <v>1325</v>
      </c>
    </row>
    <row r="35" spans="1:5">
      <c r="A35" s="6" t="s">
        <v>1326</v>
      </c>
      <c r="B35" s="6" t="s">
        <v>557</v>
      </c>
      <c r="C35" s="6" t="s">
        <v>414</v>
      </c>
      <c r="D35" s="6" t="s">
        <v>1327</v>
      </c>
    </row>
    <row r="36" spans="1:5">
      <c r="A36" s="6" t="s">
        <v>797</v>
      </c>
      <c r="B36" s="6" t="s">
        <v>555</v>
      </c>
      <c r="C36" s="6" t="s">
        <v>414</v>
      </c>
      <c r="D36" s="3" t="s">
        <v>1328</v>
      </c>
    </row>
    <row r="37" spans="1:5">
      <c r="A37" s="6" t="s">
        <v>799</v>
      </c>
      <c r="B37" s="6" t="s">
        <v>579</v>
      </c>
      <c r="C37" s="6" t="s">
        <v>414</v>
      </c>
      <c r="D37" s="6" t="s">
        <v>1329</v>
      </c>
    </row>
    <row r="38" spans="1:5">
      <c r="A38" s="6" t="s">
        <v>801</v>
      </c>
      <c r="B38" s="6" t="s">
        <v>563</v>
      </c>
      <c r="C38" s="6" t="s">
        <v>414</v>
      </c>
      <c r="D38" s="3" t="s">
        <v>1330</v>
      </c>
    </row>
    <row r="39" spans="1:5">
      <c r="A39" s="6" t="s">
        <v>803</v>
      </c>
      <c r="B39" s="6" t="s">
        <v>557</v>
      </c>
      <c r="C39" s="6" t="s">
        <v>414</v>
      </c>
      <c r="D39" s="6" t="s">
        <v>1331</v>
      </c>
    </row>
    <row r="40" spans="1:5">
      <c r="A40" s="6" t="s">
        <v>805</v>
      </c>
      <c r="B40" s="6" t="s">
        <v>576</v>
      </c>
      <c r="C40" s="6" t="s">
        <v>376</v>
      </c>
      <c r="D40" s="3" t="s">
        <v>1332</v>
      </c>
    </row>
    <row r="41" spans="1:5" ht="22.5">
      <c r="A41" s="6" t="s">
        <v>807</v>
      </c>
      <c r="B41" s="6" t="s">
        <v>576</v>
      </c>
      <c r="C41" s="6" t="s">
        <v>376</v>
      </c>
      <c r="D41" s="3" t="s">
        <v>1333</v>
      </c>
    </row>
    <row r="42" spans="1:5" ht="45">
      <c r="A42" s="6" t="s">
        <v>809</v>
      </c>
      <c r="B42" s="6" t="s">
        <v>557</v>
      </c>
      <c r="C42" s="6" t="s">
        <v>414</v>
      </c>
      <c r="D42" s="3" t="s">
        <v>1334</v>
      </c>
    </row>
    <row r="43" spans="1:5">
      <c r="A43" s="6" t="s">
        <v>811</v>
      </c>
      <c r="B43" s="6" t="s">
        <v>563</v>
      </c>
      <c r="C43" s="6" t="s">
        <v>414</v>
      </c>
      <c r="D43" s="6" t="s">
        <v>1335</v>
      </c>
    </row>
    <row r="44" spans="1:5">
      <c r="A44" s="6" t="s">
        <v>1336</v>
      </c>
      <c r="B44" s="6" t="s">
        <v>555</v>
      </c>
      <c r="C44" s="6" t="s">
        <v>414</v>
      </c>
      <c r="D44" s="6" t="s">
        <v>1337</v>
      </c>
    </row>
    <row r="45" spans="1:5">
      <c r="A45" s="6" t="s">
        <v>815</v>
      </c>
      <c r="B45" s="6" t="s">
        <v>576</v>
      </c>
      <c r="C45" s="6" t="s">
        <v>376</v>
      </c>
      <c r="D45" s="6" t="s">
        <v>1338</v>
      </c>
    </row>
    <row r="46" spans="1:5" ht="45">
      <c r="A46" s="6" t="s">
        <v>817</v>
      </c>
      <c r="B46" s="6" t="s">
        <v>576</v>
      </c>
      <c r="C46" s="6" t="s">
        <v>376</v>
      </c>
      <c r="D46" s="3" t="s">
        <v>1339</v>
      </c>
    </row>
    <row r="47" spans="1:5">
      <c r="A47" s="6" t="s">
        <v>824</v>
      </c>
      <c r="B47" s="6" t="s">
        <v>576</v>
      </c>
      <c r="C47" s="6" t="s">
        <v>376</v>
      </c>
      <c r="D47" s="6" t="s">
        <v>1340</v>
      </c>
      <c r="E47" s="3"/>
    </row>
    <row r="48" spans="1:5">
      <c r="A48" s="6" t="s">
        <v>820</v>
      </c>
      <c r="B48" s="6" t="s">
        <v>555</v>
      </c>
      <c r="C48" s="6" t="s">
        <v>414</v>
      </c>
      <c r="D48" s="3" t="s">
        <v>1341</v>
      </c>
    </row>
    <row r="49" spans="1:4">
      <c r="A49" s="6" t="s">
        <v>822</v>
      </c>
      <c r="B49" s="6" t="s">
        <v>555</v>
      </c>
      <c r="C49" s="6" t="s">
        <v>414</v>
      </c>
      <c r="D49" s="6" t="s">
        <v>1342</v>
      </c>
    </row>
    <row r="50" spans="1:4" ht="33.75">
      <c r="A50" s="6" t="s">
        <v>826</v>
      </c>
      <c r="B50" s="6" t="s">
        <v>589</v>
      </c>
      <c r="C50" s="6" t="s">
        <v>414</v>
      </c>
      <c r="D50" s="3" t="s">
        <v>1343</v>
      </c>
    </row>
    <row r="51" spans="1:4" ht="33.75">
      <c r="A51" s="6" t="s">
        <v>828</v>
      </c>
      <c r="B51" s="6" t="s">
        <v>1344</v>
      </c>
      <c r="C51" s="6" t="s">
        <v>414</v>
      </c>
      <c r="D51" s="3" t="s">
        <v>1345</v>
      </c>
    </row>
    <row r="52" spans="1:4">
      <c r="A52" s="6" t="s">
        <v>830</v>
      </c>
      <c r="B52" s="6" t="s">
        <v>583</v>
      </c>
      <c r="C52" s="6" t="s">
        <v>414</v>
      </c>
      <c r="D52" s="6" t="s">
        <v>1346</v>
      </c>
    </row>
    <row r="53" spans="1:4">
      <c r="A53" s="6" t="s">
        <v>832</v>
      </c>
      <c r="B53" s="6" t="s">
        <v>585</v>
      </c>
      <c r="C53" s="6" t="s">
        <v>414</v>
      </c>
      <c r="D53" s="6" t="s">
        <v>1347</v>
      </c>
    </row>
    <row r="54" spans="1:4">
      <c r="A54" s="6" t="s">
        <v>834</v>
      </c>
      <c r="B54" s="6" t="s">
        <v>581</v>
      </c>
      <c r="C54" s="6" t="s">
        <v>414</v>
      </c>
      <c r="D54" s="6" t="s">
        <v>1348</v>
      </c>
    </row>
    <row r="55" spans="1:4">
      <c r="A55" s="6" t="s">
        <v>836</v>
      </c>
      <c r="B55" s="6" t="s">
        <v>585</v>
      </c>
      <c r="C55" s="6" t="s">
        <v>414</v>
      </c>
      <c r="D55" s="3" t="s">
        <v>1349</v>
      </c>
    </row>
    <row r="56" spans="1:4">
      <c r="A56" s="6" t="s">
        <v>838</v>
      </c>
      <c r="B56" s="6" t="s">
        <v>583</v>
      </c>
      <c r="C56" s="6" t="s">
        <v>414</v>
      </c>
      <c r="D56" s="6" t="s">
        <v>1350</v>
      </c>
    </row>
    <row r="57" spans="1:4" ht="22.5">
      <c r="A57" s="6" t="s">
        <v>840</v>
      </c>
      <c r="B57" s="6" t="s">
        <v>589</v>
      </c>
      <c r="C57" s="6" t="s">
        <v>414</v>
      </c>
      <c r="D57" s="3" t="s">
        <v>1351</v>
      </c>
    </row>
    <row r="58" spans="1:4" ht="33.75">
      <c r="A58" s="6" t="s">
        <v>842</v>
      </c>
      <c r="B58" s="6" t="s">
        <v>589</v>
      </c>
      <c r="C58" s="6" t="s">
        <v>414</v>
      </c>
      <c r="D58" s="3" t="s">
        <v>1352</v>
      </c>
    </row>
    <row r="59" spans="1:4">
      <c r="A59" s="6" t="s">
        <v>844</v>
      </c>
      <c r="B59" s="6" t="s">
        <v>589</v>
      </c>
      <c r="C59" s="6" t="s">
        <v>414</v>
      </c>
      <c r="D59" s="6" t="s">
        <v>1353</v>
      </c>
    </row>
    <row r="60" spans="1:4">
      <c r="A60" s="6" t="s">
        <v>846</v>
      </c>
      <c r="B60" s="6" t="s">
        <v>1354</v>
      </c>
      <c r="C60" s="6" t="s">
        <v>414</v>
      </c>
      <c r="D60" s="6" t="s">
        <v>1355</v>
      </c>
    </row>
    <row r="61" spans="1:4" ht="22.5">
      <c r="A61" s="6" t="s">
        <v>848</v>
      </c>
      <c r="B61" s="6" t="s">
        <v>585</v>
      </c>
      <c r="C61" s="6" t="s">
        <v>414</v>
      </c>
      <c r="D61" s="3" t="s">
        <v>1356</v>
      </c>
    </row>
    <row r="62" spans="1:4">
      <c r="A62" s="6" t="s">
        <v>850</v>
      </c>
      <c r="B62" s="6" t="s">
        <v>595</v>
      </c>
      <c r="C62" s="6" t="s">
        <v>393</v>
      </c>
      <c r="D62" s="6" t="s">
        <v>1357</v>
      </c>
    </row>
    <row r="63" spans="1:4" ht="45">
      <c r="A63" s="6" t="s">
        <v>852</v>
      </c>
      <c r="B63" s="6" t="s">
        <v>583</v>
      </c>
      <c r="C63" s="6" t="s">
        <v>414</v>
      </c>
      <c r="D63" s="3" t="s">
        <v>1358</v>
      </c>
    </row>
    <row r="64" spans="1:4">
      <c r="A64" s="6" t="s">
        <v>854</v>
      </c>
      <c r="B64" s="6" t="s">
        <v>589</v>
      </c>
      <c r="C64" s="6" t="s">
        <v>414</v>
      </c>
      <c r="D64" s="6" t="s">
        <v>1359</v>
      </c>
    </row>
    <row r="65" spans="1:5">
      <c r="A65" s="6" t="s">
        <v>856</v>
      </c>
      <c r="B65" s="6" t="s">
        <v>585</v>
      </c>
      <c r="C65" s="6" t="s">
        <v>414</v>
      </c>
      <c r="D65" s="5" t="s">
        <v>1360</v>
      </c>
    </row>
    <row r="66" spans="1:5" ht="45">
      <c r="A66" s="6" t="s">
        <v>1361</v>
      </c>
      <c r="B66" s="6" t="s">
        <v>581</v>
      </c>
      <c r="C66" s="6" t="s">
        <v>414</v>
      </c>
      <c r="D66" s="3" t="s">
        <v>1362</v>
      </c>
    </row>
    <row r="67" spans="1:5" ht="33.75">
      <c r="A67" s="6" t="s">
        <v>860</v>
      </c>
      <c r="B67" s="6" t="s">
        <v>585</v>
      </c>
      <c r="C67" s="6" t="s">
        <v>414</v>
      </c>
      <c r="D67" s="3" t="s">
        <v>1363</v>
      </c>
    </row>
    <row r="68" spans="1:5">
      <c r="A68" s="6" t="s">
        <v>862</v>
      </c>
      <c r="B68" s="6" t="s">
        <v>1364</v>
      </c>
      <c r="C68" s="6" t="s">
        <v>414</v>
      </c>
      <c r="D68" s="6" t="s">
        <v>1365</v>
      </c>
    </row>
    <row r="69" spans="1:5">
      <c r="A69" s="6" t="s">
        <v>864</v>
      </c>
      <c r="B69" s="6" t="s">
        <v>595</v>
      </c>
      <c r="C69" s="6" t="s">
        <v>393</v>
      </c>
      <c r="D69" s="6" t="s">
        <v>1366</v>
      </c>
    </row>
    <row r="70" spans="1:5">
      <c r="A70" s="6" t="s">
        <v>1367</v>
      </c>
      <c r="B70" s="6" t="s">
        <v>1368</v>
      </c>
      <c r="C70" s="6" t="s">
        <v>581</v>
      </c>
      <c r="D70" s="4" t="s">
        <v>414</v>
      </c>
      <c r="E70" s="6" t="s">
        <v>1369</v>
      </c>
    </row>
    <row r="71" spans="1:5">
      <c r="A71" s="6" t="s">
        <v>1370</v>
      </c>
      <c r="B71" s="6" t="s">
        <v>585</v>
      </c>
      <c r="C71" s="6" t="s">
        <v>414</v>
      </c>
      <c r="D71" s="6" t="s">
        <v>1371</v>
      </c>
    </row>
    <row r="72" spans="1:5" ht="33.75">
      <c r="A72" s="6" t="s">
        <v>870</v>
      </c>
      <c r="B72" s="6" t="s">
        <v>585</v>
      </c>
      <c r="C72" s="6" t="s">
        <v>414</v>
      </c>
      <c r="D72" s="3" t="s">
        <v>1372</v>
      </c>
    </row>
    <row r="73" spans="1:5" ht="22.5">
      <c r="A73" s="6" t="s">
        <v>872</v>
      </c>
      <c r="B73" s="6" t="s">
        <v>1364</v>
      </c>
      <c r="C73" s="6" t="s">
        <v>414</v>
      </c>
      <c r="D73" s="4" t="s">
        <v>1373</v>
      </c>
    </row>
    <row r="74" spans="1:5" ht="56.25">
      <c r="A74" s="6" t="s">
        <v>874</v>
      </c>
      <c r="B74" s="6" t="s">
        <v>585</v>
      </c>
      <c r="C74" s="6" t="s">
        <v>414</v>
      </c>
      <c r="D74" s="3" t="s">
        <v>1374</v>
      </c>
    </row>
    <row r="75" spans="1:5" ht="45">
      <c r="A75" s="6" t="s">
        <v>876</v>
      </c>
      <c r="B75" s="6" t="s">
        <v>585</v>
      </c>
      <c r="C75" s="6" t="s">
        <v>414</v>
      </c>
      <c r="D75" s="3" t="s">
        <v>1375</v>
      </c>
    </row>
    <row r="76" spans="1:5">
      <c r="A76" s="6" t="s">
        <v>878</v>
      </c>
      <c r="B76" s="6" t="s">
        <v>597</v>
      </c>
      <c r="C76" s="6" t="s">
        <v>414</v>
      </c>
      <c r="D76" s="6" t="s">
        <v>1376</v>
      </c>
    </row>
    <row r="77" spans="1:5">
      <c r="A77" s="6" t="s">
        <v>880</v>
      </c>
      <c r="B77" s="6" t="s">
        <v>583</v>
      </c>
      <c r="C77" s="6" t="s">
        <v>414</v>
      </c>
      <c r="D77" s="6" t="s">
        <v>1377</v>
      </c>
    </row>
    <row r="78" spans="1:5" ht="33.75">
      <c r="A78" s="6" t="s">
        <v>882</v>
      </c>
      <c r="B78" s="6" t="s">
        <v>585</v>
      </c>
      <c r="C78" s="6" t="s">
        <v>414</v>
      </c>
      <c r="D78" s="3" t="s">
        <v>1378</v>
      </c>
    </row>
    <row r="79" spans="1:5">
      <c r="A79" s="6" t="s">
        <v>885</v>
      </c>
      <c r="B79" s="6" t="s">
        <v>583</v>
      </c>
      <c r="C79" s="6" t="s">
        <v>414</v>
      </c>
      <c r="D79" s="6" t="s">
        <v>1379</v>
      </c>
    </row>
    <row r="80" spans="1:5">
      <c r="A80" s="6" t="s">
        <v>887</v>
      </c>
      <c r="B80" s="6" t="s">
        <v>581</v>
      </c>
      <c r="C80" s="6" t="s">
        <v>414</v>
      </c>
      <c r="D80" s="6" t="s">
        <v>1380</v>
      </c>
    </row>
    <row r="81" spans="1:4" ht="33.75">
      <c r="A81" s="6" t="s">
        <v>889</v>
      </c>
      <c r="B81" s="6" t="s">
        <v>585</v>
      </c>
      <c r="C81" s="6" t="s">
        <v>414</v>
      </c>
      <c r="D81" s="4" t="s">
        <v>1381</v>
      </c>
    </row>
    <row r="82" spans="1:4" ht="45">
      <c r="A82" s="6" t="s">
        <v>891</v>
      </c>
      <c r="B82" s="6" t="s">
        <v>585</v>
      </c>
      <c r="C82" s="6" t="s">
        <v>414</v>
      </c>
      <c r="D82" s="3" t="s">
        <v>1382</v>
      </c>
    </row>
    <row r="83" spans="1:4">
      <c r="A83" s="6" t="s">
        <v>893</v>
      </c>
      <c r="B83" s="6" t="s">
        <v>583</v>
      </c>
      <c r="C83" s="6" t="s">
        <v>414</v>
      </c>
      <c r="D83" s="3" t="s">
        <v>1383</v>
      </c>
    </row>
    <row r="84" spans="1:4">
      <c r="A84" s="6" t="s">
        <v>895</v>
      </c>
      <c r="B84" s="6" t="s">
        <v>1384</v>
      </c>
      <c r="C84" s="6" t="s">
        <v>414</v>
      </c>
      <c r="D84" s="6" t="s">
        <v>1385</v>
      </c>
    </row>
    <row r="85" spans="1:4">
      <c r="A85" s="6" t="s">
        <v>898</v>
      </c>
      <c r="B85" s="6" t="s">
        <v>585</v>
      </c>
      <c r="C85" s="6" t="s">
        <v>414</v>
      </c>
    </row>
    <row r="86" spans="1:4">
      <c r="A86" s="6" t="s">
        <v>900</v>
      </c>
      <c r="B86" s="6" t="s">
        <v>1384</v>
      </c>
      <c r="C86" s="6" t="s">
        <v>414</v>
      </c>
      <c r="D86" s="4" t="s">
        <v>1386</v>
      </c>
    </row>
    <row r="87" spans="1:4">
      <c r="A87" s="6" t="s">
        <v>903</v>
      </c>
      <c r="B87" s="6" t="s">
        <v>589</v>
      </c>
      <c r="C87" s="6" t="s">
        <v>414</v>
      </c>
      <c r="D87" s="3" t="s">
        <v>378</v>
      </c>
    </row>
    <row r="88" spans="1:4">
      <c r="A88" s="6" t="s">
        <v>905</v>
      </c>
      <c r="B88" s="6" t="s">
        <v>589</v>
      </c>
      <c r="C88" s="6" t="s">
        <v>414</v>
      </c>
      <c r="D88" s="6" t="s">
        <v>1387</v>
      </c>
    </row>
    <row r="89" spans="1:4" ht="33.75">
      <c r="A89" s="6" t="s">
        <v>907</v>
      </c>
      <c r="B89" s="6" t="s">
        <v>592</v>
      </c>
      <c r="C89" s="6" t="s">
        <v>414</v>
      </c>
      <c r="D89" s="3" t="s">
        <v>1388</v>
      </c>
    </row>
    <row r="90" spans="1:4">
      <c r="A90" s="6" t="s">
        <v>909</v>
      </c>
      <c r="B90" s="6" t="s">
        <v>583</v>
      </c>
      <c r="C90" s="6" t="s">
        <v>414</v>
      </c>
      <c r="D90" s="6" t="s">
        <v>1389</v>
      </c>
    </row>
    <row r="91" spans="1:4" ht="22.5">
      <c r="A91" s="6" t="s">
        <v>911</v>
      </c>
      <c r="B91" s="6" t="s">
        <v>589</v>
      </c>
      <c r="C91" s="6" t="s">
        <v>414</v>
      </c>
      <c r="D91" s="3" t="s">
        <v>1390</v>
      </c>
    </row>
    <row r="92" spans="1:4">
      <c r="A92" s="6" t="s">
        <v>913</v>
      </c>
      <c r="B92" s="6" t="s">
        <v>1364</v>
      </c>
      <c r="C92" s="6" t="s">
        <v>414</v>
      </c>
      <c r="D92" s="6" t="s">
        <v>1391</v>
      </c>
    </row>
    <row r="93" spans="1:4" ht="45">
      <c r="A93" s="6" t="s">
        <v>915</v>
      </c>
      <c r="B93" s="6" t="s">
        <v>585</v>
      </c>
      <c r="C93" s="6" t="s">
        <v>414</v>
      </c>
      <c r="D93" s="3" t="s">
        <v>1392</v>
      </c>
    </row>
    <row r="94" spans="1:4" ht="22.5">
      <c r="A94" s="6" t="s">
        <v>917</v>
      </c>
      <c r="B94" s="6" t="s">
        <v>583</v>
      </c>
      <c r="C94" s="6" t="s">
        <v>414</v>
      </c>
      <c r="D94" s="4" t="s">
        <v>1393</v>
      </c>
    </row>
    <row r="95" spans="1:4">
      <c r="A95" s="6" t="s">
        <v>919</v>
      </c>
      <c r="B95" s="6" t="s">
        <v>583</v>
      </c>
      <c r="C95" s="6" t="s">
        <v>414</v>
      </c>
      <c r="D95" s="6" t="s">
        <v>1394</v>
      </c>
    </row>
    <row r="96" spans="1:4" ht="22.5">
      <c r="A96" s="6" t="s">
        <v>921</v>
      </c>
      <c r="B96" s="6" t="s">
        <v>585</v>
      </c>
      <c r="C96" s="6" t="s">
        <v>414</v>
      </c>
      <c r="D96" s="3" t="s">
        <v>1395</v>
      </c>
    </row>
    <row r="97" spans="1:4" ht="45">
      <c r="A97" s="6" t="s">
        <v>923</v>
      </c>
      <c r="B97" s="6" t="s">
        <v>592</v>
      </c>
      <c r="C97" s="6" t="s">
        <v>414</v>
      </c>
      <c r="D97" s="3" t="s">
        <v>1396</v>
      </c>
    </row>
    <row r="98" spans="1:4">
      <c r="A98" s="6" t="s">
        <v>925</v>
      </c>
      <c r="B98" s="6" t="s">
        <v>615</v>
      </c>
      <c r="C98" s="6" t="s">
        <v>414</v>
      </c>
      <c r="D98" s="6" t="s">
        <v>1397</v>
      </c>
    </row>
    <row r="99" spans="1:4" ht="33.75">
      <c r="A99" s="6" t="s">
        <v>927</v>
      </c>
      <c r="B99" s="6" t="s">
        <v>605</v>
      </c>
      <c r="C99" s="6" t="s">
        <v>414</v>
      </c>
      <c r="D99" s="3" t="s">
        <v>1398</v>
      </c>
    </row>
    <row r="100" spans="1:4" ht="45">
      <c r="A100" s="6" t="s">
        <v>929</v>
      </c>
      <c r="B100" s="6" t="s">
        <v>608</v>
      </c>
      <c r="C100" s="6" t="s">
        <v>414</v>
      </c>
      <c r="D100" s="3" t="s">
        <v>1399</v>
      </c>
    </row>
    <row r="101" spans="1:4">
      <c r="A101" s="6" t="s">
        <v>931</v>
      </c>
      <c r="B101" s="6" t="s">
        <v>605</v>
      </c>
      <c r="C101" s="6" t="s">
        <v>414</v>
      </c>
      <c r="D101" s="6" t="s">
        <v>1400</v>
      </c>
    </row>
    <row r="102" spans="1:4">
      <c r="A102" s="6" t="s">
        <v>933</v>
      </c>
      <c r="B102" s="6" t="s">
        <v>613</v>
      </c>
      <c r="C102" s="6" t="s">
        <v>414</v>
      </c>
      <c r="D102" s="6" t="s">
        <v>1401</v>
      </c>
    </row>
    <row r="103" spans="1:4">
      <c r="A103" s="6" t="s">
        <v>935</v>
      </c>
      <c r="B103" s="6" t="s">
        <v>1402</v>
      </c>
      <c r="C103" s="6" t="s">
        <v>414</v>
      </c>
      <c r="D103" s="6" t="s">
        <v>1403</v>
      </c>
    </row>
    <row r="104" spans="1:4" ht="22.5">
      <c r="A104" s="6" t="s">
        <v>937</v>
      </c>
      <c r="B104" s="6" t="s">
        <v>608</v>
      </c>
      <c r="C104" s="6" t="s">
        <v>414</v>
      </c>
      <c r="D104" s="3" t="s">
        <v>1404</v>
      </c>
    </row>
    <row r="105" spans="1:4">
      <c r="A105" s="6" t="s">
        <v>939</v>
      </c>
      <c r="B105" s="6" t="s">
        <v>615</v>
      </c>
      <c r="C105" s="6" t="s">
        <v>414</v>
      </c>
      <c r="D105" s="6" t="s">
        <v>1405</v>
      </c>
    </row>
    <row r="106" spans="1:4" ht="33.75">
      <c r="A106" s="6" t="s">
        <v>941</v>
      </c>
      <c r="B106" s="6" t="s">
        <v>605</v>
      </c>
      <c r="C106" s="6" t="s">
        <v>414</v>
      </c>
      <c r="D106" s="3" t="s">
        <v>1406</v>
      </c>
    </row>
    <row r="107" spans="1:4">
      <c r="A107" s="6" t="s">
        <v>943</v>
      </c>
      <c r="B107" s="6" t="s">
        <v>426</v>
      </c>
      <c r="C107" s="6" t="s">
        <v>411</v>
      </c>
      <c r="D107" s="6" t="s">
        <v>1407</v>
      </c>
    </row>
    <row r="108" spans="1:4">
      <c r="A108" s="6" t="s">
        <v>945</v>
      </c>
      <c r="B108" s="6" t="s">
        <v>605</v>
      </c>
      <c r="C108" s="6" t="s">
        <v>414</v>
      </c>
      <c r="D108" s="6" t="s">
        <v>1408</v>
      </c>
    </row>
    <row r="109" spans="1:4">
      <c r="A109" s="6" t="s">
        <v>947</v>
      </c>
      <c r="B109" s="6" t="s">
        <v>1402</v>
      </c>
      <c r="C109" s="6" t="s">
        <v>414</v>
      </c>
      <c r="D109" s="6" t="s">
        <v>1409</v>
      </c>
    </row>
    <row r="110" spans="1:4" ht="33.75">
      <c r="A110" s="6" t="s">
        <v>949</v>
      </c>
      <c r="B110" s="6" t="s">
        <v>621</v>
      </c>
      <c r="C110" s="6" t="s">
        <v>414</v>
      </c>
      <c r="D110" s="3" t="s">
        <v>1410</v>
      </c>
    </row>
    <row r="111" spans="1:4" ht="22.5">
      <c r="A111" s="6" t="s">
        <v>951</v>
      </c>
      <c r="B111" s="6" t="s">
        <v>605</v>
      </c>
      <c r="C111" s="6" t="s">
        <v>414</v>
      </c>
      <c r="D111" s="3" t="s">
        <v>629</v>
      </c>
    </row>
    <row r="112" spans="1:4" ht="56.25">
      <c r="A112" s="6" t="s">
        <v>953</v>
      </c>
      <c r="B112" s="6" t="s">
        <v>630</v>
      </c>
      <c r="C112" s="6" t="s">
        <v>414</v>
      </c>
      <c r="D112" s="3" t="s">
        <v>1411</v>
      </c>
    </row>
    <row r="113" spans="1:4">
      <c r="A113" s="6" t="s">
        <v>1412</v>
      </c>
      <c r="B113" s="6" t="s">
        <v>608</v>
      </c>
      <c r="C113" s="6" t="s">
        <v>414</v>
      </c>
      <c r="D113" s="6" t="s">
        <v>1413</v>
      </c>
    </row>
    <row r="114" spans="1:4">
      <c r="A114" s="6" t="s">
        <v>957</v>
      </c>
      <c r="B114" s="6" t="s">
        <v>618</v>
      </c>
      <c r="C114" s="6" t="s">
        <v>414</v>
      </c>
      <c r="D114" s="6" t="s">
        <v>1414</v>
      </c>
    </row>
    <row r="115" spans="1:4" ht="33.75">
      <c r="A115" s="6" t="s">
        <v>1415</v>
      </c>
      <c r="B115" s="6" t="s">
        <v>1402</v>
      </c>
      <c r="C115" s="6" t="s">
        <v>414</v>
      </c>
      <c r="D115" s="3" t="s">
        <v>1416</v>
      </c>
    </row>
    <row r="116" spans="1:4" ht="22.5">
      <c r="A116" s="6" t="s">
        <v>961</v>
      </c>
      <c r="B116" s="6" t="s">
        <v>608</v>
      </c>
      <c r="C116" s="6" t="s">
        <v>414</v>
      </c>
      <c r="D116" s="3" t="s">
        <v>1417</v>
      </c>
    </row>
    <row r="117" spans="1:4">
      <c r="A117" s="6" t="s">
        <v>963</v>
      </c>
      <c r="B117" s="6" t="s">
        <v>608</v>
      </c>
      <c r="C117" s="6" t="s">
        <v>414</v>
      </c>
      <c r="D117" s="3" t="s">
        <v>1418</v>
      </c>
    </row>
    <row r="118" spans="1:4">
      <c r="A118" s="6" t="s">
        <v>965</v>
      </c>
      <c r="B118" s="6" t="s">
        <v>618</v>
      </c>
      <c r="C118" s="6" t="s">
        <v>414</v>
      </c>
      <c r="D118" s="6" t="s">
        <v>1419</v>
      </c>
    </row>
    <row r="119" spans="1:4" ht="22.5">
      <c r="A119" s="6" t="s">
        <v>967</v>
      </c>
      <c r="B119" s="6" t="s">
        <v>426</v>
      </c>
      <c r="C119" s="6" t="s">
        <v>411</v>
      </c>
      <c r="D119" s="4" t="s">
        <v>1420</v>
      </c>
    </row>
    <row r="120" spans="1:4">
      <c r="A120" s="6" t="s">
        <v>970</v>
      </c>
      <c r="B120" s="6" t="s">
        <v>605</v>
      </c>
      <c r="C120" s="6" t="s">
        <v>414</v>
      </c>
      <c r="D120" s="6" t="s">
        <v>1421</v>
      </c>
    </row>
    <row r="121" spans="1:4">
      <c r="A121" s="6" t="s">
        <v>1422</v>
      </c>
      <c r="B121" s="6" t="s">
        <v>1423</v>
      </c>
      <c r="C121" s="6" t="s">
        <v>414</v>
      </c>
      <c r="D121" s="6" t="s">
        <v>1424</v>
      </c>
    </row>
    <row r="122" spans="1:4">
      <c r="A122" s="6" t="s">
        <v>974</v>
      </c>
      <c r="B122" s="6" t="s">
        <v>608</v>
      </c>
      <c r="C122" s="6" t="s">
        <v>414</v>
      </c>
      <c r="D122" s="3" t="s">
        <v>1425</v>
      </c>
    </row>
    <row r="123" spans="1:4">
      <c r="A123" s="6" t="s">
        <v>976</v>
      </c>
      <c r="B123" s="6" t="s">
        <v>630</v>
      </c>
      <c r="C123" s="6" t="s">
        <v>414</v>
      </c>
      <c r="D123" s="6" t="s">
        <v>1426</v>
      </c>
    </row>
    <row r="124" spans="1:4" ht="22.5">
      <c r="A124" s="6" t="s">
        <v>978</v>
      </c>
      <c r="B124" s="6" t="s">
        <v>605</v>
      </c>
      <c r="C124" s="6" t="s">
        <v>414</v>
      </c>
      <c r="D124" s="4" t="s">
        <v>1427</v>
      </c>
    </row>
    <row r="125" spans="1:4" ht="56.25">
      <c r="A125" s="6" t="s">
        <v>980</v>
      </c>
      <c r="B125" s="6" t="s">
        <v>1402</v>
      </c>
      <c r="C125" s="6" t="s">
        <v>414</v>
      </c>
      <c r="D125" s="3" t="s">
        <v>1428</v>
      </c>
    </row>
    <row r="126" spans="1:4">
      <c r="A126" s="6" t="s">
        <v>983</v>
      </c>
      <c r="B126" s="6" t="s">
        <v>609</v>
      </c>
      <c r="C126" s="6" t="s">
        <v>414</v>
      </c>
      <c r="D126" s="6" t="s">
        <v>1429</v>
      </c>
    </row>
    <row r="127" spans="1:4" ht="33.75">
      <c r="A127" s="6" t="s">
        <v>985</v>
      </c>
      <c r="B127" s="6" t="s">
        <v>608</v>
      </c>
      <c r="C127" s="6" t="s">
        <v>414</v>
      </c>
      <c r="D127" s="3" t="s">
        <v>1430</v>
      </c>
    </row>
    <row r="128" spans="1:4">
      <c r="A128" s="6" t="s">
        <v>1431</v>
      </c>
      <c r="B128" s="6" t="s">
        <v>608</v>
      </c>
      <c r="C128" s="6" t="s">
        <v>414</v>
      </c>
      <c r="D128" s="6" t="s">
        <v>1432</v>
      </c>
    </row>
    <row r="129" spans="1:4" ht="22.5">
      <c r="A129" s="6" t="s">
        <v>989</v>
      </c>
      <c r="B129" s="6" t="s">
        <v>608</v>
      </c>
      <c r="C129" s="6" t="s">
        <v>414</v>
      </c>
      <c r="D129" s="3" t="s">
        <v>1433</v>
      </c>
    </row>
    <row r="130" spans="1:4">
      <c r="A130" s="6" t="s">
        <v>991</v>
      </c>
      <c r="B130" s="6" t="s">
        <v>605</v>
      </c>
      <c r="C130" s="6" t="s">
        <v>414</v>
      </c>
      <c r="D130" s="6" t="s">
        <v>1434</v>
      </c>
    </row>
    <row r="131" spans="1:4" ht="22.5">
      <c r="A131" s="6" t="s">
        <v>993</v>
      </c>
      <c r="B131" s="6" t="s">
        <v>608</v>
      </c>
      <c r="C131" s="6" t="s">
        <v>414</v>
      </c>
      <c r="D131" s="3" t="s">
        <v>1435</v>
      </c>
    </row>
    <row r="132" spans="1:4">
      <c r="A132" s="6" t="s">
        <v>995</v>
      </c>
      <c r="B132" s="6" t="s">
        <v>626</v>
      </c>
      <c r="C132" s="6" t="s">
        <v>411</v>
      </c>
      <c r="D132" s="6" t="s">
        <v>1436</v>
      </c>
    </row>
    <row r="133" spans="1:4">
      <c r="A133" s="6" t="s">
        <v>997</v>
      </c>
      <c r="B133" s="6" t="s">
        <v>615</v>
      </c>
      <c r="C133" s="6" t="s">
        <v>414</v>
      </c>
      <c r="D133" s="3" t="s">
        <v>1437</v>
      </c>
    </row>
    <row r="134" spans="1:4">
      <c r="A134" s="6" t="s">
        <v>999</v>
      </c>
      <c r="B134" s="6" t="s">
        <v>426</v>
      </c>
      <c r="C134" s="6" t="s">
        <v>411</v>
      </c>
      <c r="D134" s="6" t="s">
        <v>1438</v>
      </c>
    </row>
    <row r="135" spans="1:4" ht="22.5">
      <c r="A135" s="6" t="s">
        <v>1001</v>
      </c>
      <c r="B135" s="6" t="s">
        <v>426</v>
      </c>
      <c r="C135" s="6" t="s">
        <v>411</v>
      </c>
      <c r="D135" s="3" t="s">
        <v>1439</v>
      </c>
    </row>
    <row r="136" spans="1:4">
      <c r="A136" s="6" t="s">
        <v>1003</v>
      </c>
      <c r="B136" s="6" t="s">
        <v>426</v>
      </c>
      <c r="C136" s="6" t="s">
        <v>411</v>
      </c>
      <c r="D136" s="6" t="s">
        <v>1440</v>
      </c>
    </row>
    <row r="137" spans="1:4" ht="22.5">
      <c r="A137" s="6" t="s">
        <v>1005</v>
      </c>
      <c r="B137" s="6" t="s">
        <v>615</v>
      </c>
      <c r="C137" s="6" t="s">
        <v>414</v>
      </c>
      <c r="D137" s="3" t="s">
        <v>1441</v>
      </c>
    </row>
    <row r="138" spans="1:4" ht="22.5">
      <c r="A138" s="6" t="s">
        <v>1007</v>
      </c>
      <c r="B138" s="6" t="s">
        <v>615</v>
      </c>
      <c r="C138" s="6" t="s">
        <v>414</v>
      </c>
      <c r="D138" s="3" t="s">
        <v>1442</v>
      </c>
    </row>
    <row r="139" spans="1:4">
      <c r="A139" s="6" t="s">
        <v>1009</v>
      </c>
      <c r="B139" s="6" t="s">
        <v>618</v>
      </c>
      <c r="C139" s="6" t="s">
        <v>414</v>
      </c>
      <c r="D139" s="6" t="s">
        <v>1443</v>
      </c>
    </row>
    <row r="140" spans="1:4" ht="33.75">
      <c r="A140" s="6" t="s">
        <v>1011</v>
      </c>
      <c r="B140" s="6" t="s">
        <v>605</v>
      </c>
      <c r="C140" s="6" t="s">
        <v>414</v>
      </c>
      <c r="D140" s="3" t="s">
        <v>1444</v>
      </c>
    </row>
    <row r="141" spans="1:4" ht="45">
      <c r="A141" s="6" t="s">
        <v>1013</v>
      </c>
      <c r="B141" s="6" t="s">
        <v>605</v>
      </c>
      <c r="C141" s="6" t="s">
        <v>414</v>
      </c>
      <c r="D141" s="4" t="s">
        <v>1445</v>
      </c>
    </row>
    <row r="142" spans="1:4">
      <c r="A142" s="6" t="s">
        <v>1015</v>
      </c>
      <c r="B142" s="6" t="s">
        <v>615</v>
      </c>
      <c r="C142" s="6" t="s">
        <v>414</v>
      </c>
      <c r="D142" s="6" t="s">
        <v>1446</v>
      </c>
    </row>
    <row r="143" spans="1:4" ht="22.5">
      <c r="A143" s="6" t="s">
        <v>1018</v>
      </c>
      <c r="B143" s="6" t="s">
        <v>618</v>
      </c>
      <c r="C143" s="6" t="s">
        <v>414</v>
      </c>
      <c r="D143" s="3" t="s">
        <v>431</v>
      </c>
    </row>
    <row r="144" spans="1:4">
      <c r="A144" s="6" t="s">
        <v>1020</v>
      </c>
      <c r="B144" s="6" t="s">
        <v>605</v>
      </c>
      <c r="C144" s="6" t="s">
        <v>414</v>
      </c>
    </row>
    <row r="145" spans="1:4" ht="22.5">
      <c r="A145" s="6" t="s">
        <v>1022</v>
      </c>
      <c r="B145" s="6" t="s">
        <v>608</v>
      </c>
      <c r="C145" s="6" t="s">
        <v>414</v>
      </c>
      <c r="D145" s="3" t="s">
        <v>1447</v>
      </c>
    </row>
    <row r="146" spans="1:4">
      <c r="A146" s="6" t="s">
        <v>1024</v>
      </c>
      <c r="B146" s="6" t="s">
        <v>646</v>
      </c>
      <c r="C146" s="6" t="s">
        <v>414</v>
      </c>
      <c r="D146" s="6" t="s">
        <v>1448</v>
      </c>
    </row>
    <row r="147" spans="1:4" ht="33.75">
      <c r="A147" s="6" t="s">
        <v>1026</v>
      </c>
      <c r="B147" s="6" t="s">
        <v>633</v>
      </c>
      <c r="C147" s="6" t="s">
        <v>414</v>
      </c>
      <c r="D147" s="4" t="s">
        <v>1449</v>
      </c>
    </row>
    <row r="148" spans="1:4">
      <c r="A148" s="6" t="s">
        <v>1028</v>
      </c>
      <c r="B148" s="6" t="s">
        <v>643</v>
      </c>
      <c r="C148" s="6" t="s">
        <v>414</v>
      </c>
      <c r="D148" s="3" t="s">
        <v>1450</v>
      </c>
    </row>
    <row r="149" spans="1:4" ht="22.5">
      <c r="A149" s="6" t="s">
        <v>1030</v>
      </c>
      <c r="B149" s="6" t="s">
        <v>1451</v>
      </c>
      <c r="C149" s="6" t="s">
        <v>414</v>
      </c>
      <c r="D149" s="3" t="s">
        <v>1452</v>
      </c>
    </row>
    <row r="150" spans="1:4">
      <c r="A150" s="6" t="s">
        <v>1032</v>
      </c>
      <c r="B150" s="6" t="s">
        <v>633</v>
      </c>
      <c r="C150" s="6" t="s">
        <v>414</v>
      </c>
      <c r="D150" s="3" t="s">
        <v>1453</v>
      </c>
    </row>
    <row r="151" spans="1:4">
      <c r="A151" s="6" t="s">
        <v>1034</v>
      </c>
      <c r="B151" s="6" t="s">
        <v>640</v>
      </c>
      <c r="C151" s="6" t="s">
        <v>414</v>
      </c>
      <c r="D151" s="6" t="s">
        <v>1454</v>
      </c>
    </row>
    <row r="152" spans="1:4">
      <c r="A152" s="6" t="s">
        <v>1455</v>
      </c>
      <c r="B152" s="6" t="s">
        <v>1456</v>
      </c>
      <c r="C152" s="6" t="s">
        <v>414</v>
      </c>
      <c r="D152" s="6" t="s">
        <v>1457</v>
      </c>
    </row>
    <row r="153" spans="1:4">
      <c r="A153" s="6" t="s">
        <v>1038</v>
      </c>
      <c r="B153" s="6" t="s">
        <v>653</v>
      </c>
      <c r="C153" s="6" t="s">
        <v>414</v>
      </c>
      <c r="D153" s="6" t="s">
        <v>1458</v>
      </c>
    </row>
    <row r="154" spans="1:4">
      <c r="A154" s="6" t="s">
        <v>1040</v>
      </c>
      <c r="B154" s="6" t="s">
        <v>641</v>
      </c>
      <c r="C154" s="6" t="s">
        <v>432</v>
      </c>
      <c r="D154" s="4" t="s">
        <v>1459</v>
      </c>
    </row>
    <row r="155" spans="1:4">
      <c r="A155" s="6" t="s">
        <v>1042</v>
      </c>
      <c r="B155" s="6" t="s">
        <v>646</v>
      </c>
      <c r="C155" s="6" t="s">
        <v>414</v>
      </c>
      <c r="D155" s="6" t="s">
        <v>1460</v>
      </c>
    </row>
    <row r="156" spans="1:4" ht="33.75">
      <c r="A156" s="6" t="s">
        <v>1044</v>
      </c>
      <c r="B156" s="6" t="s">
        <v>641</v>
      </c>
      <c r="C156" s="6" t="s">
        <v>432</v>
      </c>
      <c r="D156" s="4" t="s">
        <v>1461</v>
      </c>
    </row>
    <row r="157" spans="1:4">
      <c r="A157" s="6" t="s">
        <v>1046</v>
      </c>
      <c r="B157" s="6" t="s">
        <v>643</v>
      </c>
      <c r="C157" s="6" t="s">
        <v>414</v>
      </c>
      <c r="D157" s="6" t="s">
        <v>1462</v>
      </c>
    </row>
    <row r="158" spans="1:4">
      <c r="A158" s="6" t="s">
        <v>1048</v>
      </c>
      <c r="B158" s="6" t="s">
        <v>1456</v>
      </c>
      <c r="C158" s="6" t="s">
        <v>414</v>
      </c>
      <c r="D158" s="6" t="s">
        <v>1463</v>
      </c>
    </row>
    <row r="159" spans="1:4">
      <c r="A159" s="6" t="s">
        <v>1050</v>
      </c>
      <c r="B159" s="6" t="s">
        <v>635</v>
      </c>
      <c r="C159" s="6" t="s">
        <v>414</v>
      </c>
      <c r="D159" s="4" t="s">
        <v>1464</v>
      </c>
    </row>
    <row r="160" spans="1:4" ht="22.5">
      <c r="A160" s="6" t="s">
        <v>1052</v>
      </c>
      <c r="B160" s="6" t="s">
        <v>633</v>
      </c>
      <c r="C160" s="6" t="s">
        <v>414</v>
      </c>
      <c r="D160" s="3" t="s">
        <v>1465</v>
      </c>
    </row>
    <row r="161" spans="1:5">
      <c r="A161" s="6" t="s">
        <v>1054</v>
      </c>
      <c r="B161" s="6" t="s">
        <v>633</v>
      </c>
      <c r="C161" s="6" t="s">
        <v>414</v>
      </c>
      <c r="D161" s="6" t="s">
        <v>1466</v>
      </c>
    </row>
    <row r="162" spans="1:5">
      <c r="A162" s="6" t="s">
        <v>1056</v>
      </c>
      <c r="B162" s="6" t="s">
        <v>646</v>
      </c>
      <c r="C162" s="6" t="s">
        <v>414</v>
      </c>
      <c r="D162" s="6" t="s">
        <v>1467</v>
      </c>
    </row>
    <row r="163" spans="1:5">
      <c r="A163" s="6" t="s">
        <v>1468</v>
      </c>
      <c r="B163" s="6" t="s">
        <v>650</v>
      </c>
      <c r="C163" s="6" t="s">
        <v>414</v>
      </c>
      <c r="D163" s="6" t="s">
        <v>1469</v>
      </c>
      <c r="E163" s="4"/>
    </row>
    <row r="164" spans="1:5">
      <c r="A164" s="6" t="s">
        <v>1058</v>
      </c>
      <c r="B164" s="6" t="s">
        <v>633</v>
      </c>
      <c r="C164" s="6" t="s">
        <v>414</v>
      </c>
      <c r="D164" s="6" t="s">
        <v>1470</v>
      </c>
    </row>
    <row r="165" spans="1:5">
      <c r="A165" s="6" t="s">
        <v>1060</v>
      </c>
      <c r="B165" s="6" t="s">
        <v>633</v>
      </c>
      <c r="C165" s="6" t="s">
        <v>414</v>
      </c>
      <c r="D165" s="3" t="s">
        <v>1471</v>
      </c>
    </row>
    <row r="166" spans="1:5">
      <c r="A166" s="6" t="s">
        <v>1062</v>
      </c>
      <c r="B166" s="6" t="s">
        <v>640</v>
      </c>
      <c r="C166" s="6" t="s">
        <v>414</v>
      </c>
    </row>
    <row r="167" spans="1:5">
      <c r="A167" s="6" t="s">
        <v>1064</v>
      </c>
      <c r="B167" s="6" t="s">
        <v>653</v>
      </c>
      <c r="C167" s="6" t="s">
        <v>414</v>
      </c>
      <c r="D167" s="6" t="s">
        <v>1472</v>
      </c>
    </row>
    <row r="168" spans="1:5">
      <c r="A168" s="6" t="s">
        <v>1066</v>
      </c>
      <c r="B168" s="6" t="s">
        <v>640</v>
      </c>
      <c r="C168" s="6" t="s">
        <v>414</v>
      </c>
      <c r="D168" s="6" t="s">
        <v>1473</v>
      </c>
    </row>
    <row r="169" spans="1:5" ht="22.5">
      <c r="A169" s="6" t="s">
        <v>1068</v>
      </c>
      <c r="B169" s="6" t="s">
        <v>641</v>
      </c>
      <c r="C169" s="6" t="s">
        <v>432</v>
      </c>
      <c r="D169" s="3" t="s">
        <v>1474</v>
      </c>
    </row>
    <row r="170" spans="1:5">
      <c r="A170" s="6" t="s">
        <v>1070</v>
      </c>
      <c r="B170" s="6" t="s">
        <v>646</v>
      </c>
      <c r="C170" s="6" t="s">
        <v>414</v>
      </c>
      <c r="D170" s="6" t="s">
        <v>1475</v>
      </c>
    </row>
    <row r="171" spans="1:5" ht="22.5">
      <c r="A171" s="6" t="s">
        <v>1072</v>
      </c>
      <c r="B171" s="6" t="s">
        <v>641</v>
      </c>
      <c r="C171" s="6" t="s">
        <v>432</v>
      </c>
      <c r="D171" s="3" t="s">
        <v>1476</v>
      </c>
    </row>
    <row r="172" spans="1:5">
      <c r="A172" s="6" t="s">
        <v>1074</v>
      </c>
      <c r="B172" s="6" t="s">
        <v>640</v>
      </c>
      <c r="C172" s="6" t="s">
        <v>414</v>
      </c>
      <c r="D172" s="6" t="s">
        <v>1477</v>
      </c>
    </row>
    <row r="173" spans="1:5">
      <c r="A173" s="6" t="s">
        <v>1076</v>
      </c>
      <c r="B173" s="6" t="s">
        <v>646</v>
      </c>
      <c r="C173" s="6" t="s">
        <v>414</v>
      </c>
      <c r="D173" s="6" t="s">
        <v>1478</v>
      </c>
    </row>
    <row r="174" spans="1:5" ht="45">
      <c r="A174" s="6" t="s">
        <v>1078</v>
      </c>
      <c r="B174" s="6" t="s">
        <v>640</v>
      </c>
      <c r="C174" s="6" t="s">
        <v>414</v>
      </c>
      <c r="D174" s="3" t="s">
        <v>1479</v>
      </c>
    </row>
    <row r="175" spans="1:5" ht="22.5">
      <c r="A175" s="6" t="s">
        <v>1083</v>
      </c>
      <c r="B175" s="6" t="s">
        <v>640</v>
      </c>
      <c r="C175" s="6" t="s">
        <v>414</v>
      </c>
      <c r="D175" s="3" t="s">
        <v>1480</v>
      </c>
    </row>
    <row r="176" spans="1:5">
      <c r="A176" s="6" t="s">
        <v>1085</v>
      </c>
      <c r="B176" s="6" t="s">
        <v>646</v>
      </c>
      <c r="C176" s="6" t="s">
        <v>414</v>
      </c>
      <c r="D176" s="3" t="s">
        <v>1481</v>
      </c>
    </row>
    <row r="177" spans="1:5">
      <c r="A177" s="6" t="s">
        <v>1482</v>
      </c>
      <c r="B177" s="6" t="s">
        <v>635</v>
      </c>
      <c r="C177" s="6" t="s">
        <v>414</v>
      </c>
      <c r="D177" s="6" t="s">
        <v>1483</v>
      </c>
    </row>
    <row r="178" spans="1:5">
      <c r="A178" s="6" t="s">
        <v>1088</v>
      </c>
      <c r="B178" s="6" t="s">
        <v>641</v>
      </c>
      <c r="C178" s="6" t="s">
        <v>432</v>
      </c>
      <c r="D178" s="6" t="s">
        <v>1484</v>
      </c>
    </row>
    <row r="179" spans="1:5">
      <c r="A179" s="6" t="s">
        <v>1090</v>
      </c>
      <c r="B179" s="6" t="s">
        <v>646</v>
      </c>
      <c r="C179" s="6" t="s">
        <v>414</v>
      </c>
      <c r="D179" s="3" t="s">
        <v>1485</v>
      </c>
    </row>
    <row r="180" spans="1:5">
      <c r="A180" s="6" t="s">
        <v>1092</v>
      </c>
      <c r="B180" s="6" t="s">
        <v>1486</v>
      </c>
      <c r="C180" s="6" t="s">
        <v>432</v>
      </c>
      <c r="D180" s="6" t="s">
        <v>1487</v>
      </c>
    </row>
    <row r="181" spans="1:5">
      <c r="A181" s="6" t="s">
        <v>1094</v>
      </c>
      <c r="B181" s="6" t="s">
        <v>646</v>
      </c>
      <c r="C181" s="6" t="s">
        <v>414</v>
      </c>
      <c r="D181" s="6" t="s">
        <v>1488</v>
      </c>
    </row>
    <row r="182" spans="1:5" ht="45">
      <c r="A182" s="6" t="s">
        <v>1097</v>
      </c>
      <c r="B182" s="6" t="s">
        <v>633</v>
      </c>
      <c r="C182" s="6" t="s">
        <v>414</v>
      </c>
      <c r="D182" s="4" t="s">
        <v>1489</v>
      </c>
    </row>
    <row r="183" spans="1:5">
      <c r="A183" s="6" t="s">
        <v>1099</v>
      </c>
      <c r="B183" s="6" t="s">
        <v>641</v>
      </c>
      <c r="C183" s="6" t="s">
        <v>432</v>
      </c>
      <c r="D183" s="6" t="s">
        <v>1490</v>
      </c>
    </row>
    <row r="184" spans="1:5" ht="33.75">
      <c r="A184" s="6" t="s">
        <v>1101</v>
      </c>
      <c r="B184" s="6" t="s">
        <v>640</v>
      </c>
      <c r="C184" s="6" t="s">
        <v>414</v>
      </c>
      <c r="D184" s="3" t="s">
        <v>1491</v>
      </c>
    </row>
    <row r="185" spans="1:5" ht="45">
      <c r="A185" s="6" t="s">
        <v>1103</v>
      </c>
      <c r="B185" s="6" t="s">
        <v>633</v>
      </c>
      <c r="C185" s="6" t="s">
        <v>414</v>
      </c>
      <c r="D185" s="4" t="s">
        <v>1492</v>
      </c>
    </row>
    <row r="186" spans="1:5">
      <c r="A186" s="6" t="s">
        <v>1105</v>
      </c>
      <c r="B186" s="6" t="s">
        <v>640</v>
      </c>
      <c r="C186" s="6" t="s">
        <v>414</v>
      </c>
      <c r="D186" s="3" t="s">
        <v>1493</v>
      </c>
    </row>
    <row r="187" spans="1:5" ht="22.5">
      <c r="A187" s="6" t="s">
        <v>1107</v>
      </c>
      <c r="B187" s="6" t="s">
        <v>646</v>
      </c>
      <c r="C187" s="6" t="s">
        <v>414</v>
      </c>
      <c r="D187" s="3" t="s">
        <v>1494</v>
      </c>
    </row>
    <row r="188" spans="1:5" ht="22.5">
      <c r="A188" s="6" t="s">
        <v>1495</v>
      </c>
      <c r="B188" s="6" t="s">
        <v>633</v>
      </c>
      <c r="C188" s="6" t="s">
        <v>414</v>
      </c>
      <c r="D188" s="3" t="s">
        <v>1496</v>
      </c>
    </row>
    <row r="189" spans="1:5">
      <c r="A189" s="6" t="s">
        <v>1111</v>
      </c>
      <c r="B189" s="6" t="s">
        <v>633</v>
      </c>
      <c r="C189" s="6" t="s">
        <v>414</v>
      </c>
      <c r="D189" s="6" t="s">
        <v>1497</v>
      </c>
    </row>
    <row r="190" spans="1:5">
      <c r="A190" s="6" t="s">
        <v>1113</v>
      </c>
      <c r="B190" s="6" t="s">
        <v>646</v>
      </c>
      <c r="C190" s="6" t="s">
        <v>414</v>
      </c>
      <c r="D190" s="3" t="s">
        <v>1498</v>
      </c>
    </row>
    <row r="191" spans="1:5">
      <c r="A191" s="6" t="s">
        <v>1115</v>
      </c>
      <c r="B191" s="6" t="s">
        <v>641</v>
      </c>
      <c r="C191" s="6" t="s">
        <v>432</v>
      </c>
      <c r="D191" s="6" t="s">
        <v>1499</v>
      </c>
      <c r="E191" s="3"/>
    </row>
    <row r="192" spans="1:5" ht="22.5">
      <c r="A192" s="6" t="s">
        <v>1117</v>
      </c>
      <c r="B192" s="6" t="s">
        <v>640</v>
      </c>
      <c r="C192" s="6" t="s">
        <v>414</v>
      </c>
      <c r="D192" s="3" t="s">
        <v>1500</v>
      </c>
    </row>
    <row r="193" spans="1:4" ht="33.75">
      <c r="A193" s="6" t="s">
        <v>1501</v>
      </c>
      <c r="B193" s="6" t="s">
        <v>653</v>
      </c>
      <c r="C193" s="6" t="s">
        <v>414</v>
      </c>
      <c r="D193" s="3" t="s">
        <v>1502</v>
      </c>
    </row>
    <row r="194" spans="1:4" ht="22.5">
      <c r="A194" s="6" t="s">
        <v>1121</v>
      </c>
      <c r="B194" s="6" t="s">
        <v>674</v>
      </c>
      <c r="C194" s="6" t="s">
        <v>414</v>
      </c>
      <c r="D194" s="3" t="s">
        <v>1503</v>
      </c>
    </row>
    <row r="195" spans="1:4" ht="33.75">
      <c r="A195" s="6" t="s">
        <v>1123</v>
      </c>
      <c r="B195" s="6" t="s">
        <v>666</v>
      </c>
      <c r="C195" s="6" t="s">
        <v>414</v>
      </c>
      <c r="D195" s="3" t="s">
        <v>1504</v>
      </c>
    </row>
    <row r="196" spans="1:4">
      <c r="A196" s="6" t="s">
        <v>1125</v>
      </c>
      <c r="B196" s="6" t="s">
        <v>665</v>
      </c>
      <c r="C196" s="6" t="s">
        <v>414</v>
      </c>
      <c r="D196" s="6" t="s">
        <v>1505</v>
      </c>
    </row>
    <row r="197" spans="1:4">
      <c r="A197" s="6" t="s">
        <v>1127</v>
      </c>
      <c r="B197" s="6" t="s">
        <v>666</v>
      </c>
      <c r="C197" s="6" t="s">
        <v>414</v>
      </c>
      <c r="D197" s="6" t="s">
        <v>1506</v>
      </c>
    </row>
    <row r="198" spans="1:4">
      <c r="A198" s="6" t="s">
        <v>1129</v>
      </c>
      <c r="B198" s="6" t="s">
        <v>674</v>
      </c>
      <c r="C198" s="6" t="s">
        <v>414</v>
      </c>
      <c r="D198" s="6" t="s">
        <v>1507</v>
      </c>
    </row>
    <row r="199" spans="1:4" ht="33.75">
      <c r="A199" s="6" t="s">
        <v>1131</v>
      </c>
      <c r="B199" s="6" t="s">
        <v>667</v>
      </c>
      <c r="C199" s="6" t="s">
        <v>446</v>
      </c>
      <c r="D199" s="3" t="s">
        <v>1508</v>
      </c>
    </row>
    <row r="200" spans="1:4">
      <c r="A200" s="6" t="s">
        <v>1133</v>
      </c>
      <c r="B200" s="6" t="s">
        <v>666</v>
      </c>
      <c r="C200" s="6" t="s">
        <v>414</v>
      </c>
      <c r="D200" s="5" t="s">
        <v>1509</v>
      </c>
    </row>
    <row r="201" spans="1:4">
      <c r="A201" s="6" t="s">
        <v>1135</v>
      </c>
      <c r="B201" s="6" t="s">
        <v>674</v>
      </c>
      <c r="C201" s="6" t="s">
        <v>414</v>
      </c>
      <c r="D201" s="3" t="s">
        <v>1510</v>
      </c>
    </row>
    <row r="202" spans="1:4" ht="22.5">
      <c r="A202" s="6" t="s">
        <v>1137</v>
      </c>
      <c r="B202" s="6" t="s">
        <v>675</v>
      </c>
      <c r="C202" s="6" t="s">
        <v>414</v>
      </c>
      <c r="D202" s="3" t="s">
        <v>1511</v>
      </c>
    </row>
    <row r="203" spans="1:4" ht="33.75">
      <c r="A203" s="6" t="s">
        <v>1139</v>
      </c>
      <c r="B203" s="6" t="s">
        <v>674</v>
      </c>
      <c r="C203" s="6" t="s">
        <v>414</v>
      </c>
      <c r="D203" s="3" t="s">
        <v>1512</v>
      </c>
    </row>
    <row r="204" spans="1:4" ht="33.75">
      <c r="A204" s="6" t="s">
        <v>1141</v>
      </c>
      <c r="B204" s="6" t="s">
        <v>674</v>
      </c>
      <c r="C204" s="6" t="s">
        <v>414</v>
      </c>
      <c r="D204" s="3" t="s">
        <v>1513</v>
      </c>
    </row>
    <row r="205" spans="1:4" ht="33.75">
      <c r="A205" s="6" t="s">
        <v>1143</v>
      </c>
      <c r="B205" s="6" t="s">
        <v>665</v>
      </c>
      <c r="C205" s="6" t="s">
        <v>414</v>
      </c>
      <c r="D205" s="3" t="s">
        <v>1514</v>
      </c>
    </row>
    <row r="206" spans="1:4" ht="22.5">
      <c r="A206" s="6" t="s">
        <v>1145</v>
      </c>
      <c r="B206" s="6" t="s">
        <v>674</v>
      </c>
      <c r="C206" s="6" t="s">
        <v>414</v>
      </c>
      <c r="D206" s="3" t="s">
        <v>1515</v>
      </c>
    </row>
    <row r="207" spans="1:4">
      <c r="A207" s="6" t="s">
        <v>1147</v>
      </c>
      <c r="B207" s="6" t="s">
        <v>1516</v>
      </c>
      <c r="C207" s="6" t="s">
        <v>446</v>
      </c>
      <c r="D207" s="6" t="s">
        <v>1517</v>
      </c>
    </row>
    <row r="208" spans="1:4">
      <c r="A208" s="6" t="s">
        <v>1149</v>
      </c>
      <c r="B208" s="6" t="s">
        <v>666</v>
      </c>
      <c r="C208" s="6" t="s">
        <v>414</v>
      </c>
      <c r="D208" s="6" t="s">
        <v>1518</v>
      </c>
    </row>
    <row r="209" spans="1:4">
      <c r="A209" s="6" t="s">
        <v>1151</v>
      </c>
      <c r="B209" s="6" t="s">
        <v>667</v>
      </c>
      <c r="C209" s="6" t="s">
        <v>446</v>
      </c>
      <c r="D209" s="6" t="s">
        <v>1519</v>
      </c>
    </row>
    <row r="210" spans="1:4">
      <c r="A210" s="6" t="s">
        <v>1153</v>
      </c>
      <c r="B210" s="6" t="s">
        <v>666</v>
      </c>
      <c r="C210" s="6" t="s">
        <v>414</v>
      </c>
      <c r="D210" s="6" t="s">
        <v>1520</v>
      </c>
    </row>
    <row r="211" spans="1:4">
      <c r="A211" s="6" t="s">
        <v>1155</v>
      </c>
      <c r="B211" s="6" t="s">
        <v>674</v>
      </c>
      <c r="C211" s="6" t="s">
        <v>414</v>
      </c>
      <c r="D211" s="6" t="s">
        <v>1521</v>
      </c>
    </row>
    <row r="212" spans="1:4">
      <c r="A212" s="6" t="s">
        <v>1157</v>
      </c>
      <c r="B212" s="6" t="s">
        <v>666</v>
      </c>
      <c r="C212" s="6" t="s">
        <v>414</v>
      </c>
      <c r="D212" s="6" t="s">
        <v>1522</v>
      </c>
    </row>
    <row r="213" spans="1:4">
      <c r="A213" s="6" t="s">
        <v>1159</v>
      </c>
      <c r="B213" s="6" t="s">
        <v>666</v>
      </c>
      <c r="C213" s="6" t="s">
        <v>414</v>
      </c>
      <c r="D213" s="6" t="s">
        <v>1523</v>
      </c>
    </row>
    <row r="214" spans="1:4">
      <c r="A214" s="6" t="s">
        <v>1161</v>
      </c>
      <c r="B214" s="6" t="s">
        <v>665</v>
      </c>
      <c r="C214" s="6" t="s">
        <v>414</v>
      </c>
      <c r="D214" s="6" t="s">
        <v>1524</v>
      </c>
    </row>
    <row r="215" spans="1:4">
      <c r="A215" s="6" t="s">
        <v>1163</v>
      </c>
      <c r="B215" s="6" t="s">
        <v>683</v>
      </c>
      <c r="C215" s="6" t="s">
        <v>414</v>
      </c>
      <c r="D215" s="6" t="s">
        <v>1525</v>
      </c>
    </row>
    <row r="216" spans="1:4">
      <c r="A216" s="6" t="s">
        <v>1165</v>
      </c>
      <c r="B216" s="6" t="s">
        <v>674</v>
      </c>
      <c r="C216" s="6" t="s">
        <v>414</v>
      </c>
      <c r="D216" s="6" t="s">
        <v>1526</v>
      </c>
    </row>
    <row r="217" spans="1:4">
      <c r="A217" s="6" t="s">
        <v>1167</v>
      </c>
      <c r="B217" s="6" t="s">
        <v>667</v>
      </c>
      <c r="C217" s="6" t="s">
        <v>446</v>
      </c>
      <c r="D217" s="6" t="s">
        <v>1527</v>
      </c>
    </row>
    <row r="218" spans="1:4">
      <c r="A218" s="6" t="s">
        <v>1169</v>
      </c>
      <c r="B218" s="6" t="s">
        <v>665</v>
      </c>
      <c r="C218" s="6" t="s">
        <v>414</v>
      </c>
      <c r="D218" s="6" t="s">
        <v>1528</v>
      </c>
    </row>
    <row r="219" spans="1:4">
      <c r="A219" s="6" t="s">
        <v>1171</v>
      </c>
      <c r="B219" s="6" t="s">
        <v>674</v>
      </c>
      <c r="C219" s="6" t="s">
        <v>414</v>
      </c>
      <c r="D219" s="6" t="s">
        <v>1529</v>
      </c>
    </row>
    <row r="220" spans="1:4">
      <c r="A220" s="6" t="s">
        <v>1173</v>
      </c>
      <c r="B220" s="6" t="s">
        <v>674</v>
      </c>
      <c r="C220" s="6" t="s">
        <v>414</v>
      </c>
      <c r="D220" s="6" t="s">
        <v>1530</v>
      </c>
    </row>
    <row r="221" spans="1:4">
      <c r="A221" s="6" t="s">
        <v>1175</v>
      </c>
      <c r="B221" s="6" t="s">
        <v>674</v>
      </c>
      <c r="C221" s="6" t="s">
        <v>414</v>
      </c>
      <c r="D221" s="6" t="s">
        <v>1531</v>
      </c>
    </row>
    <row r="222" spans="1:4">
      <c r="A222" s="6" t="s">
        <v>1177</v>
      </c>
      <c r="B222" s="6" t="s">
        <v>671</v>
      </c>
      <c r="C222" s="6" t="s">
        <v>414</v>
      </c>
      <c r="D222" s="6" t="s">
        <v>1532</v>
      </c>
    </row>
    <row r="223" spans="1:4">
      <c r="A223" s="6" t="s">
        <v>1179</v>
      </c>
      <c r="B223" s="6" t="s">
        <v>674</v>
      </c>
      <c r="C223" s="6" t="s">
        <v>414</v>
      </c>
      <c r="D223" s="6" t="s">
        <v>1533</v>
      </c>
    </row>
    <row r="224" spans="1:4">
      <c r="A224" s="6" t="s">
        <v>1181</v>
      </c>
      <c r="B224" s="6" t="s">
        <v>674</v>
      </c>
      <c r="C224" s="6" t="s">
        <v>414</v>
      </c>
      <c r="D224" s="6" t="s">
        <v>1534</v>
      </c>
    </row>
    <row r="225" spans="1:4">
      <c r="A225" s="6" t="s">
        <v>1183</v>
      </c>
      <c r="B225" s="6" t="s">
        <v>666</v>
      </c>
      <c r="C225" s="6" t="s">
        <v>414</v>
      </c>
      <c r="D225" s="6" t="s">
        <v>1535</v>
      </c>
    </row>
    <row r="226" spans="1:4">
      <c r="A226" s="6" t="s">
        <v>1185</v>
      </c>
      <c r="B226" s="6" t="s">
        <v>675</v>
      </c>
      <c r="C226" s="6" t="s">
        <v>414</v>
      </c>
      <c r="D226" s="6" t="s">
        <v>1536</v>
      </c>
    </row>
    <row r="227" spans="1:4">
      <c r="A227" s="6" t="s">
        <v>1187</v>
      </c>
      <c r="B227" s="6" t="s">
        <v>683</v>
      </c>
      <c r="C227" s="6" t="s">
        <v>414</v>
      </c>
      <c r="D227" s="6" t="s">
        <v>1537</v>
      </c>
    </row>
    <row r="228" spans="1:4">
      <c r="A228" s="6" t="s">
        <v>1189</v>
      </c>
      <c r="B228" s="6" t="s">
        <v>671</v>
      </c>
      <c r="C228" s="6" t="s">
        <v>414</v>
      </c>
      <c r="D228" s="6" t="s">
        <v>1538</v>
      </c>
    </row>
    <row r="229" spans="1:4">
      <c r="A229" s="6" t="s">
        <v>1191</v>
      </c>
      <c r="B229" s="6" t="s">
        <v>666</v>
      </c>
      <c r="C229" s="6" t="s">
        <v>414</v>
      </c>
      <c r="D229" s="6" t="s">
        <v>1539</v>
      </c>
    </row>
    <row r="230" spans="1:4">
      <c r="A230" s="6" t="s">
        <v>1193</v>
      </c>
      <c r="B230" s="6" t="s">
        <v>665</v>
      </c>
      <c r="C230" s="6" t="s">
        <v>414</v>
      </c>
      <c r="D230" s="6" t="s">
        <v>1540</v>
      </c>
    </row>
    <row r="231" spans="1:4">
      <c r="A231" s="6" t="s">
        <v>1195</v>
      </c>
      <c r="B231" s="6" t="s">
        <v>671</v>
      </c>
      <c r="C231" s="6" t="s">
        <v>414</v>
      </c>
      <c r="D231" s="6" t="s">
        <v>1541</v>
      </c>
    </row>
    <row r="232" spans="1:4">
      <c r="A232" s="6" t="s">
        <v>1197</v>
      </c>
      <c r="B232" s="6" t="s">
        <v>666</v>
      </c>
      <c r="C232" s="6" t="s">
        <v>414</v>
      </c>
      <c r="D232" s="6" t="s">
        <v>1542</v>
      </c>
    </row>
    <row r="233" spans="1:4">
      <c r="A233" s="6" t="s">
        <v>1199</v>
      </c>
      <c r="B233" s="6" t="s">
        <v>675</v>
      </c>
      <c r="C233" s="6" t="s">
        <v>414</v>
      </c>
    </row>
    <row r="234" spans="1:4">
      <c r="A234" s="6" t="s">
        <v>1201</v>
      </c>
      <c r="B234" s="6" t="s">
        <v>666</v>
      </c>
      <c r="C234" s="6" t="s">
        <v>414</v>
      </c>
      <c r="D234" s="6" t="s">
        <v>1543</v>
      </c>
    </row>
    <row r="235" spans="1:4">
      <c r="A235" s="6" t="s">
        <v>1203</v>
      </c>
      <c r="B235" s="6" t="s">
        <v>667</v>
      </c>
      <c r="C235" s="6" t="s">
        <v>446</v>
      </c>
      <c r="D235" s="6" t="s">
        <v>1544</v>
      </c>
    </row>
    <row r="236" spans="1:4">
      <c r="A236" s="6" t="s">
        <v>1205</v>
      </c>
      <c r="B236" s="6" t="s">
        <v>683</v>
      </c>
      <c r="C236" s="6" t="s">
        <v>414</v>
      </c>
      <c r="D236" s="6" t="s">
        <v>1545</v>
      </c>
    </row>
    <row r="237" spans="1:4">
      <c r="A237" s="6" t="s">
        <v>1207</v>
      </c>
      <c r="B237" s="6" t="s">
        <v>666</v>
      </c>
      <c r="C237" s="6" t="s">
        <v>414</v>
      </c>
      <c r="D237" s="6" t="s">
        <v>1546</v>
      </c>
    </row>
    <row r="238" spans="1:4">
      <c r="A238" s="6" t="s">
        <v>1209</v>
      </c>
      <c r="B238" s="6" t="s">
        <v>667</v>
      </c>
      <c r="C238" s="6" t="s">
        <v>446</v>
      </c>
      <c r="D238" s="6" t="s">
        <v>1547</v>
      </c>
    </row>
    <row r="239" spans="1:4">
      <c r="A239" s="6" t="s">
        <v>1211</v>
      </c>
      <c r="B239" s="6" t="s">
        <v>674</v>
      </c>
      <c r="C239" s="6" t="s">
        <v>414</v>
      </c>
      <c r="D239" s="6" t="s">
        <v>1548</v>
      </c>
    </row>
    <row r="240" spans="1:4">
      <c r="A240" s="6" t="s">
        <v>1213</v>
      </c>
      <c r="B240" s="6" t="s">
        <v>675</v>
      </c>
      <c r="C240" s="6" t="s">
        <v>414</v>
      </c>
      <c r="D240" s="6" t="s">
        <v>1549</v>
      </c>
    </row>
    <row r="241" spans="1:5">
      <c r="A241" s="6" t="s">
        <v>1215</v>
      </c>
      <c r="B241" s="6" t="s">
        <v>666</v>
      </c>
      <c r="C241" s="6" t="s">
        <v>414</v>
      </c>
      <c r="D241" s="6" t="s">
        <v>1550</v>
      </c>
    </row>
    <row r="242" spans="1:5">
      <c r="A242" s="6" t="s">
        <v>1217</v>
      </c>
      <c r="B242" s="6" t="s">
        <v>1551</v>
      </c>
      <c r="C242" s="6" t="s">
        <v>414</v>
      </c>
      <c r="D242" s="6" t="s">
        <v>1552</v>
      </c>
    </row>
    <row r="243" spans="1:5">
      <c r="A243" s="6" t="s">
        <v>1219</v>
      </c>
      <c r="B243" s="6" t="s">
        <v>1553</v>
      </c>
      <c r="C243" s="6" t="s">
        <v>414</v>
      </c>
      <c r="D243" s="6" t="s">
        <v>1554</v>
      </c>
    </row>
    <row r="244" spans="1:5">
      <c r="A244" s="6" t="s">
        <v>1221</v>
      </c>
      <c r="B244" s="6" t="s">
        <v>1555</v>
      </c>
      <c r="C244" s="6" t="s">
        <v>414</v>
      </c>
      <c r="D244" s="6" t="s">
        <v>1556</v>
      </c>
    </row>
    <row r="245" spans="1:5">
      <c r="A245" s="6" t="s">
        <v>1222</v>
      </c>
      <c r="B245" s="6" t="s">
        <v>1557</v>
      </c>
      <c r="C245" s="6" t="s">
        <v>414</v>
      </c>
      <c r="D245" s="6" t="s">
        <v>1558</v>
      </c>
    </row>
    <row r="246" spans="1:5">
      <c r="A246" s="6" t="s">
        <v>1225</v>
      </c>
      <c r="B246" s="6" t="s">
        <v>1559</v>
      </c>
      <c r="C246" s="6" t="s">
        <v>414</v>
      </c>
      <c r="D246" s="6" t="s">
        <v>1560</v>
      </c>
    </row>
    <row r="247" spans="1:5">
      <c r="A247" s="6" t="s">
        <v>1227</v>
      </c>
      <c r="B247" s="6" t="s">
        <v>699</v>
      </c>
      <c r="C247" s="6" t="s">
        <v>414</v>
      </c>
      <c r="D247" s="6" t="s">
        <v>1561</v>
      </c>
    </row>
    <row r="248" spans="1:5">
      <c r="A248" s="6" t="s">
        <v>1562</v>
      </c>
      <c r="B248" s="6" t="s">
        <v>1563</v>
      </c>
      <c r="C248" s="6" t="s">
        <v>1564</v>
      </c>
      <c r="D248" s="6" t="s">
        <v>414</v>
      </c>
      <c r="E248" s="6" t="s">
        <v>1565</v>
      </c>
    </row>
    <row r="249" spans="1:5">
      <c r="A249" s="6" t="s">
        <v>1566</v>
      </c>
      <c r="B249" s="6" t="s">
        <v>1567</v>
      </c>
      <c r="C249" s="6" t="s">
        <v>1568</v>
      </c>
      <c r="D249" s="6" t="s">
        <v>414</v>
      </c>
      <c r="E249" s="6" t="s">
        <v>1569</v>
      </c>
    </row>
    <row r="250" spans="1:5">
      <c r="A250" s="6" t="s">
        <v>1233</v>
      </c>
      <c r="B250" s="6" t="s">
        <v>1570</v>
      </c>
      <c r="C250" s="6" t="s">
        <v>414</v>
      </c>
      <c r="D250" s="6" t="s">
        <v>1571</v>
      </c>
    </row>
    <row r="251" spans="1:5">
      <c r="A251" s="6" t="s">
        <v>1572</v>
      </c>
      <c r="B251" s="6" t="s">
        <v>1573</v>
      </c>
      <c r="C251" s="6" t="s">
        <v>1574</v>
      </c>
      <c r="D251" s="6" t="s">
        <v>414</v>
      </c>
      <c r="E251" s="6" t="s">
        <v>1575</v>
      </c>
    </row>
    <row r="252" spans="1:5">
      <c r="A252" s="6" t="s">
        <v>1576</v>
      </c>
      <c r="B252" s="6" t="s">
        <v>1577</v>
      </c>
      <c r="C252" s="6" t="s">
        <v>1578</v>
      </c>
      <c r="D252" s="6" t="s">
        <v>414</v>
      </c>
      <c r="E252" s="6" t="s">
        <v>1579</v>
      </c>
    </row>
    <row r="253" spans="1:5">
      <c r="A253" s="6" t="s">
        <v>1239</v>
      </c>
      <c r="B253" s="6">
        <v>22</v>
      </c>
      <c r="C253" s="6" t="s">
        <v>375</v>
      </c>
      <c r="D253" s="6" t="s">
        <v>1580</v>
      </c>
    </row>
    <row r="254" spans="1:5">
      <c r="A254" s="6" t="s">
        <v>1241</v>
      </c>
      <c r="B254" s="6">
        <v>22</v>
      </c>
      <c r="C254" s="6" t="s">
        <v>375</v>
      </c>
      <c r="D254" s="6" t="s">
        <v>1581</v>
      </c>
    </row>
    <row r="255" spans="1:5">
      <c r="A255" s="6" t="s">
        <v>1243</v>
      </c>
      <c r="B255" s="6">
        <v>55</v>
      </c>
      <c r="C255" s="6" t="s">
        <v>375</v>
      </c>
      <c r="D255" s="6" t="s">
        <v>1582</v>
      </c>
    </row>
    <row r="256" spans="1:5">
      <c r="A256" s="6" t="s">
        <v>1245</v>
      </c>
      <c r="B256" s="6">
        <v>11</v>
      </c>
      <c r="C256" s="6" t="s">
        <v>375</v>
      </c>
      <c r="D256" s="6" t="s">
        <v>1583</v>
      </c>
    </row>
    <row r="257" spans="1:4">
      <c r="A257" s="6" t="s">
        <v>1247</v>
      </c>
      <c r="B257" s="6">
        <v>33</v>
      </c>
      <c r="C257" s="6" t="s">
        <v>375</v>
      </c>
      <c r="D257" s="6" t="s">
        <v>1584</v>
      </c>
    </row>
    <row r="258" spans="1:4">
      <c r="A258" s="6" t="s">
        <v>1249</v>
      </c>
      <c r="B258" s="6">
        <v>33</v>
      </c>
      <c r="C258" s="6" t="s">
        <v>375</v>
      </c>
      <c r="D258" s="6" t="s">
        <v>1585</v>
      </c>
    </row>
    <row r="259" spans="1:4">
      <c r="A259" s="6" t="s">
        <v>1251</v>
      </c>
      <c r="B259" s="6">
        <v>33</v>
      </c>
      <c r="C259" s="6" t="s">
        <v>375</v>
      </c>
      <c r="D259" s="6" t="s">
        <v>1586</v>
      </c>
    </row>
    <row r="260" spans="1:4">
      <c r="A260" s="6" t="s">
        <v>1587</v>
      </c>
      <c r="B260" s="6">
        <v>44</v>
      </c>
      <c r="C260" s="6" t="s">
        <v>375</v>
      </c>
      <c r="D260" s="6" t="s">
        <v>1588</v>
      </c>
    </row>
    <row r="261" spans="1:4">
      <c r="A261" s="6" t="s">
        <v>1255</v>
      </c>
      <c r="B261" s="6">
        <v>11</v>
      </c>
      <c r="C261" s="6" t="s">
        <v>375</v>
      </c>
      <c r="D261" s="6" t="s">
        <v>1589</v>
      </c>
    </row>
    <row r="262" spans="1:4">
      <c r="A262" s="6" t="s">
        <v>1257</v>
      </c>
      <c r="B262" s="6">
        <v>44</v>
      </c>
      <c r="C262" s="6" t="s">
        <v>375</v>
      </c>
      <c r="D262" s="6" t="s">
        <v>1590</v>
      </c>
    </row>
    <row r="263" spans="1:4">
      <c r="A263" s="6" t="s">
        <v>1259</v>
      </c>
      <c r="B263" s="6">
        <v>11</v>
      </c>
      <c r="C263" s="6" t="s">
        <v>375</v>
      </c>
      <c r="D263" s="6" t="s">
        <v>1591</v>
      </c>
    </row>
    <row r="264" spans="1:4">
      <c r="A264" s="6" t="s">
        <v>1261</v>
      </c>
      <c r="B264" s="6">
        <v>11</v>
      </c>
      <c r="C264" s="6" t="s">
        <v>375</v>
      </c>
      <c r="D264" s="6" t="s">
        <v>1592</v>
      </c>
    </row>
    <row r="265" spans="1:4">
      <c r="A265" s="6" t="s">
        <v>1593</v>
      </c>
      <c r="B265" s="6">
        <v>33</v>
      </c>
      <c r="C265" s="6" t="s">
        <v>375</v>
      </c>
      <c r="D265" s="6" t="s">
        <v>1594</v>
      </c>
    </row>
    <row r="266" spans="1:4">
      <c r="A266" s="6" t="s">
        <v>1595</v>
      </c>
      <c r="B266" s="6">
        <v>55</v>
      </c>
      <c r="C266" s="6" t="s">
        <v>375</v>
      </c>
      <c r="D266" s="6" t="s">
        <v>1596</v>
      </c>
    </row>
    <row r="267" spans="1:4">
      <c r="A267" s="6" t="s">
        <v>1267</v>
      </c>
      <c r="B267" s="6">
        <v>11</v>
      </c>
      <c r="C267" s="6" t="s">
        <v>375</v>
      </c>
      <c r="D267" s="6" t="s">
        <v>1597</v>
      </c>
    </row>
    <row r="268" spans="1:4">
      <c r="A268" s="6" t="s">
        <v>1269</v>
      </c>
      <c r="B268" s="6">
        <v>22</v>
      </c>
      <c r="C268" s="6" t="s">
        <v>375</v>
      </c>
      <c r="D268" s="6" t="s">
        <v>1598</v>
      </c>
    </row>
    <row r="269" spans="1:4">
      <c r="A269" s="6" t="s">
        <v>1271</v>
      </c>
      <c r="B269" s="6">
        <v>33</v>
      </c>
      <c r="C269" s="6" t="s">
        <v>375</v>
      </c>
    </row>
    <row r="270" spans="1:4">
      <c r="A270" s="6" t="s">
        <v>1273</v>
      </c>
      <c r="B270" s="6">
        <v>33</v>
      </c>
      <c r="C270" s="6" t="s">
        <v>375</v>
      </c>
      <c r="D270" s="6" t="s">
        <v>1599</v>
      </c>
    </row>
    <row r="271" spans="1:4">
      <c r="A271" s="6" t="s">
        <v>1600</v>
      </c>
      <c r="C271" s="6" t="s">
        <v>472</v>
      </c>
      <c r="D271" s="6" t="s">
        <v>1601</v>
      </c>
    </row>
    <row r="272" spans="1:4">
      <c r="A272" s="6" t="s">
        <v>374</v>
      </c>
      <c r="B272" s="6" t="s">
        <v>473</v>
      </c>
    </row>
    <row r="273" spans="1:2">
      <c r="A273" s="6" t="s">
        <v>374</v>
      </c>
      <c r="B273" s="6" t="s">
        <v>1602</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
  <sheetViews>
    <sheetView workbookViewId="0">
      <selection activeCell="H11" sqref="H11"/>
    </sheetView>
  </sheetViews>
  <sheetFormatPr defaultRowHeight="13.5"/>
  <sheetData/>
  <phoneticPr fontId="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scores</vt:lpstr>
      <vt:lpstr>cardlist</vt:lpstr>
      <vt:lpstr>channelfireball</vt:lpstr>
      <vt:lpstr>smds</vt:lpstr>
      <vt:lpstr>oracle</vt:lpstr>
      <vt:lpstr>tmp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tilmitt</cp:lastModifiedBy>
  <dcterms:created xsi:type="dcterms:W3CDTF">2006-09-13T11:12:02Z</dcterms:created>
  <dcterms:modified xsi:type="dcterms:W3CDTF">2016-07-29T09:46:46Z</dcterms:modified>
</cp:coreProperties>
</file>